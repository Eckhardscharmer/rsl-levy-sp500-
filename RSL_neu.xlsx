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eckhardscharmer/Desktop/"/>
    </mc:Choice>
  </mc:AlternateContent>
  <xr:revisionPtr revIDLastSave="0" documentId="13_ncr:1_{AEA91DCF-23B4-0B41-8F96-723F0C348B58}" xr6:coauthVersionLast="47" xr6:coauthVersionMax="47" xr10:uidLastSave="{00000000-0000-0000-0000-000000000000}"/>
  <bookViews>
    <workbookView xWindow="0" yWindow="500" windowWidth="28800" windowHeight="16400" xr2:uid="{F2E11DFC-5465-E242-8240-ED410E9BE13E}"/>
  </bookViews>
  <sheets>
    <sheet name="S&amp;P500" sheetId="3" r:id="rId1"/>
  </sheets>
  <definedNames>
    <definedName name="_xlnm._FilterDatabase" localSheetId="0" hidden="1">'S&amp;P500'!$C$1:$F$1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90" i="3" l="1" a="1"/>
  <c r="G490" i="3" s="1"/>
  <c r="G489" i="3" a="1"/>
  <c r="G489" i="3" s="1"/>
  <c r="G488" i="3" a="1"/>
  <c r="G488" i="3" s="1"/>
  <c r="O31" i="3"/>
  <c r="S52" i="3"/>
  <c r="O49" i="3"/>
  <c r="O50" i="3" s="1"/>
  <c r="N49" i="3"/>
  <c r="N50" i="3" s="1"/>
  <c r="L49" i="3"/>
  <c r="L50" i="3" s="1"/>
  <c r="M49" i="3"/>
  <c r="M50" i="3" s="1"/>
  <c r="K49" i="3"/>
  <c r="K50" i="3" s="1"/>
  <c r="O20" i="3"/>
  <c r="O25" i="3"/>
  <c r="N36" i="3"/>
  <c r="N42" i="3"/>
  <c r="O14" i="3"/>
  <c r="O9" i="3"/>
  <c r="N9" i="3"/>
  <c r="M9" i="3"/>
  <c r="L9" i="3"/>
  <c r="K9" i="3"/>
  <c r="G3" i="3" a="1"/>
  <c r="G3" i="3" s="1"/>
  <c r="G4" i="3" a="1"/>
  <c r="G4" i="3" s="1"/>
  <c r="G5" i="3" a="1"/>
  <c r="G5" i="3" s="1"/>
  <c r="G6" i="3" a="1"/>
  <c r="G6" i="3" s="1"/>
  <c r="G7" i="3" a="1"/>
  <c r="G7" i="3" s="1"/>
  <c r="G8" i="3" a="1"/>
  <c r="G8" i="3" s="1"/>
  <c r="G9" i="3" a="1"/>
  <c r="G9" i="3" s="1"/>
  <c r="G10" i="3" a="1"/>
  <c r="G10" i="3" s="1"/>
  <c r="G11" i="3" a="1"/>
  <c r="G11" i="3" s="1"/>
  <c r="G12" i="3" a="1"/>
  <c r="G12" i="3" s="1"/>
  <c r="G13" i="3" a="1"/>
  <c r="G13" i="3" s="1"/>
  <c r="G14" i="3" a="1"/>
  <c r="G14" i="3" s="1"/>
  <c r="G15" i="3" a="1"/>
  <c r="G15" i="3" s="1"/>
  <c r="G16" i="3" a="1"/>
  <c r="G16" i="3" s="1"/>
  <c r="G17" i="3" a="1"/>
  <c r="G17" i="3" s="1"/>
  <c r="G18" i="3" a="1"/>
  <c r="G18" i="3" s="1"/>
  <c r="G19" i="3" a="1"/>
  <c r="G19" i="3" s="1"/>
  <c r="G20" i="3" a="1"/>
  <c r="G20" i="3" s="1"/>
  <c r="G21" i="3" a="1"/>
  <c r="G21" i="3" s="1"/>
  <c r="G22" i="3" a="1"/>
  <c r="G22" i="3" s="1"/>
  <c r="G23" i="3" a="1"/>
  <c r="G23" i="3" s="1"/>
  <c r="G24" i="3" a="1"/>
  <c r="G24" i="3" s="1"/>
  <c r="G25" i="3" a="1"/>
  <c r="G25" i="3" s="1"/>
  <c r="G26" i="3" a="1"/>
  <c r="G26" i="3" s="1"/>
  <c r="G27" i="3" a="1"/>
  <c r="G27" i="3" s="1"/>
  <c r="G28" i="3" a="1"/>
  <c r="G28" i="3" s="1"/>
  <c r="G29" i="3" a="1"/>
  <c r="G29" i="3" s="1"/>
  <c r="G30" i="3" a="1"/>
  <c r="G30" i="3" s="1"/>
  <c r="G31" i="3" a="1"/>
  <c r="G31" i="3" s="1"/>
  <c r="G32" i="3" a="1"/>
  <c r="G32" i="3" s="1"/>
  <c r="G33" i="3" a="1"/>
  <c r="G33" i="3" s="1"/>
  <c r="G34" i="3" a="1"/>
  <c r="G34" i="3" s="1"/>
  <c r="G35" i="3" a="1"/>
  <c r="G35" i="3" s="1"/>
  <c r="G36" i="3" a="1"/>
  <c r="G36" i="3" s="1"/>
  <c r="G37" i="3" a="1"/>
  <c r="G37" i="3" s="1"/>
  <c r="G38" i="3" a="1"/>
  <c r="G38" i="3" s="1"/>
  <c r="G39" i="3" a="1"/>
  <c r="G39" i="3" s="1"/>
  <c r="G40" i="3" a="1"/>
  <c r="G40" i="3" s="1"/>
  <c r="G41" i="3" a="1"/>
  <c r="G41" i="3" s="1"/>
  <c r="G42" i="3" a="1"/>
  <c r="G42" i="3" s="1"/>
  <c r="G43" i="3" a="1"/>
  <c r="G43" i="3" s="1"/>
  <c r="G44" i="3" a="1"/>
  <c r="G44" i="3" s="1"/>
  <c r="G45" i="3" a="1"/>
  <c r="G45" i="3" s="1"/>
  <c r="G46" i="3" a="1"/>
  <c r="G46" i="3" s="1"/>
  <c r="G47" i="3" a="1"/>
  <c r="G47" i="3" s="1"/>
  <c r="G48" i="3" a="1"/>
  <c r="G48" i="3" s="1"/>
  <c r="G49" i="3" a="1"/>
  <c r="G49" i="3" s="1"/>
  <c r="G50" i="3" a="1"/>
  <c r="G50" i="3" s="1"/>
  <c r="G51" i="3" a="1"/>
  <c r="G51" i="3" s="1"/>
  <c r="G52" i="3" a="1"/>
  <c r="G52" i="3" s="1"/>
  <c r="G53" i="3" a="1"/>
  <c r="G53" i="3" s="1"/>
  <c r="G54" i="3" a="1"/>
  <c r="G54" i="3" s="1"/>
  <c r="G55" i="3" a="1"/>
  <c r="G55" i="3" s="1"/>
  <c r="G56" i="3" a="1"/>
  <c r="G56" i="3" s="1"/>
  <c r="G57" i="3" a="1"/>
  <c r="G57" i="3" s="1"/>
  <c r="G58" i="3" a="1"/>
  <c r="G58" i="3" s="1"/>
  <c r="G59" i="3" a="1"/>
  <c r="G59" i="3" s="1"/>
  <c r="G60" i="3" a="1"/>
  <c r="G60" i="3" s="1"/>
  <c r="G61" i="3" a="1"/>
  <c r="G61" i="3" s="1"/>
  <c r="G62" i="3" a="1"/>
  <c r="G62" i="3" s="1"/>
  <c r="G63" i="3" a="1"/>
  <c r="G63" i="3" s="1"/>
  <c r="G64" i="3" a="1"/>
  <c r="G64" i="3" s="1"/>
  <c r="G65" i="3" a="1"/>
  <c r="G65" i="3" s="1"/>
  <c r="G66" i="3" a="1"/>
  <c r="G66" i="3" s="1"/>
  <c r="G67" i="3" a="1"/>
  <c r="G67" i="3" s="1"/>
  <c r="G68" i="3" a="1"/>
  <c r="G68" i="3" s="1"/>
  <c r="G69" i="3" a="1"/>
  <c r="G69" i="3" s="1"/>
  <c r="G70" i="3" a="1"/>
  <c r="G70" i="3" s="1"/>
  <c r="G71" i="3" a="1"/>
  <c r="G71" i="3" s="1"/>
  <c r="G72" i="3" a="1"/>
  <c r="G72" i="3" s="1"/>
  <c r="G73" i="3" a="1"/>
  <c r="G73" i="3" s="1"/>
  <c r="G74" i="3" a="1"/>
  <c r="G74" i="3" s="1"/>
  <c r="G75" i="3" a="1"/>
  <c r="G75" i="3" s="1"/>
  <c r="G76" i="3" a="1"/>
  <c r="G76" i="3" s="1"/>
  <c r="G77" i="3" a="1"/>
  <c r="G77" i="3" s="1"/>
  <c r="G78" i="3" a="1"/>
  <c r="G78" i="3" s="1"/>
  <c r="G79" i="3" a="1"/>
  <c r="G79" i="3" s="1"/>
  <c r="G80" i="3" a="1"/>
  <c r="G80" i="3" s="1"/>
  <c r="G81" i="3" a="1"/>
  <c r="G81" i="3" s="1"/>
  <c r="G82" i="3" a="1"/>
  <c r="G82" i="3" s="1"/>
  <c r="G83" i="3" a="1"/>
  <c r="G83" i="3" s="1"/>
  <c r="G84" i="3" a="1"/>
  <c r="G84" i="3" s="1"/>
  <c r="G85" i="3" a="1"/>
  <c r="G85" i="3" s="1"/>
  <c r="G86" i="3" a="1"/>
  <c r="G86" i="3" s="1"/>
  <c r="G87" i="3" a="1"/>
  <c r="G87" i="3" s="1"/>
  <c r="G88" i="3" a="1"/>
  <c r="G88" i="3" s="1"/>
  <c r="G89" i="3" a="1"/>
  <c r="G89" i="3" s="1"/>
  <c r="G90" i="3" a="1"/>
  <c r="G90" i="3" s="1"/>
  <c r="G91" i="3" a="1"/>
  <c r="G91" i="3" s="1"/>
  <c r="G92" i="3" a="1"/>
  <c r="G92" i="3" s="1"/>
  <c r="G93" i="3" a="1"/>
  <c r="G93" i="3" s="1"/>
  <c r="G94" i="3" a="1"/>
  <c r="G94" i="3" s="1"/>
  <c r="G95" i="3" a="1"/>
  <c r="G95" i="3" s="1"/>
  <c r="G96" i="3" a="1"/>
  <c r="G96" i="3" s="1"/>
  <c r="G97" i="3" a="1"/>
  <c r="G97" i="3" s="1"/>
  <c r="G98" i="3" a="1"/>
  <c r="G98" i="3" s="1"/>
  <c r="G99" i="3" a="1"/>
  <c r="G99" i="3" s="1"/>
  <c r="G100" i="3" a="1"/>
  <c r="G100" i="3" s="1"/>
  <c r="G101" i="3" a="1"/>
  <c r="G101" i="3" s="1"/>
  <c r="G102" i="3" a="1"/>
  <c r="G102" i="3" s="1"/>
  <c r="G103" i="3" a="1"/>
  <c r="G103" i="3" s="1"/>
  <c r="G104" i="3" a="1"/>
  <c r="G104" i="3" s="1"/>
  <c r="G105" i="3" a="1"/>
  <c r="G105" i="3" s="1"/>
  <c r="G106" i="3" a="1"/>
  <c r="G106" i="3" s="1"/>
  <c r="G107" i="3" a="1"/>
  <c r="G107" i="3" s="1"/>
  <c r="G108" i="3" a="1"/>
  <c r="G108" i="3" s="1"/>
  <c r="G109" i="3" a="1"/>
  <c r="G109" i="3" s="1"/>
  <c r="G110" i="3" a="1"/>
  <c r="G110" i="3" s="1"/>
  <c r="G111" i="3" a="1"/>
  <c r="G111" i="3" s="1"/>
  <c r="G112" i="3" a="1"/>
  <c r="G112" i="3" s="1"/>
  <c r="G113" i="3" a="1"/>
  <c r="G113" i="3" s="1"/>
  <c r="G114" i="3" a="1"/>
  <c r="G114" i="3" s="1"/>
  <c r="G115" i="3" a="1"/>
  <c r="G115" i="3" s="1"/>
  <c r="G116" i="3" a="1"/>
  <c r="G116" i="3" s="1"/>
  <c r="G117" i="3" a="1"/>
  <c r="G117" i="3" s="1"/>
  <c r="G118" i="3" a="1"/>
  <c r="G118" i="3" s="1"/>
  <c r="G119" i="3" a="1"/>
  <c r="G119" i="3" s="1"/>
  <c r="G120" i="3" a="1"/>
  <c r="G120" i="3" s="1"/>
  <c r="G121" i="3" a="1"/>
  <c r="G121" i="3" s="1"/>
  <c r="G122" i="3" a="1"/>
  <c r="G122" i="3" s="1"/>
  <c r="G123" i="3" a="1"/>
  <c r="G123" i="3" s="1"/>
  <c r="G124" i="3" a="1"/>
  <c r="G124" i="3" s="1"/>
  <c r="G125" i="3" a="1"/>
  <c r="G125" i="3" s="1"/>
  <c r="G126" i="3" a="1"/>
  <c r="G126" i="3" s="1"/>
  <c r="G127" i="3" a="1"/>
  <c r="G127" i="3" s="1"/>
  <c r="G128" i="3" a="1"/>
  <c r="G128" i="3" s="1"/>
  <c r="G129" i="3" a="1"/>
  <c r="G129" i="3" s="1"/>
  <c r="G130" i="3" a="1"/>
  <c r="G130" i="3" s="1"/>
  <c r="G131" i="3" a="1"/>
  <c r="G131" i="3" s="1"/>
  <c r="G132" i="3" a="1"/>
  <c r="G132" i="3" s="1"/>
  <c r="G133" i="3" a="1"/>
  <c r="G133" i="3" s="1"/>
  <c r="G134" i="3" a="1"/>
  <c r="G134" i="3" s="1"/>
  <c r="G135" i="3" a="1"/>
  <c r="G135" i="3" s="1"/>
  <c r="G136" i="3" a="1"/>
  <c r="G136" i="3" s="1"/>
  <c r="G137" i="3" a="1"/>
  <c r="G137" i="3" s="1"/>
  <c r="G138" i="3" a="1"/>
  <c r="G138" i="3" s="1"/>
  <c r="G139" i="3" a="1"/>
  <c r="G139" i="3" s="1"/>
  <c r="G140" i="3" a="1"/>
  <c r="G140" i="3" s="1"/>
  <c r="G141" i="3" a="1"/>
  <c r="G141" i="3" s="1"/>
  <c r="G142" i="3" a="1"/>
  <c r="G142" i="3" s="1"/>
  <c r="G143" i="3" a="1"/>
  <c r="G143" i="3" s="1"/>
  <c r="G144" i="3" a="1"/>
  <c r="G144" i="3" s="1"/>
  <c r="G145" i="3" a="1"/>
  <c r="G145" i="3" s="1"/>
  <c r="G146" i="3" a="1"/>
  <c r="G146" i="3" s="1"/>
  <c r="G147" i="3" a="1"/>
  <c r="G147" i="3" s="1"/>
  <c r="G148" i="3" a="1"/>
  <c r="G148" i="3" s="1"/>
  <c r="G149" i="3" a="1"/>
  <c r="G149" i="3" s="1"/>
  <c r="G150" i="3" a="1"/>
  <c r="G150" i="3" s="1"/>
  <c r="G151" i="3" a="1"/>
  <c r="G151" i="3" s="1"/>
  <c r="G152" i="3" a="1"/>
  <c r="G152" i="3" s="1"/>
  <c r="G153" i="3" a="1"/>
  <c r="G153" i="3" s="1"/>
  <c r="G154" i="3" a="1"/>
  <c r="G154" i="3" s="1"/>
  <c r="G155" i="3" a="1"/>
  <c r="G155" i="3" s="1"/>
  <c r="G156" i="3" a="1"/>
  <c r="G156" i="3" s="1"/>
  <c r="G157" i="3" a="1"/>
  <c r="G157" i="3" s="1"/>
  <c r="G158" i="3" a="1"/>
  <c r="G158" i="3" s="1"/>
  <c r="G159" i="3" a="1"/>
  <c r="G159" i="3" s="1"/>
  <c r="G160" i="3" a="1"/>
  <c r="G160" i="3" s="1"/>
  <c r="G161" i="3" a="1"/>
  <c r="G161" i="3" s="1"/>
  <c r="G162" i="3" a="1"/>
  <c r="G162" i="3" s="1"/>
  <c r="G163" i="3" a="1"/>
  <c r="G163" i="3" s="1"/>
  <c r="G164" i="3" a="1"/>
  <c r="G164" i="3" s="1"/>
  <c r="G165" i="3" a="1"/>
  <c r="G165" i="3" s="1"/>
  <c r="G166" i="3" a="1"/>
  <c r="G166" i="3" s="1"/>
  <c r="G167" i="3" a="1"/>
  <c r="G167" i="3" s="1"/>
  <c r="G168" i="3" a="1"/>
  <c r="G168" i="3" s="1"/>
  <c r="G169" i="3" a="1"/>
  <c r="G169" i="3" s="1"/>
  <c r="G170" i="3" a="1"/>
  <c r="G170" i="3" s="1"/>
  <c r="G171" i="3" a="1"/>
  <c r="G171" i="3" s="1"/>
  <c r="G172" i="3" a="1"/>
  <c r="G172" i="3" s="1"/>
  <c r="G173" i="3" a="1"/>
  <c r="G173" i="3" s="1"/>
  <c r="G174" i="3" a="1"/>
  <c r="G174" i="3" s="1"/>
  <c r="G175" i="3" a="1"/>
  <c r="G175" i="3" s="1"/>
  <c r="G176" i="3" a="1"/>
  <c r="G176" i="3" s="1"/>
  <c r="G177" i="3" a="1"/>
  <c r="G177" i="3" s="1"/>
  <c r="G178" i="3" a="1"/>
  <c r="G178" i="3" s="1"/>
  <c r="G179" i="3" a="1"/>
  <c r="G179" i="3" s="1"/>
  <c r="G180" i="3" a="1"/>
  <c r="G180" i="3" s="1"/>
  <c r="G181" i="3" a="1"/>
  <c r="G181" i="3" s="1"/>
  <c r="G182" i="3" a="1"/>
  <c r="G182" i="3" s="1"/>
  <c r="G183" i="3" a="1"/>
  <c r="G183" i="3" s="1"/>
  <c r="G184" i="3" a="1"/>
  <c r="G184" i="3" s="1"/>
  <c r="G185" i="3" a="1"/>
  <c r="G185" i="3" s="1"/>
  <c r="G186" i="3" a="1"/>
  <c r="G186" i="3" s="1"/>
  <c r="G187" i="3" a="1"/>
  <c r="G187" i="3" s="1"/>
  <c r="G188" i="3" a="1"/>
  <c r="G188" i="3" s="1"/>
  <c r="G189" i="3" a="1"/>
  <c r="G189" i="3" s="1"/>
  <c r="G190" i="3" a="1"/>
  <c r="G190" i="3" s="1"/>
  <c r="G191" i="3" a="1"/>
  <c r="G191" i="3" s="1"/>
  <c r="G192" i="3" a="1"/>
  <c r="G192" i="3" s="1"/>
  <c r="G193" i="3" a="1"/>
  <c r="G193" i="3" s="1"/>
  <c r="G194" i="3" a="1"/>
  <c r="G194" i="3" s="1"/>
  <c r="G195" i="3" a="1"/>
  <c r="G195" i="3" s="1"/>
  <c r="G196" i="3" a="1"/>
  <c r="G196" i="3" s="1"/>
  <c r="G197" i="3" a="1"/>
  <c r="G197" i="3" s="1"/>
  <c r="G198" i="3" a="1"/>
  <c r="G198" i="3" s="1"/>
  <c r="G199" i="3" a="1"/>
  <c r="G199" i="3" s="1"/>
  <c r="G200" i="3" a="1"/>
  <c r="G200" i="3" s="1"/>
  <c r="G201" i="3" a="1"/>
  <c r="G201" i="3" s="1"/>
  <c r="G202" i="3" a="1"/>
  <c r="G202" i="3" s="1"/>
  <c r="G203" i="3" a="1"/>
  <c r="G203" i="3" s="1"/>
  <c r="G204" i="3" a="1"/>
  <c r="G204" i="3" s="1"/>
  <c r="G205" i="3" a="1"/>
  <c r="G205" i="3" s="1"/>
  <c r="G206" i="3" a="1"/>
  <c r="G206" i="3" s="1"/>
  <c r="G207" i="3" a="1"/>
  <c r="G207" i="3" s="1"/>
  <c r="G208" i="3" a="1"/>
  <c r="G208" i="3" s="1"/>
  <c r="G209" i="3" a="1"/>
  <c r="G209" i="3" s="1"/>
  <c r="G210" i="3" a="1"/>
  <c r="G210" i="3" s="1"/>
  <c r="G211" i="3" a="1"/>
  <c r="G211" i="3" s="1"/>
  <c r="G212" i="3" a="1"/>
  <c r="G212" i="3" s="1"/>
  <c r="G213" i="3" a="1"/>
  <c r="G213" i="3" s="1"/>
  <c r="G214" i="3" a="1"/>
  <c r="G214" i="3" s="1"/>
  <c r="G215" i="3" a="1"/>
  <c r="G215" i="3" s="1"/>
  <c r="G216" i="3" a="1"/>
  <c r="G216" i="3" s="1"/>
  <c r="G217" i="3" a="1"/>
  <c r="G217" i="3" s="1"/>
  <c r="G218" i="3" a="1"/>
  <c r="G218" i="3" s="1"/>
  <c r="G219" i="3" a="1"/>
  <c r="G219" i="3" s="1"/>
  <c r="G220" i="3" a="1"/>
  <c r="G220" i="3" s="1"/>
  <c r="G221" i="3" a="1"/>
  <c r="G221" i="3" s="1"/>
  <c r="G222" i="3" a="1"/>
  <c r="G222" i="3" s="1"/>
  <c r="G223" i="3" a="1"/>
  <c r="G223" i="3" s="1"/>
  <c r="G224" i="3" a="1"/>
  <c r="G224" i="3" s="1"/>
  <c r="G225" i="3" a="1"/>
  <c r="G225" i="3" s="1"/>
  <c r="G226" i="3" a="1"/>
  <c r="G226" i="3" s="1"/>
  <c r="G227" i="3" a="1"/>
  <c r="G227" i="3" s="1"/>
  <c r="G228" i="3" a="1"/>
  <c r="G228" i="3" s="1"/>
  <c r="G229" i="3" a="1"/>
  <c r="G229" i="3" s="1"/>
  <c r="G230" i="3" a="1"/>
  <c r="G230" i="3" s="1"/>
  <c r="G231" i="3" a="1"/>
  <c r="G231" i="3" s="1"/>
  <c r="G232" i="3" a="1"/>
  <c r="G232" i="3" s="1"/>
  <c r="G233" i="3" a="1"/>
  <c r="G233" i="3" s="1"/>
  <c r="G234" i="3" a="1"/>
  <c r="G234" i="3" s="1"/>
  <c r="G235" i="3" a="1"/>
  <c r="G235" i="3" s="1"/>
  <c r="G236" i="3" a="1"/>
  <c r="G236" i="3" s="1"/>
  <c r="G237" i="3" a="1"/>
  <c r="G237" i="3" s="1"/>
  <c r="G238" i="3" a="1"/>
  <c r="G238" i="3" s="1"/>
  <c r="G239" i="3" a="1"/>
  <c r="G239" i="3" s="1"/>
  <c r="G240" i="3" a="1"/>
  <c r="G240" i="3" s="1"/>
  <c r="G241" i="3" a="1"/>
  <c r="G241" i="3" s="1"/>
  <c r="G242" i="3" a="1"/>
  <c r="G242" i="3" s="1"/>
  <c r="G243" i="3" a="1"/>
  <c r="G243" i="3" s="1"/>
  <c r="G244" i="3" a="1"/>
  <c r="G244" i="3" s="1"/>
  <c r="G245" i="3" a="1"/>
  <c r="G245" i="3" s="1"/>
  <c r="G246" i="3" a="1"/>
  <c r="G246" i="3" s="1"/>
  <c r="G247" i="3" a="1"/>
  <c r="G247" i="3" s="1"/>
  <c r="G248" i="3" a="1"/>
  <c r="G248" i="3" s="1"/>
  <c r="G249" i="3" a="1"/>
  <c r="G249" i="3" s="1"/>
  <c r="G250" i="3" a="1"/>
  <c r="G250" i="3" s="1"/>
  <c r="G251" i="3" a="1"/>
  <c r="G251" i="3" s="1"/>
  <c r="G252" i="3" a="1"/>
  <c r="G252" i="3" s="1"/>
  <c r="G253" i="3" a="1"/>
  <c r="G253" i="3" s="1"/>
  <c r="G254" i="3" a="1"/>
  <c r="G254" i="3" s="1"/>
  <c r="G255" i="3" a="1"/>
  <c r="G255" i="3" s="1"/>
  <c r="G256" i="3" a="1"/>
  <c r="G256" i="3" s="1"/>
  <c r="G257" i="3" a="1"/>
  <c r="G257" i="3" s="1"/>
  <c r="G258" i="3" a="1"/>
  <c r="G258" i="3" s="1"/>
  <c r="G259" i="3" a="1"/>
  <c r="G259" i="3" s="1"/>
  <c r="G260" i="3" a="1"/>
  <c r="G260" i="3" s="1"/>
  <c r="G261" i="3" a="1"/>
  <c r="G261" i="3" s="1"/>
  <c r="G262" i="3" a="1"/>
  <c r="G262" i="3" s="1"/>
  <c r="G263" i="3" a="1"/>
  <c r="G263" i="3" s="1"/>
  <c r="G264" i="3" a="1"/>
  <c r="G264" i="3" s="1"/>
  <c r="G265" i="3" a="1"/>
  <c r="G265" i="3" s="1"/>
  <c r="G266" i="3" a="1"/>
  <c r="G266" i="3" s="1"/>
  <c r="G267" i="3" a="1"/>
  <c r="G267" i="3" s="1"/>
  <c r="G268" i="3" a="1"/>
  <c r="G268" i="3" s="1"/>
  <c r="G269" i="3" a="1"/>
  <c r="G269" i="3" s="1"/>
  <c r="G270" i="3" a="1"/>
  <c r="G270" i="3" s="1"/>
  <c r="G271" i="3" a="1"/>
  <c r="G271" i="3" s="1"/>
  <c r="G272" i="3" a="1"/>
  <c r="G272" i="3" s="1"/>
  <c r="G273" i="3" a="1"/>
  <c r="G273" i="3" s="1"/>
  <c r="G274" i="3" a="1"/>
  <c r="G274" i="3" s="1"/>
  <c r="G275" i="3" a="1"/>
  <c r="G275" i="3" s="1"/>
  <c r="G276" i="3" a="1"/>
  <c r="G276" i="3" s="1"/>
  <c r="G277" i="3" a="1"/>
  <c r="G277" i="3" s="1"/>
  <c r="G278" i="3" a="1"/>
  <c r="G278" i="3" s="1"/>
  <c r="G279" i="3" a="1"/>
  <c r="G279" i="3" s="1"/>
  <c r="G280" i="3" a="1"/>
  <c r="G280" i="3" s="1"/>
  <c r="G281" i="3" a="1"/>
  <c r="G281" i="3" s="1"/>
  <c r="G282" i="3" a="1"/>
  <c r="G282" i="3" s="1"/>
  <c r="G283" i="3" a="1"/>
  <c r="G283" i="3" s="1"/>
  <c r="G284" i="3" a="1"/>
  <c r="G284" i="3" s="1"/>
  <c r="G285" i="3" a="1"/>
  <c r="G285" i="3" s="1"/>
  <c r="G286" i="3" a="1"/>
  <c r="G286" i="3" s="1"/>
  <c r="G287" i="3" a="1"/>
  <c r="G287" i="3" s="1"/>
  <c r="G288" i="3" a="1"/>
  <c r="G288" i="3" s="1"/>
  <c r="G289" i="3" a="1"/>
  <c r="G289" i="3" s="1"/>
  <c r="G290" i="3" a="1"/>
  <c r="G290" i="3" s="1"/>
  <c r="G291" i="3" a="1"/>
  <c r="G291" i="3" s="1"/>
  <c r="G292" i="3" a="1"/>
  <c r="G292" i="3" s="1"/>
  <c r="G293" i="3" a="1"/>
  <c r="G293" i="3" s="1"/>
  <c r="G294" i="3" a="1"/>
  <c r="G294" i="3" s="1"/>
  <c r="G295" i="3" a="1"/>
  <c r="G295" i="3" s="1"/>
  <c r="G296" i="3" a="1"/>
  <c r="G296" i="3" s="1"/>
  <c r="G297" i="3" a="1"/>
  <c r="G297" i="3" s="1"/>
  <c r="G298" i="3" a="1"/>
  <c r="G298" i="3" s="1"/>
  <c r="G299" i="3" a="1"/>
  <c r="G299" i="3" s="1"/>
  <c r="G300" i="3" a="1"/>
  <c r="G300" i="3" s="1"/>
  <c r="G301" i="3" a="1"/>
  <c r="G301" i="3" s="1"/>
  <c r="G302" i="3" a="1"/>
  <c r="G302" i="3" s="1"/>
  <c r="G303" i="3" a="1"/>
  <c r="G303" i="3" s="1"/>
  <c r="G304" i="3" a="1"/>
  <c r="G304" i="3" s="1"/>
  <c r="G305" i="3" a="1"/>
  <c r="G305" i="3" s="1"/>
  <c r="G306" i="3" a="1"/>
  <c r="G306" i="3" s="1"/>
  <c r="G307" i="3" a="1"/>
  <c r="G307" i="3" s="1"/>
  <c r="G308" i="3" a="1"/>
  <c r="G308" i="3" s="1"/>
  <c r="G309" i="3" a="1"/>
  <c r="G309" i="3" s="1"/>
  <c r="G310" i="3" a="1"/>
  <c r="G310" i="3" s="1"/>
  <c r="G311" i="3" a="1"/>
  <c r="G311" i="3" s="1"/>
  <c r="G312" i="3" a="1"/>
  <c r="G312" i="3" s="1"/>
  <c r="G313" i="3" a="1"/>
  <c r="G313" i="3" s="1"/>
  <c r="G314" i="3" a="1"/>
  <c r="G314" i="3" s="1"/>
  <c r="G315" i="3" a="1"/>
  <c r="G315" i="3" s="1"/>
  <c r="G316" i="3" a="1"/>
  <c r="G316" i="3" s="1"/>
  <c r="G317" i="3" a="1"/>
  <c r="G317" i="3" s="1"/>
  <c r="G318" i="3" a="1"/>
  <c r="G318" i="3" s="1"/>
  <c r="G319" i="3" a="1"/>
  <c r="G319" i="3" s="1"/>
  <c r="G320" i="3" a="1"/>
  <c r="G320" i="3" s="1"/>
  <c r="G321" i="3" a="1"/>
  <c r="G321" i="3" s="1"/>
  <c r="G322" i="3" a="1"/>
  <c r="G322" i="3" s="1"/>
  <c r="G323" i="3" a="1"/>
  <c r="G323" i="3" s="1"/>
  <c r="G324" i="3" a="1"/>
  <c r="G324" i="3" s="1"/>
  <c r="G325" i="3" a="1"/>
  <c r="G325" i="3" s="1"/>
  <c r="G326" i="3" a="1"/>
  <c r="G326" i="3" s="1"/>
  <c r="G327" i="3" a="1"/>
  <c r="G327" i="3" s="1"/>
  <c r="G328" i="3" a="1"/>
  <c r="G328" i="3" s="1"/>
  <c r="G329" i="3" a="1"/>
  <c r="G329" i="3" s="1"/>
  <c r="G330" i="3" a="1"/>
  <c r="G330" i="3" s="1"/>
  <c r="G331" i="3" a="1"/>
  <c r="G331" i="3" s="1"/>
  <c r="G332" i="3" a="1"/>
  <c r="G332" i="3" s="1"/>
  <c r="G333" i="3" a="1"/>
  <c r="G333" i="3" s="1"/>
  <c r="G334" i="3" a="1"/>
  <c r="G334" i="3" s="1"/>
  <c r="G335" i="3" a="1"/>
  <c r="G335" i="3" s="1"/>
  <c r="G336" i="3" a="1"/>
  <c r="G336" i="3" s="1"/>
  <c r="G337" i="3" a="1"/>
  <c r="G337" i="3" s="1"/>
  <c r="G338" i="3" a="1"/>
  <c r="G338" i="3" s="1"/>
  <c r="G339" i="3" a="1"/>
  <c r="G339" i="3" s="1"/>
  <c r="G340" i="3" a="1"/>
  <c r="G340" i="3" s="1"/>
  <c r="G341" i="3" a="1"/>
  <c r="G341" i="3" s="1"/>
  <c r="G342" i="3" a="1"/>
  <c r="G342" i="3" s="1"/>
  <c r="G343" i="3" a="1"/>
  <c r="G343" i="3" s="1"/>
  <c r="G344" i="3" a="1"/>
  <c r="G344" i="3" s="1"/>
  <c r="G345" i="3" a="1"/>
  <c r="G345" i="3" s="1"/>
  <c r="G346" i="3" a="1"/>
  <c r="G346" i="3" s="1"/>
  <c r="G347" i="3" a="1"/>
  <c r="G347" i="3" s="1"/>
  <c r="G348" i="3" a="1"/>
  <c r="G348" i="3" s="1"/>
  <c r="G349" i="3" a="1"/>
  <c r="G349" i="3" s="1"/>
  <c r="G350" i="3" a="1"/>
  <c r="G350" i="3" s="1"/>
  <c r="G351" i="3" a="1"/>
  <c r="G351" i="3" s="1"/>
  <c r="G352" i="3" a="1"/>
  <c r="G352" i="3" s="1"/>
  <c r="G353" i="3" a="1"/>
  <c r="G353" i="3" s="1"/>
  <c r="G354" i="3" a="1"/>
  <c r="G354" i="3" s="1"/>
  <c r="G355" i="3" a="1"/>
  <c r="G355" i="3" s="1"/>
  <c r="G356" i="3" a="1"/>
  <c r="G356" i="3" s="1"/>
  <c r="G357" i="3" a="1"/>
  <c r="G357" i="3" s="1"/>
  <c r="G358" i="3" a="1"/>
  <c r="G358" i="3" s="1"/>
  <c r="G359" i="3" a="1"/>
  <c r="G359" i="3" s="1"/>
  <c r="G360" i="3" a="1"/>
  <c r="G360" i="3" s="1"/>
  <c r="G361" i="3" a="1"/>
  <c r="G361" i="3" s="1"/>
  <c r="G362" i="3" a="1"/>
  <c r="G362" i="3" s="1"/>
  <c r="G363" i="3" a="1"/>
  <c r="G363" i="3" s="1"/>
  <c r="G364" i="3" a="1"/>
  <c r="G364" i="3" s="1"/>
  <c r="G365" i="3" a="1"/>
  <c r="G365" i="3" s="1"/>
  <c r="G366" i="3" a="1"/>
  <c r="G366" i="3" s="1"/>
  <c r="G367" i="3" a="1"/>
  <c r="G367" i="3" s="1"/>
  <c r="G368" i="3" a="1"/>
  <c r="G368" i="3" s="1"/>
  <c r="G369" i="3" a="1"/>
  <c r="G369" i="3" s="1"/>
  <c r="G370" i="3" a="1"/>
  <c r="G370" i="3" s="1"/>
  <c r="G371" i="3" a="1"/>
  <c r="G371" i="3" s="1"/>
  <c r="G372" i="3" a="1"/>
  <c r="G372" i="3" s="1"/>
  <c r="G373" i="3" a="1"/>
  <c r="G373" i="3" s="1"/>
  <c r="G374" i="3" a="1"/>
  <c r="G374" i="3" s="1"/>
  <c r="G375" i="3" a="1"/>
  <c r="G375" i="3" s="1"/>
  <c r="G376" i="3" a="1"/>
  <c r="G376" i="3" s="1"/>
  <c r="G377" i="3" a="1"/>
  <c r="G377" i="3" s="1"/>
  <c r="G378" i="3" a="1"/>
  <c r="G378" i="3" s="1"/>
  <c r="G379" i="3" a="1"/>
  <c r="G379" i="3" s="1"/>
  <c r="G380" i="3" a="1"/>
  <c r="G380" i="3" s="1"/>
  <c r="G381" i="3" a="1"/>
  <c r="G381" i="3" s="1"/>
  <c r="G382" i="3" a="1"/>
  <c r="G382" i="3" s="1"/>
  <c r="G383" i="3" a="1"/>
  <c r="G383" i="3" s="1"/>
  <c r="G384" i="3" a="1"/>
  <c r="G384" i="3" s="1"/>
  <c r="G385" i="3" a="1"/>
  <c r="G385" i="3" s="1"/>
  <c r="G386" i="3" a="1"/>
  <c r="G386" i="3" s="1"/>
  <c r="G387" i="3" a="1"/>
  <c r="G387" i="3" s="1"/>
  <c r="G388" i="3" a="1"/>
  <c r="G388" i="3" s="1"/>
  <c r="G389" i="3" a="1"/>
  <c r="G389" i="3" s="1"/>
  <c r="G390" i="3" a="1"/>
  <c r="G390" i="3" s="1"/>
  <c r="G391" i="3" a="1"/>
  <c r="G391" i="3" s="1"/>
  <c r="G392" i="3" a="1"/>
  <c r="G392" i="3" s="1"/>
  <c r="G393" i="3" a="1"/>
  <c r="G393" i="3" s="1"/>
  <c r="G394" i="3" a="1"/>
  <c r="G394" i="3" s="1"/>
  <c r="G395" i="3" a="1"/>
  <c r="G395" i="3" s="1"/>
  <c r="G396" i="3" a="1"/>
  <c r="G396" i="3" s="1"/>
  <c r="G397" i="3" a="1"/>
  <c r="G397" i="3" s="1"/>
  <c r="G398" i="3" a="1"/>
  <c r="G398" i="3" s="1"/>
  <c r="G399" i="3" a="1"/>
  <c r="G399" i="3" s="1"/>
  <c r="G400" i="3" a="1"/>
  <c r="G400" i="3" s="1"/>
  <c r="G401" i="3" a="1"/>
  <c r="G401" i="3" s="1"/>
  <c r="G402" i="3" a="1"/>
  <c r="G402" i="3" s="1"/>
  <c r="G403" i="3" a="1"/>
  <c r="G403" i="3" s="1"/>
  <c r="G404" i="3" a="1"/>
  <c r="G404" i="3" s="1"/>
  <c r="G405" i="3" a="1"/>
  <c r="G405" i="3" s="1"/>
  <c r="G406" i="3" a="1"/>
  <c r="G406" i="3" s="1"/>
  <c r="G407" i="3" a="1"/>
  <c r="G407" i="3" s="1"/>
  <c r="G408" i="3" a="1"/>
  <c r="G408" i="3" s="1"/>
  <c r="G409" i="3" a="1"/>
  <c r="G409" i="3" s="1"/>
  <c r="G410" i="3" a="1"/>
  <c r="G410" i="3" s="1"/>
  <c r="G411" i="3" a="1"/>
  <c r="G411" i="3" s="1"/>
  <c r="G412" i="3" a="1"/>
  <c r="G412" i="3" s="1"/>
  <c r="G413" i="3" a="1"/>
  <c r="G413" i="3" s="1"/>
  <c r="G414" i="3" a="1"/>
  <c r="G414" i="3" s="1"/>
  <c r="G415" i="3" a="1"/>
  <c r="G415" i="3" s="1"/>
  <c r="G416" i="3" a="1"/>
  <c r="G416" i="3" s="1"/>
  <c r="G417" i="3" a="1"/>
  <c r="G417" i="3" s="1"/>
  <c r="G418" i="3" a="1"/>
  <c r="G418" i="3" s="1"/>
  <c r="G419" i="3" a="1"/>
  <c r="G419" i="3" s="1"/>
  <c r="G420" i="3" a="1"/>
  <c r="G420" i="3" s="1"/>
  <c r="G421" i="3" a="1"/>
  <c r="G421" i="3" s="1"/>
  <c r="G422" i="3" a="1"/>
  <c r="G422" i="3" s="1"/>
  <c r="G423" i="3" a="1"/>
  <c r="G423" i="3" s="1"/>
  <c r="G424" i="3" a="1"/>
  <c r="G424" i="3" s="1"/>
  <c r="G425" i="3" a="1"/>
  <c r="G425" i="3" s="1"/>
  <c r="G426" i="3" a="1"/>
  <c r="G426" i="3" s="1"/>
  <c r="G427" i="3" a="1"/>
  <c r="G427" i="3" s="1"/>
  <c r="G428" i="3" a="1"/>
  <c r="G428" i="3" s="1"/>
  <c r="G429" i="3" a="1"/>
  <c r="G429" i="3" s="1"/>
  <c r="G430" i="3" a="1"/>
  <c r="G430" i="3" s="1"/>
  <c r="G431" i="3" a="1"/>
  <c r="G431" i="3" s="1"/>
  <c r="G432" i="3" a="1"/>
  <c r="G432" i="3" s="1"/>
  <c r="G433" i="3" a="1"/>
  <c r="G433" i="3" s="1"/>
  <c r="G434" i="3" a="1"/>
  <c r="G434" i="3" s="1"/>
  <c r="G435" i="3" a="1"/>
  <c r="G435" i="3" s="1"/>
  <c r="G436" i="3" a="1"/>
  <c r="G436" i="3" s="1"/>
  <c r="G437" i="3" a="1"/>
  <c r="G437" i="3" s="1"/>
  <c r="G438" i="3" a="1"/>
  <c r="G438" i="3" s="1"/>
  <c r="G439" i="3" a="1"/>
  <c r="G439" i="3" s="1"/>
  <c r="G440" i="3" a="1"/>
  <c r="G440" i="3" s="1"/>
  <c r="G441" i="3" a="1"/>
  <c r="G441" i="3" s="1"/>
  <c r="G442" i="3" a="1"/>
  <c r="G442" i="3" s="1"/>
  <c r="G443" i="3" a="1"/>
  <c r="G443" i="3" s="1"/>
  <c r="G444" i="3" a="1"/>
  <c r="G444" i="3" s="1"/>
  <c r="G445" i="3" a="1"/>
  <c r="G445" i="3" s="1"/>
  <c r="G446" i="3" a="1"/>
  <c r="G446" i="3" s="1"/>
  <c r="G447" i="3" a="1"/>
  <c r="G447" i="3" s="1"/>
  <c r="G448" i="3" a="1"/>
  <c r="G448" i="3" s="1"/>
  <c r="G449" i="3" a="1"/>
  <c r="G449" i="3" s="1"/>
  <c r="G450" i="3" a="1"/>
  <c r="G450" i="3" s="1"/>
  <c r="G451" i="3" a="1"/>
  <c r="G451" i="3" s="1"/>
  <c r="G452" i="3" a="1"/>
  <c r="G452" i="3" s="1"/>
  <c r="G453" i="3" a="1"/>
  <c r="G453" i="3" s="1"/>
  <c r="G454" i="3" a="1"/>
  <c r="G454" i="3" s="1"/>
  <c r="G455" i="3" a="1"/>
  <c r="G455" i="3" s="1"/>
  <c r="G456" i="3" a="1"/>
  <c r="G456" i="3" s="1"/>
  <c r="G457" i="3" a="1"/>
  <c r="G457" i="3" s="1"/>
  <c r="G458" i="3" a="1"/>
  <c r="G458" i="3" s="1"/>
  <c r="G459" i="3" a="1"/>
  <c r="G459" i="3" s="1"/>
  <c r="G460" i="3" a="1"/>
  <c r="G460" i="3" s="1"/>
  <c r="G461" i="3" a="1"/>
  <c r="G461" i="3" s="1"/>
  <c r="G462" i="3" a="1"/>
  <c r="G462" i="3" s="1"/>
  <c r="G463" i="3" a="1"/>
  <c r="G463" i="3" s="1"/>
  <c r="G464" i="3" a="1"/>
  <c r="G464" i="3" s="1"/>
  <c r="G465" i="3" a="1"/>
  <c r="G465" i="3" s="1"/>
  <c r="G466" i="3" a="1"/>
  <c r="G466" i="3" s="1"/>
  <c r="G467" i="3" a="1"/>
  <c r="G467" i="3" s="1"/>
  <c r="G468" i="3" a="1"/>
  <c r="G468" i="3" s="1"/>
  <c r="G469" i="3" a="1"/>
  <c r="G469" i="3" s="1"/>
  <c r="G470" i="3" a="1"/>
  <c r="G470" i="3" s="1"/>
  <c r="G471" i="3" a="1"/>
  <c r="G471" i="3" s="1"/>
  <c r="G472" i="3" a="1"/>
  <c r="G472" i="3" s="1"/>
  <c r="G473" i="3" a="1"/>
  <c r="G473" i="3" s="1"/>
  <c r="G474" i="3" a="1"/>
  <c r="G474" i="3" s="1"/>
  <c r="G475" i="3" a="1"/>
  <c r="G475" i="3" s="1"/>
  <c r="G476" i="3" a="1"/>
  <c r="G476" i="3" s="1"/>
  <c r="G477" i="3" a="1"/>
  <c r="G477" i="3" s="1"/>
  <c r="G478" i="3" a="1"/>
  <c r="G478" i="3" s="1"/>
  <c r="G479" i="3" a="1"/>
  <c r="G479" i="3" s="1"/>
  <c r="G480" i="3" a="1"/>
  <c r="G480" i="3" s="1"/>
  <c r="G481" i="3" a="1"/>
  <c r="G481" i="3" s="1"/>
  <c r="G482" i="3" a="1"/>
  <c r="G482" i="3" s="1"/>
  <c r="G483" i="3" a="1"/>
  <c r="G483" i="3" s="1"/>
  <c r="G484" i="3" a="1"/>
  <c r="G484" i="3" s="1"/>
  <c r="G485" i="3" a="1"/>
  <c r="G485" i="3" s="1"/>
  <c r="G486" i="3" a="1"/>
  <c r="G486" i="3" s="1"/>
  <c r="G487" i="3" a="1"/>
  <c r="G487" i="3" s="1"/>
  <c r="G2" i="3" a="1"/>
  <c r="G2" i="3" s="1"/>
  <c r="D12" i="3" a="1"/>
  <c r="D224" i="3" a="1"/>
  <c r="D58" i="3" a="1"/>
  <c r="D271" i="3" a="1"/>
  <c r="E215" i="3"/>
  <c r="D161" i="3" a="1"/>
  <c r="E199" i="3"/>
  <c r="E281" i="3"/>
  <c r="E46" i="3"/>
  <c r="E144" i="3"/>
  <c r="D201" i="3" a="1"/>
  <c r="D151" i="3" a="1"/>
  <c r="D228" i="3" a="1"/>
  <c r="E279" i="3"/>
  <c r="D444" i="3" a="1"/>
  <c r="E105" i="3"/>
  <c r="E76" i="3"/>
  <c r="D157" i="3" a="1"/>
  <c r="E127" i="3"/>
  <c r="D250" i="3" a="1"/>
  <c r="D11" i="3" a="1"/>
  <c r="D355" i="3" a="1"/>
  <c r="E284" i="3"/>
  <c r="D40" i="3" a="1"/>
  <c r="E153" i="3"/>
  <c r="E310" i="3"/>
  <c r="D347" i="3" a="1"/>
  <c r="E323" i="3"/>
  <c r="D191" i="3" a="1"/>
  <c r="E340" i="3"/>
  <c r="D7" i="3" a="1"/>
  <c r="E349" i="3"/>
  <c r="E110" i="3"/>
  <c r="D477" i="3" a="1"/>
  <c r="D364" i="3" a="1"/>
  <c r="D10" i="3" a="1"/>
  <c r="D446" i="3" a="1"/>
  <c r="D88" i="3" a="1"/>
  <c r="E314" i="3"/>
  <c r="D168" i="3" a="1"/>
  <c r="E228" i="3"/>
  <c r="E450" i="3"/>
  <c r="D466" i="3" a="1"/>
  <c r="E140" i="3"/>
  <c r="D102" i="3" a="1"/>
  <c r="E34" i="3"/>
  <c r="E100" i="3"/>
  <c r="D33" i="3" a="1"/>
  <c r="D237" i="3" a="1"/>
  <c r="D387" i="3" a="1"/>
  <c r="E249" i="3"/>
  <c r="E290" i="3"/>
  <c r="D293" i="3" a="1"/>
  <c r="E367" i="3"/>
  <c r="E424" i="3"/>
  <c r="E189" i="3"/>
  <c r="D375" i="3" a="1"/>
  <c r="E157" i="3"/>
  <c r="D44" i="3" a="1"/>
  <c r="E482" i="3"/>
  <c r="E388" i="3"/>
  <c r="D121" i="3" a="1"/>
  <c r="E224" i="3"/>
  <c r="E358" i="3"/>
  <c r="E134" i="3"/>
  <c r="E462" i="3"/>
  <c r="E459" i="3"/>
  <c r="E475" i="3"/>
  <c r="E297" i="3"/>
  <c r="D143" i="3" a="1"/>
  <c r="E49" i="3"/>
  <c r="D261" i="3" a="1"/>
  <c r="D170" i="3" a="1"/>
  <c r="D80" i="3" a="1"/>
  <c r="D306" i="3" a="1"/>
  <c r="E387" i="3"/>
  <c r="E209" i="3"/>
  <c r="E17" i="3"/>
  <c r="E141" i="3"/>
  <c r="E407" i="3"/>
  <c r="D395" i="3" a="1"/>
  <c r="D141" i="3" a="1"/>
  <c r="D47" i="3" a="1"/>
  <c r="E480" i="3"/>
  <c r="E417" i="3"/>
  <c r="E464" i="3"/>
  <c r="D305" i="3" a="1"/>
  <c r="E120" i="3"/>
  <c r="D309" i="3" a="1"/>
  <c r="D186" i="3" a="1"/>
  <c r="E191" i="3"/>
  <c r="D206" i="3" a="1"/>
  <c r="E453" i="3"/>
  <c r="D60" i="3" a="1"/>
  <c r="E97" i="3"/>
  <c r="E353" i="3"/>
  <c r="E175" i="3"/>
  <c r="D332" i="3" a="1"/>
  <c r="E78" i="3"/>
  <c r="E29" i="3"/>
  <c r="D67" i="3" a="1"/>
  <c r="E440" i="3"/>
  <c r="D29" i="3" a="1"/>
  <c r="E373" i="3"/>
  <c r="E477" i="3"/>
  <c r="D163" i="3" a="1"/>
  <c r="D36" i="3" a="1"/>
  <c r="D473" i="3" a="1"/>
  <c r="D425" i="3" a="1"/>
  <c r="D434" i="3" a="1"/>
  <c r="E272" i="3"/>
  <c r="D479" i="3" a="1"/>
  <c r="E109" i="3"/>
  <c r="D96" i="3" a="1"/>
  <c r="D149" i="3" a="1"/>
  <c r="E139" i="3"/>
  <c r="E350" i="3"/>
  <c r="E406" i="3"/>
  <c r="E167" i="3"/>
  <c r="D16" i="3" a="1"/>
  <c r="D440" i="3" a="1"/>
  <c r="E264" i="3"/>
  <c r="D369" i="3" a="1"/>
  <c r="D402" i="3" a="1"/>
  <c r="E360" i="3"/>
  <c r="D132" i="3" a="1"/>
  <c r="D426" i="3" a="1"/>
  <c r="E5" i="3"/>
  <c r="D343" i="3" a="1"/>
  <c r="D72" i="3" a="1"/>
  <c r="D300" i="3" a="1"/>
  <c r="E383" i="3"/>
  <c r="E202" i="3"/>
  <c r="D484" i="3" a="1"/>
  <c r="E425" i="3"/>
  <c r="D467" i="3" a="1"/>
  <c r="E63" i="3"/>
  <c r="D200" i="3" a="1"/>
  <c r="D51" i="3" a="1"/>
  <c r="D267" i="3" a="1"/>
  <c r="E354" i="3"/>
  <c r="D313" i="3" a="1"/>
  <c r="E429" i="3"/>
  <c r="E69" i="3"/>
  <c r="E55" i="3"/>
  <c r="E4" i="3"/>
  <c r="D344" i="3" a="1"/>
  <c r="D42" i="3" a="1"/>
  <c r="E270" i="3"/>
  <c r="D69" i="3" a="1"/>
  <c r="E237" i="3"/>
  <c r="E123" i="3"/>
  <c r="E38" i="3"/>
  <c r="E128" i="3"/>
  <c r="D485" i="3" a="1"/>
  <c r="E260" i="3"/>
  <c r="D120" i="3" a="1"/>
  <c r="D126" i="3" a="1"/>
  <c r="E369" i="3"/>
  <c r="D103" i="3" a="1"/>
  <c r="E454" i="3"/>
  <c r="E12" i="3"/>
  <c r="D256" i="3" a="1"/>
  <c r="D210" i="3" a="1"/>
  <c r="E64" i="3"/>
  <c r="E92" i="3"/>
  <c r="E129" i="3"/>
  <c r="D14" i="3" a="1"/>
  <c r="E220" i="3"/>
  <c r="D277" i="3" a="1"/>
  <c r="D56" i="3" a="1"/>
  <c r="E428" i="3"/>
  <c r="E448" i="3"/>
  <c r="D174" i="3" a="1"/>
  <c r="E91" i="3"/>
  <c r="D280" i="3" a="1"/>
  <c r="D462" i="3" a="1"/>
  <c r="D24" i="3" a="1"/>
  <c r="D45" i="3" a="1"/>
  <c r="E87" i="3"/>
  <c r="E193" i="3"/>
  <c r="D230" i="3" a="1"/>
  <c r="D68" i="3" a="1"/>
  <c r="D428" i="3" a="1"/>
  <c r="E294" i="3"/>
  <c r="E254" i="3"/>
  <c r="E201" i="3"/>
  <c r="D289" i="3" a="1"/>
  <c r="D358" i="3" a="1"/>
  <c r="E405" i="3"/>
  <c r="D92" i="3" a="1"/>
  <c r="E426" i="3"/>
  <c r="E324" i="3"/>
  <c r="D301" i="3" a="1"/>
  <c r="D465" i="3" a="1"/>
  <c r="D470" i="3" a="1"/>
  <c r="D182" i="3" a="1"/>
  <c r="E103" i="3"/>
  <c r="D74" i="3" a="1"/>
  <c r="E21" i="3"/>
  <c r="E397" i="3"/>
  <c r="E321" i="3"/>
  <c r="E161" i="3"/>
  <c r="D390" i="3" a="1"/>
  <c r="E382" i="3"/>
  <c r="E186" i="3"/>
  <c r="E393" i="3"/>
  <c r="D260" i="3" a="1"/>
  <c r="D124" i="3" a="1"/>
  <c r="D396" i="3" a="1"/>
  <c r="D371" i="3" a="1"/>
  <c r="E377" i="3"/>
  <c r="D199" i="3" a="1"/>
  <c r="D340" i="3" a="1"/>
  <c r="D310" i="3" a="1"/>
  <c r="D475" i="3" a="1"/>
  <c r="E81" i="3"/>
  <c r="E325" i="3"/>
  <c r="E465" i="3"/>
  <c r="D235" i="3" a="1"/>
  <c r="E67" i="3"/>
  <c r="D418" i="3" a="1"/>
  <c r="E119" i="3"/>
  <c r="E31" i="3"/>
  <c r="D413" i="3" a="1"/>
  <c r="E258" i="3"/>
  <c r="D259" i="3" a="1"/>
  <c r="D323" i="3" a="1"/>
  <c r="E60" i="3"/>
  <c r="E390" i="3"/>
  <c r="E125" i="3"/>
  <c r="D203" i="3" a="1"/>
  <c r="D136" i="3" a="1"/>
  <c r="E16" i="3"/>
  <c r="E466" i="3"/>
  <c r="E41" i="3"/>
  <c r="D335" i="3" a="1"/>
  <c r="D317" i="3" a="1"/>
  <c r="E88" i="3"/>
  <c r="E48" i="3"/>
  <c r="D324" i="3" a="1"/>
  <c r="E223" i="3"/>
  <c r="E251" i="3"/>
  <c r="E32" i="3"/>
  <c r="D348" i="3" a="1"/>
  <c r="E330" i="3"/>
  <c r="E337" i="3"/>
  <c r="E2" i="3"/>
  <c r="D274" i="3" a="1"/>
  <c r="E274" i="3"/>
  <c r="D244" i="3" a="1"/>
  <c r="E289" i="3"/>
  <c r="E14" i="3"/>
  <c r="E74" i="3"/>
  <c r="D160" i="3" a="1"/>
  <c r="D460" i="3" a="1"/>
  <c r="E221" i="3"/>
  <c r="D169" i="3" a="1"/>
  <c r="E293" i="3"/>
  <c r="E19" i="3"/>
  <c r="E99" i="3"/>
  <c r="E469" i="3"/>
  <c r="E261" i="3"/>
  <c r="E247" i="3"/>
  <c r="D5" i="3" a="1"/>
  <c r="D325" i="3" a="1"/>
  <c r="D373" i="3" a="1"/>
  <c r="D333" i="3" a="1"/>
  <c r="E489" i="3"/>
  <c r="E44" i="3"/>
  <c r="D248" i="3" a="1"/>
  <c r="D474" i="3" a="1"/>
  <c r="D311" i="3" a="1"/>
  <c r="D472" i="3" a="1"/>
  <c r="D281" i="3" a="1"/>
  <c r="E420" i="3"/>
  <c r="E445" i="3"/>
  <c r="D129" i="3" a="1"/>
  <c r="D268" i="3" a="1"/>
  <c r="D480" i="3" a="1"/>
  <c r="E432" i="3"/>
  <c r="D385" i="3" a="1"/>
  <c r="E6" i="3"/>
  <c r="E160" i="3"/>
  <c r="D159" i="3" a="1"/>
  <c r="D469" i="3" a="1"/>
  <c r="E146" i="3"/>
  <c r="D207" i="3" a="1"/>
  <c r="D247" i="3" a="1"/>
  <c r="D251" i="3" a="1"/>
  <c r="D217" i="3" a="1"/>
  <c r="E408" i="3"/>
  <c r="D449" i="3" a="1"/>
  <c r="D441" i="3" a="1"/>
  <c r="D106" i="3" a="1"/>
  <c r="E404" i="3"/>
  <c r="E461" i="3"/>
  <c r="E300" i="3"/>
  <c r="E35" i="3"/>
  <c r="D229" i="3" a="1"/>
  <c r="E84" i="3"/>
  <c r="E411" i="3"/>
  <c r="D231" i="3" a="1"/>
  <c r="D84" i="3" a="1"/>
  <c r="E238" i="3"/>
  <c r="E322" i="3"/>
  <c r="D55" i="3" a="1"/>
  <c r="E436" i="3"/>
  <c r="D22" i="3" a="1"/>
  <c r="D97" i="3" a="1"/>
  <c r="D288" i="3" a="1"/>
  <c r="E364" i="3"/>
  <c r="E380" i="3"/>
  <c r="E245" i="3"/>
  <c r="D330" i="3" a="1"/>
  <c r="E447" i="3"/>
  <c r="D27" i="3" a="1"/>
  <c r="D487" i="3" a="1"/>
  <c r="E108" i="3"/>
  <c r="E163" i="3"/>
  <c r="D118" i="3" a="1"/>
  <c r="E79" i="3"/>
  <c r="D153" i="3" a="1"/>
  <c r="D478" i="3" a="1"/>
  <c r="D90" i="3" a="1"/>
  <c r="D386" i="3" a="1"/>
  <c r="D422" i="3" a="1"/>
  <c r="E457" i="3"/>
  <c r="D329" i="3" a="1"/>
  <c r="E474" i="3"/>
  <c r="E308" i="3"/>
  <c r="D312" i="3" a="1"/>
  <c r="E250" i="3"/>
  <c r="D282" i="3" a="1"/>
  <c r="D195" i="3" a="1"/>
  <c r="D131" i="3" a="1"/>
  <c r="E490" i="3"/>
  <c r="E116" i="3"/>
  <c r="D270" i="3" a="1"/>
  <c r="E66" i="3"/>
  <c r="D185" i="3" a="1"/>
  <c r="E276" i="3"/>
  <c r="E280" i="3"/>
  <c r="E54" i="3"/>
  <c r="D368" i="3" a="1"/>
  <c r="E479" i="3"/>
  <c r="E106" i="3"/>
  <c r="D208" i="3" a="1"/>
  <c r="D436" i="3" a="1"/>
  <c r="D155" i="3" a="1"/>
  <c r="D389" i="3" a="1"/>
  <c r="E50" i="3"/>
  <c r="E318" i="3"/>
  <c r="D322" i="3" a="1"/>
  <c r="E182" i="3"/>
  <c r="E145" i="3"/>
  <c r="D17" i="3" a="1"/>
  <c r="E320" i="3"/>
  <c r="D424" i="3" a="1"/>
  <c r="E304" i="3"/>
  <c r="D8" i="3" a="1"/>
  <c r="E231" i="3"/>
  <c r="D62" i="3" a="1"/>
  <c r="D39" i="3" a="1"/>
  <c r="D263" i="3" a="1"/>
  <c r="E384" i="3"/>
  <c r="D243" i="3" a="1"/>
  <c r="E285" i="3"/>
  <c r="D85" i="3" a="1"/>
  <c r="D21" i="3" a="1"/>
  <c r="D327" i="3" a="1"/>
  <c r="E427" i="3"/>
  <c r="D416" i="3" a="1"/>
  <c r="D134" i="3" a="1"/>
  <c r="E441" i="3"/>
  <c r="E164" i="3"/>
  <c r="E463" i="3"/>
  <c r="E115" i="3"/>
  <c r="D64" i="3" a="1"/>
  <c r="D356" i="3" a="1"/>
  <c r="D262" i="3" a="1"/>
  <c r="E158" i="3"/>
  <c r="E331" i="3"/>
  <c r="D115" i="3" a="1"/>
  <c r="D176" i="3" a="1"/>
  <c r="D113" i="3" a="1"/>
  <c r="E400" i="3"/>
  <c r="D457" i="3" a="1"/>
  <c r="D35" i="3" a="1"/>
  <c r="E472" i="3"/>
  <c r="D308" i="3" a="1"/>
  <c r="E473" i="3"/>
  <c r="D215" i="3" a="1"/>
  <c r="D468" i="3" a="1"/>
  <c r="E342" i="3"/>
  <c r="E68" i="3"/>
  <c r="E111" i="3"/>
  <c r="E268" i="3"/>
  <c r="E136" i="3"/>
  <c r="D409" i="3" a="1"/>
  <c r="E248" i="3"/>
  <c r="D70" i="3" a="1"/>
  <c r="E45" i="3"/>
  <c r="E37" i="3"/>
  <c r="D417" i="3" a="1"/>
  <c r="D448" i="3" a="1"/>
  <c r="D142" i="3" a="1"/>
  <c r="D285" i="3" a="1"/>
  <c r="E172" i="3"/>
  <c r="D73" i="3" a="1"/>
  <c r="D196" i="3" a="1"/>
  <c r="E183" i="3"/>
  <c r="D482" i="3" a="1"/>
  <c r="E150" i="3"/>
  <c r="E392" i="3"/>
  <c r="D303" i="3" a="1"/>
  <c r="D6" i="3" a="1"/>
  <c r="D453" i="3" a="1"/>
  <c r="D158" i="3" a="1"/>
  <c r="E101" i="3"/>
  <c r="D283" i="3" a="1"/>
  <c r="D13" i="3" a="1"/>
  <c r="E398" i="3"/>
  <c r="E216" i="3"/>
  <c r="E415" i="3"/>
  <c r="D234" i="3" a="1"/>
  <c r="E214" i="3"/>
  <c r="E200" i="3"/>
  <c r="E488" i="3"/>
  <c r="E345" i="3"/>
  <c r="E26" i="3"/>
  <c r="E83" i="3"/>
  <c r="D187" i="3" a="1"/>
  <c r="E96" i="3"/>
  <c r="E180" i="3"/>
  <c r="D427" i="3" a="1"/>
  <c r="D254" i="3" a="1"/>
  <c r="D287" i="3" a="1"/>
  <c r="D276" i="3" a="1"/>
  <c r="E327" i="3"/>
  <c r="E52" i="3"/>
  <c r="D110" i="3" a="1"/>
  <c r="D461" i="3" a="1"/>
  <c r="E122" i="3"/>
  <c r="D318" i="3" a="1"/>
  <c r="E395" i="3"/>
  <c r="E309" i="3"/>
  <c r="D445" i="3" a="1"/>
  <c r="E190" i="3"/>
  <c r="E451" i="3"/>
  <c r="D302" i="3" a="1"/>
  <c r="E444" i="3"/>
  <c r="E288" i="3"/>
  <c r="E194" i="3"/>
  <c r="E113" i="3"/>
  <c r="E177" i="3"/>
  <c r="D414" i="3" a="1"/>
  <c r="E234" i="3"/>
  <c r="D320" i="3" a="1"/>
  <c r="E114" i="3"/>
  <c r="E73" i="3"/>
  <c r="D362" i="3" a="1"/>
  <c r="D54" i="3" a="1"/>
  <c r="D378" i="3" a="1"/>
  <c r="D78" i="3" a="1"/>
  <c r="D119" i="3" a="1"/>
  <c r="D252" i="3" a="1"/>
  <c r="D82" i="3" a="1"/>
  <c r="D192" i="3" a="1"/>
  <c r="D341" i="3" a="1"/>
  <c r="E170" i="3"/>
  <c r="E133" i="3"/>
  <c r="D419" i="3" a="1"/>
  <c r="D43" i="3" a="1"/>
  <c r="E356" i="3"/>
  <c r="E483" i="3"/>
  <c r="D401" i="3" a="1"/>
  <c r="E446" i="3"/>
  <c r="E225" i="3"/>
  <c r="D454" i="3" a="1"/>
  <c r="D108" i="3" a="1"/>
  <c r="D28" i="3" a="1"/>
  <c r="E316" i="3"/>
  <c r="D61" i="3" a="1"/>
  <c r="D291" i="3" a="1"/>
  <c r="E449" i="3"/>
  <c r="D220" i="3" a="1"/>
  <c r="E456" i="3"/>
  <c r="D104" i="3" a="1"/>
  <c r="D15" i="3" a="1"/>
  <c r="E422" i="3"/>
  <c r="E138" i="3"/>
  <c r="D175" i="3" a="1"/>
  <c r="E413" i="3"/>
  <c r="E401" i="3"/>
  <c r="E117" i="3"/>
  <c r="D456" i="3" a="1"/>
  <c r="D204" i="3" a="1"/>
  <c r="D133" i="3" a="1"/>
  <c r="E332" i="3"/>
  <c r="D66" i="3" a="1"/>
  <c r="D37" i="3" a="1"/>
  <c r="D331" i="3" a="1"/>
  <c r="D429" i="3" a="1"/>
  <c r="E208" i="3"/>
  <c r="D144" i="3" a="1"/>
  <c r="D25" i="3" a="1"/>
  <c r="D374" i="3" a="1"/>
  <c r="E418" i="3"/>
  <c r="E452" i="3"/>
  <c r="E27" i="3"/>
  <c r="D177" i="3" a="1"/>
  <c r="E77" i="3"/>
  <c r="D405" i="3" a="1"/>
  <c r="E156" i="3"/>
  <c r="D98" i="3" a="1"/>
  <c r="D451" i="3" a="1"/>
  <c r="E102" i="3"/>
  <c r="D91" i="3" a="1"/>
  <c r="D415" i="3" a="1"/>
  <c r="E112" i="3"/>
  <c r="E344" i="3"/>
  <c r="E399" i="3"/>
  <c r="E118" i="3"/>
  <c r="E204" i="3"/>
  <c r="D269" i="3" a="1"/>
  <c r="E385" i="3"/>
  <c r="D212" i="3" a="1"/>
  <c r="E89" i="3"/>
  <c r="D194" i="3" a="1"/>
  <c r="E212" i="3"/>
  <c r="D48" i="3" a="1"/>
  <c r="E362" i="3"/>
  <c r="E56" i="3"/>
  <c r="D77" i="3" a="1"/>
  <c r="E357" i="3"/>
  <c r="E381" i="3"/>
  <c r="D89" i="3" a="1"/>
  <c r="D205" i="3" a="1"/>
  <c r="E124" i="3"/>
  <c r="E62" i="3"/>
  <c r="E442" i="3"/>
  <c r="E262" i="3"/>
  <c r="E269" i="3"/>
  <c r="D138" i="3" a="1"/>
  <c r="E205" i="3"/>
  <c r="D290" i="3" a="1"/>
  <c r="E476" i="3"/>
  <c r="E121" i="3"/>
  <c r="E419" i="3"/>
  <c r="E287" i="3"/>
  <c r="D421" i="3" a="1"/>
  <c r="E312" i="3"/>
  <c r="D307" i="3" a="1"/>
  <c r="D361" i="3" a="1"/>
  <c r="D439" i="3" a="1"/>
  <c r="D370" i="3" a="1"/>
  <c r="E271" i="3"/>
  <c r="E142" i="3"/>
  <c r="D397" i="3" a="1"/>
  <c r="D63" i="3" a="1"/>
  <c r="D459" i="3" a="1"/>
  <c r="E471" i="3"/>
  <c r="E351" i="3"/>
  <c r="E187" i="3"/>
  <c r="E151" i="3"/>
  <c r="D284" i="3" a="1"/>
  <c r="E206" i="3"/>
  <c r="E159" i="3"/>
  <c r="D213" i="3" a="1"/>
  <c r="D403" i="3" a="1"/>
  <c r="D130" i="3" a="1"/>
  <c r="E23" i="3"/>
  <c r="D437" i="3" a="1"/>
  <c r="D189" i="3" a="1"/>
  <c r="D101" i="3" a="1"/>
  <c r="E58" i="3"/>
  <c r="E57" i="3"/>
  <c r="D431" i="3" a="1"/>
  <c r="D172" i="3" a="1"/>
  <c r="D49" i="3" a="1"/>
  <c r="D139" i="3" a="1"/>
  <c r="D278" i="3" a="1"/>
  <c r="E299" i="3"/>
  <c r="D381" i="3" a="1"/>
  <c r="E80" i="3"/>
  <c r="E107" i="3"/>
  <c r="E402" i="3"/>
  <c r="D209" i="3" a="1"/>
  <c r="E246" i="3"/>
  <c r="D433" i="3" a="1"/>
  <c r="D292" i="3" a="1"/>
  <c r="E192" i="3"/>
  <c r="E90" i="3"/>
  <c r="E328" i="3"/>
  <c r="D349" i="3" a="1"/>
  <c r="E252" i="3"/>
  <c r="E137" i="3"/>
  <c r="D359" i="3" a="1"/>
  <c r="D380" i="3" a="1"/>
  <c r="D483" i="3" a="1"/>
  <c r="D241" i="3" a="1"/>
  <c r="D319" i="3" a="1"/>
  <c r="E437" i="3"/>
  <c r="D383" i="3" a="1"/>
  <c r="D173" i="3" a="1"/>
  <c r="D246" i="3" a="1"/>
  <c r="D393" i="3" a="1"/>
  <c r="D226" i="3" a="1"/>
  <c r="E275" i="3"/>
  <c r="D156" i="3" a="1"/>
  <c r="D81" i="3" a="1"/>
  <c r="D162" i="3" a="1"/>
  <c r="E386" i="3"/>
  <c r="E25" i="3"/>
  <c r="D9" i="3" a="1"/>
  <c r="D109" i="3" a="1"/>
  <c r="D188" i="3" a="1"/>
  <c r="E15" i="3"/>
  <c r="E391" i="3"/>
  <c r="E355" i="3"/>
  <c r="D275" i="3" a="1"/>
  <c r="E335" i="3"/>
  <c r="E61" i="3"/>
  <c r="D52" i="3" a="1"/>
  <c r="D93" i="3" a="1"/>
  <c r="E433" i="3"/>
  <c r="D32" i="3" a="1"/>
  <c r="D360" i="3" a="1"/>
  <c r="D154" i="3" a="1"/>
  <c r="E82" i="3"/>
  <c r="D147" i="3" a="1"/>
  <c r="E13" i="3"/>
  <c r="D326" i="3" a="1"/>
  <c r="E434" i="3"/>
  <c r="E18" i="3"/>
  <c r="D249" i="3" a="1"/>
  <c r="E295" i="3"/>
  <c r="D178" i="3" a="1"/>
  <c r="D111" i="3" a="1"/>
  <c r="E184" i="3"/>
  <c r="D367" i="3" a="1"/>
  <c r="E291" i="3"/>
  <c r="E162" i="3"/>
  <c r="D391" i="3" a="1"/>
  <c r="E305" i="3"/>
  <c r="E435" i="3"/>
  <c r="E286" i="3"/>
  <c r="D87" i="3" a="1"/>
  <c r="D257" i="3" a="1"/>
  <c r="D146" i="3" a="1"/>
  <c r="D286" i="3" a="1"/>
  <c r="E379" i="3"/>
  <c r="E267" i="3"/>
  <c r="E347" i="3"/>
  <c r="D354" i="3" a="1"/>
  <c r="D125" i="3" a="1"/>
  <c r="D255" i="3" a="1"/>
  <c r="D190" i="3" a="1"/>
  <c r="D150" i="3" a="1"/>
  <c r="E173" i="3"/>
  <c r="E155" i="3"/>
  <c r="E211" i="3"/>
  <c r="D304" i="3" a="1"/>
  <c r="E313" i="3"/>
  <c r="E374" i="3"/>
  <c r="D399" i="3" a="1"/>
  <c r="D334" i="3" a="1"/>
  <c r="D423" i="3" a="1"/>
  <c r="D83" i="3" a="1"/>
  <c r="D167" i="3" a="1"/>
  <c r="E458" i="3"/>
  <c r="D218" i="3" a="1"/>
  <c r="E22" i="3"/>
  <c r="D232" i="3" a="1"/>
  <c r="D148" i="3" a="1"/>
  <c r="D266" i="3" a="1"/>
  <c r="E98" i="3"/>
  <c r="D295" i="3" a="1"/>
  <c r="E467" i="3"/>
  <c r="E40" i="3"/>
  <c r="D420" i="3" a="1"/>
  <c r="E431" i="3"/>
  <c r="E416" i="3"/>
  <c r="D23" i="3" a="1"/>
  <c r="E283" i="3"/>
  <c r="E430" i="3"/>
  <c r="D57" i="3" a="1"/>
  <c r="E329" i="3"/>
  <c r="D145" i="3" a="1"/>
  <c r="E343" i="3"/>
  <c r="D357" i="3" a="1"/>
  <c r="E43" i="3"/>
  <c r="E93" i="3"/>
  <c r="E319" i="3"/>
  <c r="D117" i="3" a="1"/>
  <c r="D18" i="3" a="1"/>
  <c r="D488" i="3" a="1"/>
  <c r="E42" i="3"/>
  <c r="E210" i="3"/>
  <c r="D114" i="3" a="1"/>
  <c r="D193" i="3" a="1"/>
  <c r="E165" i="3"/>
  <c r="E338" i="3"/>
  <c r="D455" i="3" a="1"/>
  <c r="D296" i="3" a="1"/>
  <c r="E365" i="3"/>
  <c r="D450" i="3" a="1"/>
  <c r="E439" i="3"/>
  <c r="D223" i="3" a="1"/>
  <c r="E174" i="3"/>
  <c r="D337" i="3" a="1"/>
  <c r="E460" i="3"/>
  <c r="E396" i="3"/>
  <c r="E236" i="3"/>
  <c r="D41" i="3" a="1"/>
  <c r="D328" i="3" a="1"/>
  <c r="D233" i="3" a="1"/>
  <c r="D59" i="3" a="1"/>
  <c r="E372" i="3"/>
  <c r="E389" i="3"/>
  <c r="E255" i="3"/>
  <c r="E414" i="3"/>
  <c r="E72" i="3"/>
  <c r="E259" i="3"/>
  <c r="E277" i="3"/>
  <c r="D463" i="3" a="1"/>
  <c r="E306" i="3"/>
  <c r="E336" i="3"/>
  <c r="D410" i="3" a="1"/>
  <c r="D86" i="3" a="1"/>
  <c r="E334" i="3"/>
  <c r="D382" i="3" a="1"/>
  <c r="D4" i="3" a="1"/>
  <c r="D353" i="3" a="1"/>
  <c r="E152" i="3"/>
  <c r="E253" i="3"/>
  <c r="E169" i="3"/>
  <c r="D31" i="3" a="1"/>
  <c r="E28" i="3"/>
  <c r="E240" i="3"/>
  <c r="E403" i="3"/>
  <c r="E257" i="3"/>
  <c r="E265" i="3"/>
  <c r="E10" i="3"/>
  <c r="E148" i="3"/>
  <c r="E233" i="3"/>
  <c r="E3" i="3"/>
  <c r="D342" i="3" a="1"/>
  <c r="D486" i="3" a="1"/>
  <c r="D225" i="3" a="1"/>
  <c r="E481" i="3"/>
  <c r="E24" i="3"/>
  <c r="E333" i="3"/>
  <c r="E361" i="3"/>
  <c r="D346" i="3" a="1"/>
  <c r="E317" i="3"/>
  <c r="E198" i="3"/>
  <c r="E346" i="3"/>
  <c r="E75" i="3"/>
  <c r="E229" i="3"/>
  <c r="D240" i="3" a="1"/>
  <c r="E181" i="3"/>
  <c r="E178" i="3"/>
  <c r="D321" i="3" a="1"/>
  <c r="E8" i="3"/>
  <c r="E7" i="3"/>
  <c r="D365" i="3" a="1"/>
  <c r="E478" i="3"/>
  <c r="E154" i="3"/>
  <c r="D107" i="3" a="1"/>
  <c r="E230" i="3"/>
  <c r="E213" i="3"/>
  <c r="E227" i="3"/>
  <c r="E266" i="3"/>
  <c r="D432" i="3" a="1"/>
  <c r="D71" i="3" a="1"/>
  <c r="D352" i="3" a="1"/>
  <c r="E394" i="3"/>
  <c r="D253" i="3" a="1"/>
  <c r="E326" i="3"/>
  <c r="D279" i="3" a="1"/>
  <c r="E487" i="3"/>
  <c r="E256" i="3"/>
  <c r="E232" i="3"/>
  <c r="E217" i="3"/>
  <c r="E85" i="3"/>
  <c r="E95" i="3"/>
  <c r="E421" i="3"/>
  <c r="E65" i="3"/>
  <c r="E51" i="3"/>
  <c r="D50" i="3" a="1"/>
  <c r="D398" i="3" a="1"/>
  <c r="D179" i="3" a="1"/>
  <c r="D442" i="3" a="1"/>
  <c r="D366" i="3" a="1"/>
  <c r="E410" i="3"/>
  <c r="E307" i="3"/>
  <c r="D350" i="3" a="1"/>
  <c r="D128" i="3" a="1"/>
  <c r="E292" i="3"/>
  <c r="E147" i="3"/>
  <c r="E179" i="3"/>
  <c r="E241" i="3"/>
  <c r="D34" i="3" a="1"/>
  <c r="D219" i="3" a="1"/>
  <c r="D408" i="3" a="1"/>
  <c r="E301" i="3"/>
  <c r="D351" i="3" a="1"/>
  <c r="E86" i="3"/>
  <c r="E423" i="3"/>
  <c r="D316" i="3" a="1"/>
  <c r="E239" i="3"/>
  <c r="D404" i="3" a="1"/>
  <c r="D363" i="3" a="1"/>
  <c r="E366" i="3"/>
  <c r="E263" i="3"/>
  <c r="D181" i="3" a="1"/>
  <c r="D19" i="3" a="1"/>
  <c r="D379" i="3" a="1"/>
  <c r="D258" i="3" a="1"/>
  <c r="E244" i="3"/>
  <c r="E468" i="3"/>
  <c r="E359" i="3"/>
  <c r="E70" i="3"/>
  <c r="D411" i="3" a="1"/>
  <c r="E197" i="3"/>
  <c r="D412" i="3" a="1"/>
  <c r="D165" i="3" a="1"/>
  <c r="D137" i="3" a="1"/>
  <c r="D26" i="3" a="1"/>
  <c r="D3" i="3" a="1"/>
  <c r="D339" i="3" a="1"/>
  <c r="E94" i="3"/>
  <c r="D184" i="3" a="1"/>
  <c r="E171" i="3"/>
  <c r="E235" i="3"/>
  <c r="E143" i="3"/>
  <c r="E376" i="3"/>
  <c r="E455" i="3"/>
  <c r="E485" i="3"/>
  <c r="D299" i="3" a="1"/>
  <c r="E371" i="3"/>
  <c r="E226" i="3"/>
  <c r="D65" i="3" a="1"/>
  <c r="D481" i="3" a="1"/>
  <c r="D127" i="3" a="1"/>
  <c r="D94" i="3" a="1"/>
  <c r="D338" i="3" a="1"/>
  <c r="D105" i="3" a="1"/>
  <c r="E33" i="3"/>
  <c r="D198" i="3" a="1"/>
  <c r="D171" i="3" a="1"/>
  <c r="D76" i="3" a="1"/>
  <c r="D53" i="3" a="1"/>
  <c r="E135" i="3"/>
  <c r="E71" i="3"/>
  <c r="E370" i="3"/>
  <c r="D152" i="3" a="1"/>
  <c r="E443" i="3"/>
  <c r="D180" i="3" a="1"/>
  <c r="D197" i="3" a="1"/>
  <c r="E412" i="3"/>
  <c r="D377" i="3" a="1"/>
  <c r="D227" i="3" a="1"/>
  <c r="D272" i="3" a="1"/>
  <c r="E219" i="3"/>
  <c r="D123" i="3" a="1"/>
  <c r="D140" i="3" a="1"/>
  <c r="D336" i="3" a="1"/>
  <c r="E302" i="3"/>
  <c r="D458" i="3" a="1"/>
  <c r="E203" i="3"/>
  <c r="D490" i="3" a="1"/>
  <c r="E273" i="3"/>
  <c r="E131" i="3"/>
  <c r="D392" i="3" a="1"/>
  <c r="D372" i="3" a="1"/>
  <c r="D122" i="3" a="1"/>
  <c r="E311" i="3"/>
  <c r="D294" i="3" a="1"/>
  <c r="E296" i="3"/>
  <c r="E339" i="3"/>
  <c r="D2" i="3" a="1"/>
  <c r="D476" i="3" a="1"/>
  <c r="E363" i="3"/>
  <c r="D222" i="3" a="1"/>
  <c r="E39" i="3"/>
  <c r="D394" i="3" a="1"/>
  <c r="E168" i="3"/>
  <c r="D30" i="3" a="1"/>
  <c r="D315" i="3" a="1"/>
  <c r="D435" i="3" a="1"/>
  <c r="D100" i="3" a="1"/>
  <c r="D447" i="3" a="1"/>
  <c r="D464" i="3" a="1"/>
  <c r="D245" i="3" a="1"/>
  <c r="E243" i="3"/>
  <c r="E375" i="3"/>
  <c r="E36" i="3"/>
  <c r="D239" i="3" a="1"/>
  <c r="E195" i="3"/>
  <c r="E409" i="3"/>
  <c r="E149" i="3"/>
  <c r="E352" i="3"/>
  <c r="E185" i="3"/>
  <c r="D221" i="3" a="1"/>
  <c r="D384" i="3" a="1"/>
  <c r="D183" i="3" a="1"/>
  <c r="E378" i="3"/>
  <c r="E20" i="3"/>
  <c r="E207" i="3"/>
  <c r="E196" i="3"/>
  <c r="E104" i="3"/>
  <c r="E222" i="3"/>
  <c r="D135" i="3" a="1"/>
  <c r="D99" i="3" a="1"/>
  <c r="E438" i="3"/>
  <c r="D265" i="3" a="1"/>
  <c r="D298" i="3" a="1"/>
  <c r="D214" i="3" a="1"/>
  <c r="E315" i="3"/>
  <c r="E282" i="3"/>
  <c r="D75" i="3" a="1"/>
  <c r="D388" i="3" a="1"/>
  <c r="E47" i="3"/>
  <c r="D489" i="3" a="1"/>
  <c r="E176" i="3"/>
  <c r="D116" i="3" a="1"/>
  <c r="E59" i="3"/>
  <c r="E218" i="3"/>
  <c r="D297" i="3" a="1"/>
  <c r="E132" i="3"/>
  <c r="D314" i="3" a="1"/>
  <c r="D443" i="3" a="1"/>
  <c r="E242" i="3"/>
  <c r="D164" i="3" a="1"/>
  <c r="E484" i="3"/>
  <c r="E470" i="3"/>
  <c r="E298" i="3"/>
  <c r="D95" i="3" a="1"/>
  <c r="D216" i="3" a="1"/>
  <c r="D20" i="3" a="1"/>
  <c r="D166" i="3" a="1"/>
  <c r="E30" i="3"/>
  <c r="E348" i="3"/>
  <c r="D112" i="3" a="1"/>
  <c r="E126" i="3"/>
  <c r="D345" i="3" a="1"/>
  <c r="D430" i="3" a="1"/>
  <c r="D407" i="3" a="1"/>
  <c r="D79" i="3" a="1"/>
  <c r="E130" i="3"/>
  <c r="E53" i="3"/>
  <c r="E9" i="3"/>
  <c r="E278" i="3"/>
  <c r="D400" i="3" a="1"/>
  <c r="E486" i="3"/>
  <c r="D38" i="3" a="1"/>
  <c r="D452" i="3" a="1"/>
  <c r="D264" i="3" a="1"/>
  <c r="D211" i="3" a="1"/>
  <c r="E11" i="3"/>
  <c r="D438" i="3" a="1"/>
  <c r="D242" i="3" a="1"/>
  <c r="D376" i="3" a="1"/>
  <c r="D238" i="3" a="1"/>
  <c r="E166" i="3"/>
  <c r="E303" i="3"/>
  <c r="D471" i="3" a="1"/>
  <c r="D273" i="3" a="1"/>
  <c r="E368" i="3"/>
  <c r="D46" i="3" a="1"/>
  <c r="D406" i="3" a="1"/>
  <c r="D236" i="3" a="1"/>
  <c r="E341" i="3"/>
  <c r="D202" i="3" a="1"/>
  <c r="E188" i="3"/>
  <c r="D12" i="3" l="1"/>
  <c r="F12" i="3" s="1"/>
  <c r="D5" i="3"/>
  <c r="F5" i="3" s="1"/>
  <c r="O15" i="3"/>
  <c r="N37" i="3"/>
  <c r="O26" i="3"/>
  <c r="Q9" i="3"/>
  <c r="Q50" i="3"/>
  <c r="Q52" i="3" s="1"/>
  <c r="D336" i="3"/>
  <c r="F336" i="3" s="1"/>
  <c r="D103" i="3"/>
  <c r="F103" i="3" s="1"/>
  <c r="D47" i="3"/>
  <c r="F47" i="3" s="1"/>
  <c r="D337" i="3"/>
  <c r="D369" i="3"/>
  <c r="D390" i="3"/>
  <c r="F390" i="3" s="1"/>
  <c r="D20" i="3"/>
  <c r="D91" i="3"/>
  <c r="F91" i="3" s="1"/>
  <c r="D49" i="3"/>
  <c r="D323" i="3"/>
  <c r="D347" i="3"/>
  <c r="D168" i="3"/>
  <c r="F168" i="3" s="1"/>
  <c r="D110" i="3"/>
  <c r="D24" i="3"/>
  <c r="F24" i="3" s="1"/>
  <c r="D379" i="3"/>
  <c r="D234" i="3"/>
  <c r="D245" i="3"/>
  <c r="F245" i="3" s="1"/>
  <c r="D382" i="3"/>
  <c r="D353" i="3"/>
  <c r="D65" i="3"/>
  <c r="D340" i="3"/>
  <c r="D405" i="3"/>
  <c r="D76" i="3"/>
  <c r="F76" i="3" s="1"/>
  <c r="D87" i="3"/>
  <c r="D166" i="3"/>
  <c r="F166" i="3" s="1"/>
  <c r="D461" i="3"/>
  <c r="D153" i="3"/>
  <c r="F153" i="3" s="1"/>
  <c r="D319" i="3"/>
  <c r="D185" i="3"/>
  <c r="F185" i="3" s="1"/>
  <c r="D483" i="3"/>
  <c r="D445" i="3"/>
  <c r="D106" i="3"/>
  <c r="D388" i="3"/>
  <c r="D488" i="3"/>
  <c r="D306" i="3"/>
  <c r="D490" i="3"/>
  <c r="F490" i="3" s="1"/>
  <c r="D177" i="3"/>
  <c r="F177" i="3" s="1"/>
  <c r="D300" i="3"/>
  <c r="F300" i="3" s="1"/>
  <c r="D350" i="3"/>
  <c r="D72" i="3"/>
  <c r="D264" i="3"/>
  <c r="D343" i="3"/>
  <c r="D77" i="3"/>
  <c r="D213" i="3"/>
  <c r="D79" i="3"/>
  <c r="D144" i="3"/>
  <c r="D240" i="3"/>
  <c r="D44" i="3"/>
  <c r="F44" i="3" s="1"/>
  <c r="D352" i="3"/>
  <c r="D81" i="3"/>
  <c r="D174" i="3"/>
  <c r="F174" i="3" s="1"/>
  <c r="D161" i="3"/>
  <c r="D361" i="3"/>
  <c r="D204" i="3"/>
  <c r="F204" i="3" s="1"/>
  <c r="D278" i="3"/>
  <c r="F278" i="3" s="1"/>
  <c r="D102" i="3"/>
  <c r="D33" i="3"/>
  <c r="F33" i="3" s="1"/>
  <c r="D330" i="3"/>
  <c r="D39" i="3"/>
  <c r="D276" i="3"/>
  <c r="D199" i="3"/>
  <c r="D88" i="3"/>
  <c r="D469" i="3"/>
  <c r="D446" i="3"/>
  <c r="D231" i="3"/>
  <c r="D10" i="3"/>
  <c r="D380" i="3"/>
  <c r="D272" i="3"/>
  <c r="F272" i="3" s="1"/>
  <c r="D53" i="3"/>
  <c r="D216" i="3"/>
  <c r="D95" i="3"/>
  <c r="F95" i="3" s="1"/>
  <c r="D322" i="3"/>
  <c r="F322" i="3" s="1"/>
  <c r="D360" i="3"/>
  <c r="D62" i="3"/>
  <c r="F62" i="3" s="1"/>
  <c r="D84" i="3"/>
  <c r="F84" i="3" s="1"/>
  <c r="D75" i="3"/>
  <c r="F75" i="3" s="1"/>
  <c r="D66" i="3"/>
  <c r="D214" i="3"/>
  <c r="D329" i="3"/>
  <c r="F329" i="3" s="1"/>
  <c r="D229" i="3"/>
  <c r="D159" i="3"/>
  <c r="F159" i="3" s="1"/>
  <c r="D220" i="3"/>
  <c r="D396" i="3"/>
  <c r="D244" i="3"/>
  <c r="D232" i="3"/>
  <c r="D52" i="3"/>
  <c r="D60" i="3"/>
  <c r="D17" i="3"/>
  <c r="D74" i="3"/>
  <c r="F74" i="3" s="1"/>
  <c r="D432" i="3"/>
  <c r="F432" i="3" s="1"/>
  <c r="D433" i="3"/>
  <c r="F433" i="3" s="1"/>
  <c r="D137" i="3"/>
  <c r="D70" i="3"/>
  <c r="D472" i="3"/>
  <c r="D237" i="3"/>
  <c r="F237" i="3" s="1"/>
  <c r="D50" i="3"/>
  <c r="D416" i="3"/>
  <c r="D265" i="3"/>
  <c r="F265" i="3" s="1"/>
  <c r="D27" i="3"/>
  <c r="D448" i="3"/>
  <c r="D126" i="3"/>
  <c r="D271" i="3"/>
  <c r="F271" i="3" s="1"/>
  <c r="D312" i="3"/>
  <c r="F312" i="3" s="1"/>
  <c r="D58" i="3"/>
  <c r="D227" i="3"/>
  <c r="F227" i="3" s="1"/>
  <c r="D224" i="3"/>
  <c r="D157" i="3"/>
  <c r="D398" i="3"/>
  <c r="F398" i="3" s="1"/>
  <c r="D186" i="3"/>
  <c r="F186" i="3" s="1"/>
  <c r="D324" i="3"/>
  <c r="D354" i="3"/>
  <c r="F354" i="3" s="1"/>
  <c r="D135" i="3"/>
  <c r="D241" i="3"/>
  <c r="D302" i="3"/>
  <c r="D447" i="3"/>
  <c r="D28" i="3"/>
  <c r="F28" i="3" s="1"/>
  <c r="D211" i="3"/>
  <c r="F211" i="3" s="1"/>
  <c r="D203" i="3"/>
  <c r="D481" i="3"/>
  <c r="F481" i="3" s="1"/>
  <c r="D249" i="3"/>
  <c r="D431" i="3"/>
  <c r="D318" i="3"/>
  <c r="D206" i="3"/>
  <c r="F206" i="3" s="1"/>
  <c r="D417" i="3"/>
  <c r="F417" i="3" s="1"/>
  <c r="D97" i="3"/>
  <c r="D436" i="3"/>
  <c r="F436" i="3" s="1"/>
  <c r="D358" i="3"/>
  <c r="D252" i="3"/>
  <c r="D83" i="3"/>
  <c r="F83" i="3" s="1"/>
  <c r="D476" i="3"/>
  <c r="D38" i="3"/>
  <c r="D477" i="3"/>
  <c r="F477" i="3" s="1"/>
  <c r="D404" i="3"/>
  <c r="D478" i="3"/>
  <c r="D331" i="3"/>
  <c r="D15" i="3"/>
  <c r="F15" i="3" s="1"/>
  <c r="D443" i="3"/>
  <c r="D148" i="3"/>
  <c r="D178" i="3"/>
  <c r="F178" i="3" s="1"/>
  <c r="D459" i="3"/>
  <c r="F459" i="3" s="1"/>
  <c r="D42" i="3"/>
  <c r="F42" i="3" s="1"/>
  <c r="D406" i="3"/>
  <c r="D480" i="3"/>
  <c r="D21" i="3"/>
  <c r="F21" i="3" s="1"/>
  <c r="D430" i="3"/>
  <c r="D104" i="3"/>
  <c r="D219" i="3"/>
  <c r="D122" i="3"/>
  <c r="F122" i="3" s="1"/>
  <c r="D438" i="3"/>
  <c r="D125" i="3"/>
  <c r="D235" i="3"/>
  <c r="F235" i="3" s="1"/>
  <c r="D284" i="3"/>
  <c r="D131" i="3"/>
  <c r="D399" i="3"/>
  <c r="D69" i="3"/>
  <c r="F69" i="3" s="1"/>
  <c r="D429" i="3"/>
  <c r="F429" i="3" s="1"/>
  <c r="D267" i="3"/>
  <c r="D397" i="3"/>
  <c r="F397" i="3" s="1"/>
  <c r="D51" i="3"/>
  <c r="D414" i="3"/>
  <c r="F414" i="3" s="1"/>
  <c r="D200" i="3"/>
  <c r="F200" i="3" s="1"/>
  <c r="D169" i="3"/>
  <c r="D381" i="3"/>
  <c r="D188" i="3"/>
  <c r="F188" i="3" s="1"/>
  <c r="D378" i="3"/>
  <c r="D118" i="3"/>
  <c r="D108" i="3"/>
  <c r="D263" i="3"/>
  <c r="D449" i="3"/>
  <c r="D313" i="3"/>
  <c r="D120" i="3"/>
  <c r="D452" i="3"/>
  <c r="D368" i="3"/>
  <c r="D260" i="3"/>
  <c r="D111" i="3"/>
  <c r="D172" i="3"/>
  <c r="D345" i="3"/>
  <c r="D275" i="3"/>
  <c r="D455" i="3"/>
  <c r="F455" i="3" s="1"/>
  <c r="D123" i="3"/>
  <c r="D464" i="3"/>
  <c r="D130" i="3"/>
  <c r="F130" i="3" s="1"/>
  <c r="D393" i="3"/>
  <c r="D152" i="3"/>
  <c r="D422" i="3"/>
  <c r="F422" i="3" s="1"/>
  <c r="D451" i="3"/>
  <c r="D167" i="3"/>
  <c r="D485" i="3"/>
  <c r="F485" i="3" s="1"/>
  <c r="D31" i="3"/>
  <c r="F31" i="3" s="1"/>
  <c r="D23" i="3"/>
  <c r="D435" i="3"/>
  <c r="D119" i="3"/>
  <c r="D182" i="3"/>
  <c r="D457" i="3"/>
  <c r="F457" i="3" s="1"/>
  <c r="D409" i="3"/>
  <c r="F409" i="3" s="1"/>
  <c r="D259" i="3"/>
  <c r="F259" i="3" s="1"/>
  <c r="D85" i="3"/>
  <c r="F85" i="3" s="1"/>
  <c r="D482" i="3"/>
  <c r="F482" i="3" s="1"/>
  <c r="D136" i="3"/>
  <c r="F136" i="3" s="1"/>
  <c r="D146" i="3"/>
  <c r="D262" i="3"/>
  <c r="D223" i="3"/>
  <c r="F223" i="3" s="1"/>
  <c r="D355" i="3"/>
  <c r="D98" i="3"/>
  <c r="D402" i="3"/>
  <c r="D230" i="3"/>
  <c r="D344" i="3"/>
  <c r="D253" i="3"/>
  <c r="F253" i="3" s="1"/>
  <c r="D26" i="3"/>
  <c r="F26" i="3" s="1"/>
  <c r="D357" i="3"/>
  <c r="D389" i="3"/>
  <c r="F389" i="3" s="1"/>
  <c r="D285" i="3"/>
  <c r="F285" i="3" s="1"/>
  <c r="D198" i="3"/>
  <c r="D274" i="3"/>
  <c r="D371" i="3"/>
  <c r="F371" i="3" s="1"/>
  <c r="D40" i="3"/>
  <c r="D400" i="3"/>
  <c r="D228" i="3"/>
  <c r="F228" i="3" s="1"/>
  <c r="D374" i="3"/>
  <c r="D151" i="3"/>
  <c r="F151" i="3" s="1"/>
  <c r="D270" i="3"/>
  <c r="D201" i="3"/>
  <c r="D90" i="3"/>
  <c r="F90" i="3" s="1"/>
  <c r="D163" i="3"/>
  <c r="D139" i="3"/>
  <c r="F139" i="3" s="1"/>
  <c r="D373" i="3"/>
  <c r="F373" i="3" s="1"/>
  <c r="D236" i="3"/>
  <c r="F236" i="3" s="1"/>
  <c r="D112" i="3"/>
  <c r="D460" i="3"/>
  <c r="D54" i="3"/>
  <c r="F54" i="3" s="1"/>
  <c r="D239" i="3"/>
  <c r="D444" i="3"/>
  <c r="D440" i="3"/>
  <c r="F440" i="3" s="1"/>
  <c r="D134" i="3"/>
  <c r="F134" i="3" s="1"/>
  <c r="D296" i="3"/>
  <c r="D63" i="3"/>
  <c r="D165" i="3"/>
  <c r="F165" i="3" s="1"/>
  <c r="D117" i="3"/>
  <c r="D246" i="3"/>
  <c r="D18" i="3"/>
  <c r="D37" i="3"/>
  <c r="D375" i="3"/>
  <c r="F375" i="3" s="1"/>
  <c r="D273" i="3"/>
  <c r="F273" i="3" s="1"/>
  <c r="D140" i="3"/>
  <c r="F140" i="3" s="1"/>
  <c r="D202" i="3"/>
  <c r="D363" i="3"/>
  <c r="D487" i="3"/>
  <c r="F487" i="3" s="1"/>
  <c r="D142" i="3"/>
  <c r="F142" i="3" s="1"/>
  <c r="D327" i="3"/>
  <c r="D100" i="3"/>
  <c r="D73" i="3"/>
  <c r="D356" i="3"/>
  <c r="F356" i="3" s="1"/>
  <c r="D248" i="3"/>
  <c r="D289" i="3"/>
  <c r="F289" i="3" s="1"/>
  <c r="D156" i="3"/>
  <c r="D221" i="3"/>
  <c r="D395" i="3"/>
  <c r="D321" i="3"/>
  <c r="D346" i="3"/>
  <c r="F346" i="3" s="1"/>
  <c r="D141" i="3"/>
  <c r="F141" i="3" s="1"/>
  <c r="D450" i="3"/>
  <c r="F450" i="3" s="1"/>
  <c r="D428" i="3"/>
  <c r="D92" i="3"/>
  <c r="D434" i="3"/>
  <c r="D205" i="3"/>
  <c r="D11" i="3"/>
  <c r="D121" i="3"/>
  <c r="D250" i="3"/>
  <c r="D407" i="3"/>
  <c r="F407" i="3" s="1"/>
  <c r="D471" i="3"/>
  <c r="D170" i="3"/>
  <c r="F170" i="3" s="1"/>
  <c r="D171" i="3"/>
  <c r="D9" i="3"/>
  <c r="D179" i="3"/>
  <c r="D261" i="3"/>
  <c r="D46" i="3"/>
  <c r="D366" i="3"/>
  <c r="D269" i="3"/>
  <c r="D56" i="3"/>
  <c r="D2" i="3"/>
  <c r="D410" i="3"/>
  <c r="D226" i="3"/>
  <c r="D82" i="3"/>
  <c r="F82" i="3" s="1"/>
  <c r="D418" i="3"/>
  <c r="D80" i="3"/>
  <c r="F80" i="3" s="1"/>
  <c r="D113" i="3"/>
  <c r="D210" i="3"/>
  <c r="F210" i="3" s="1"/>
  <c r="D290" i="3"/>
  <c r="F290" i="3" s="1"/>
  <c r="D304" i="3"/>
  <c r="D147" i="3"/>
  <c r="D303" i="3"/>
  <c r="D307" i="3"/>
  <c r="D86" i="3"/>
  <c r="F86" i="3" s="1"/>
  <c r="D7" i="3"/>
  <c r="D35" i="3"/>
  <c r="F35" i="3" s="1"/>
  <c r="D71" i="3"/>
  <c r="F71" i="3" s="1"/>
  <c r="D116" i="3"/>
  <c r="D466" i="3"/>
  <c r="D408" i="3"/>
  <c r="F408" i="3" s="1"/>
  <c r="D298" i="3"/>
  <c r="D78" i="3"/>
  <c r="D348" i="3"/>
  <c r="F348" i="3" s="1"/>
  <c r="D470" i="3"/>
  <c r="D94" i="3"/>
  <c r="D187" i="3"/>
  <c r="D314" i="3"/>
  <c r="F314" i="3" s="1"/>
  <c r="D101" i="3"/>
  <c r="D456" i="3"/>
  <c r="F456" i="3" s="1"/>
  <c r="D162" i="3"/>
  <c r="D439" i="3"/>
  <c r="D173" i="3"/>
  <c r="D191" i="3"/>
  <c r="F191" i="3" s="1"/>
  <c r="D22" i="3"/>
  <c r="D383" i="3"/>
  <c r="F383" i="3" s="1"/>
  <c r="D158" i="3"/>
  <c r="D184" i="3"/>
  <c r="F184" i="3" s="1"/>
  <c r="D310" i="3"/>
  <c r="D479" i="3"/>
  <c r="D427" i="3"/>
  <c r="D181" i="3"/>
  <c r="D14" i="3"/>
  <c r="F14" i="3" s="1"/>
  <c r="D222" i="3"/>
  <c r="F222" i="3" s="1"/>
  <c r="D387" i="3"/>
  <c r="F387" i="3" s="1"/>
  <c r="D288" i="3"/>
  <c r="D413" i="3"/>
  <c r="F413" i="3" s="1"/>
  <c r="D30" i="3"/>
  <c r="D254" i="3"/>
  <c r="D462" i="3"/>
  <c r="F462" i="3" s="1"/>
  <c r="D315" i="3"/>
  <c r="D419" i="3"/>
  <c r="D25" i="3"/>
  <c r="D16" i="3"/>
  <c r="D67" i="3"/>
  <c r="D196" i="3"/>
  <c r="F196" i="3" s="1"/>
  <c r="D3" i="3"/>
  <c r="D370" i="3"/>
  <c r="D425" i="3"/>
  <c r="D149" i="3"/>
  <c r="D351" i="3"/>
  <c r="D385" i="3"/>
  <c r="F385" i="3" s="1"/>
  <c r="D308" i="3"/>
  <c r="D412" i="3"/>
  <c r="F412" i="3" s="1"/>
  <c r="D242" i="3"/>
  <c r="D311" i="3"/>
  <c r="D328" i="3"/>
  <c r="F328" i="3" s="1"/>
  <c r="D283" i="3"/>
  <c r="F283" i="3" s="1"/>
  <c r="D133" i="3"/>
  <c r="F133" i="3" s="1"/>
  <c r="D349" i="3"/>
  <c r="D338" i="3"/>
  <c r="F338" i="3" s="1"/>
  <c r="D6" i="3"/>
  <c r="D48" i="3"/>
  <c r="D325" i="3"/>
  <c r="D295" i="3"/>
  <c r="F295" i="3" s="1"/>
  <c r="D247" i="3"/>
  <c r="F247" i="3" s="1"/>
  <c r="D160" i="3"/>
  <c r="D291" i="3"/>
  <c r="D489" i="3"/>
  <c r="D150" i="3"/>
  <c r="D474" i="3"/>
  <c r="F474" i="3" s="1"/>
  <c r="D32" i="3"/>
  <c r="D129" i="3"/>
  <c r="D93" i="3"/>
  <c r="D189" i="3"/>
  <c r="D453" i="3"/>
  <c r="D392" i="3"/>
  <c r="D36" i="3"/>
  <c r="F36" i="3" s="1"/>
  <c r="D468" i="3"/>
  <c r="D29" i="3"/>
  <c r="D195" i="3"/>
  <c r="D59" i="3"/>
  <c r="D473" i="3"/>
  <c r="D212" i="3"/>
  <c r="D437" i="3"/>
  <c r="F437" i="3" s="1"/>
  <c r="D175" i="3"/>
  <c r="F175" i="3" s="1"/>
  <c r="D467" i="3"/>
  <c r="D454" i="3"/>
  <c r="D255" i="3"/>
  <c r="F255" i="3" s="1"/>
  <c r="D297" i="3"/>
  <c r="F297" i="3" s="1"/>
  <c r="D293" i="3"/>
  <c r="D475" i="3"/>
  <c r="F475" i="3" s="1"/>
  <c r="D55" i="3"/>
  <c r="F55" i="3" s="1"/>
  <c r="D238" i="3"/>
  <c r="D243" i="3"/>
  <c r="D132" i="3"/>
  <c r="F132" i="3" s="1"/>
  <c r="D34" i="3"/>
  <c r="F34" i="3" s="1"/>
  <c r="D377" i="3"/>
  <c r="D372" i="3"/>
  <c r="D180" i="3"/>
  <c r="F180" i="3" s="1"/>
  <c r="D176" i="3"/>
  <c r="D403" i="3"/>
  <c r="F403" i="3" s="1"/>
  <c r="D41" i="3"/>
  <c r="D268" i="3"/>
  <c r="F268" i="3" s="1"/>
  <c r="D334" i="3"/>
  <c r="D342" i="3"/>
  <c r="D320" i="3"/>
  <c r="D420" i="3"/>
  <c r="D143" i="3"/>
  <c r="F143" i="3" s="1"/>
  <c r="D299" i="3"/>
  <c r="D465" i="3"/>
  <c r="D286" i="3"/>
  <c r="D114" i="3"/>
  <c r="F114" i="3" s="1"/>
  <c r="D45" i="3"/>
  <c r="D394" i="3"/>
  <c r="F394" i="3" s="1"/>
  <c r="D192" i="3"/>
  <c r="D107" i="3"/>
  <c r="F107" i="3" s="1"/>
  <c r="D277" i="3"/>
  <c r="D287" i="3"/>
  <c r="D335" i="3"/>
  <c r="D316" i="3"/>
  <c r="F316" i="3" s="1"/>
  <c r="D155" i="3"/>
  <c r="D251" i="3"/>
  <c r="D145" i="3"/>
  <c r="F145" i="3" s="1"/>
  <c r="D256" i="3"/>
  <c r="F256" i="3" s="1"/>
  <c r="D415" i="3"/>
  <c r="D359" i="3"/>
  <c r="F359" i="3" s="1"/>
  <c r="D317" i="3"/>
  <c r="D341" i="3"/>
  <c r="F341" i="3" s="1"/>
  <c r="D423" i="3"/>
  <c r="F423" i="3" s="1"/>
  <c r="D386" i="3"/>
  <c r="D309" i="3"/>
  <c r="F309" i="3" s="1"/>
  <c r="D391" i="3"/>
  <c r="D301" i="3"/>
  <c r="F301" i="3" s="1"/>
  <c r="D421" i="3"/>
  <c r="D326" i="3"/>
  <c r="D217" i="3"/>
  <c r="D332" i="3"/>
  <c r="D218" i="3"/>
  <c r="D294" i="3"/>
  <c r="D367" i="3"/>
  <c r="D225" i="3"/>
  <c r="D164" i="3"/>
  <c r="D124" i="3"/>
  <c r="D96" i="3"/>
  <c r="D128" i="3"/>
  <c r="D68" i="3"/>
  <c r="F68" i="3" s="1"/>
  <c r="D193" i="3"/>
  <c r="D458" i="3"/>
  <c r="D64" i="3"/>
  <c r="D484" i="3"/>
  <c r="D115" i="3"/>
  <c r="D99" i="3"/>
  <c r="F99" i="3" s="1"/>
  <c r="D292" i="3"/>
  <c r="D19" i="3"/>
  <c r="D8" i="3"/>
  <c r="D401" i="3"/>
  <c r="D364" i="3"/>
  <c r="D209" i="3"/>
  <c r="D339" i="3"/>
  <c r="D333" i="3"/>
  <c r="F333" i="3" s="1"/>
  <c r="D43" i="3"/>
  <c r="F43" i="3" s="1"/>
  <c r="D282" i="3"/>
  <c r="D442" i="3"/>
  <c r="D233" i="3"/>
  <c r="F233" i="3" s="1"/>
  <c r="D280" i="3"/>
  <c r="D197" i="3"/>
  <c r="D424" i="3"/>
  <c r="F424" i="3" s="1"/>
  <c r="D105" i="3"/>
  <c r="D384" i="3"/>
  <c r="D279" i="3"/>
  <c r="F279" i="3" s="1"/>
  <c r="D486" i="3"/>
  <c r="F486" i="3" s="1"/>
  <c r="D138" i="3"/>
  <c r="D190" i="3"/>
  <c r="F190" i="3" s="1"/>
  <c r="D4" i="3"/>
  <c r="D127" i="3"/>
  <c r="F127" i="3" s="1"/>
  <c r="D13" i="3"/>
  <c r="D365" i="3"/>
  <c r="F365" i="3" s="1"/>
  <c r="D61" i="3"/>
  <c r="D207" i="3"/>
  <c r="D441" i="3"/>
  <c r="F441" i="3" s="1"/>
  <c r="D376" i="3"/>
  <c r="D183" i="3"/>
  <c r="F183" i="3" s="1"/>
  <c r="D215" i="3"/>
  <c r="D463" i="3"/>
  <c r="D362" i="3"/>
  <c r="D154" i="3"/>
  <c r="D109" i="3"/>
  <c r="D411" i="3"/>
  <c r="D305" i="3"/>
  <c r="F305" i="3" s="1"/>
  <c r="D281" i="3"/>
  <c r="D266" i="3"/>
  <c r="D208" i="3"/>
  <c r="D258" i="3"/>
  <c r="F258" i="3" s="1"/>
  <c r="D89" i="3"/>
  <c r="F89" i="3" s="1"/>
  <c r="D57" i="3"/>
  <c r="D194" i="3"/>
  <c r="F194" i="3" s="1"/>
  <c r="D257" i="3"/>
  <c r="D426" i="3"/>
  <c r="F426" i="3" s="1"/>
  <c r="F380" i="3" l="1"/>
  <c r="F352" i="3"/>
  <c r="F296" i="3" l="1"/>
  <c r="F221" i="3"/>
  <c r="F467" i="3"/>
  <c r="F453" i="3"/>
  <c r="F113" i="3"/>
  <c r="F65" i="3"/>
  <c r="F109" i="3"/>
  <c r="F284" i="3"/>
  <c r="F94" i="3"/>
  <c r="F443" i="3"/>
  <c r="F73" i="3"/>
  <c r="F484" i="3"/>
  <c r="F446" i="3"/>
  <c r="F367" i="3"/>
  <c r="F262" i="3"/>
  <c r="F292" i="3"/>
  <c r="F317" i="3"/>
  <c r="F60" i="3"/>
  <c r="F343" i="3"/>
  <c r="F181" i="3"/>
  <c r="F213" i="3"/>
  <c r="F363" i="3"/>
  <c r="F87" i="3" l="1"/>
  <c r="F240" i="3" l="1"/>
  <c r="F66" i="3"/>
  <c r="F158" i="3"/>
  <c r="F281" i="3"/>
  <c r="F332" i="3"/>
  <c r="F438" i="3"/>
  <c r="F302" i="3"/>
  <c r="F225" i="3"/>
  <c r="F396" i="3" l="1"/>
  <c r="F435" i="3"/>
  <c r="F19" i="3"/>
  <c r="F250" i="3"/>
  <c r="F57" i="3"/>
  <c r="F135" i="3"/>
  <c r="F96" i="3"/>
  <c r="F324" i="3" l="1"/>
  <c r="F6" i="3"/>
  <c r="F51" i="3"/>
  <c r="F362" i="3"/>
  <c r="F93" i="3"/>
  <c r="F286" i="3"/>
  <c r="F215" i="3"/>
  <c r="F350" i="3"/>
  <c r="F339" i="3"/>
  <c r="F416" i="3"/>
  <c r="F460" i="3"/>
  <c r="F212" i="3"/>
  <c r="F238" i="3"/>
  <c r="F173" i="3"/>
  <c r="F150" i="3"/>
  <c r="F189" i="3"/>
  <c r="F488" i="3"/>
  <c r="F276" i="3"/>
  <c r="F274" i="3"/>
  <c r="F451" i="3"/>
  <c r="F242" i="3"/>
  <c r="F61" i="3"/>
  <c r="F340" i="3" l="1"/>
  <c r="F393" i="3"/>
  <c r="F470" i="3"/>
  <c r="F193" i="3" l="1"/>
  <c r="F106" i="3"/>
  <c r="F366" i="3"/>
  <c r="F22" i="3"/>
  <c r="F266" i="3"/>
  <c r="F372" i="3"/>
  <c r="F299" i="3"/>
  <c r="F468" i="3"/>
  <c r="F369" i="3" l="1"/>
  <c r="F345" i="3"/>
  <c r="F187" i="3"/>
  <c r="F126" i="3"/>
  <c r="F355" i="3"/>
  <c r="F160" i="3"/>
  <c r="F400" i="3"/>
  <c r="F18" i="3"/>
  <c r="F219" i="3"/>
  <c r="F78" i="3"/>
  <c r="F125" i="3"/>
  <c r="F45" i="3"/>
  <c r="F404" i="3"/>
  <c r="F384" i="3" l="1"/>
  <c r="F388" i="3"/>
  <c r="F59" i="3"/>
  <c r="F120" i="3"/>
  <c r="F226" i="3"/>
  <c r="F411" i="3"/>
  <c r="F38" i="3"/>
  <c r="F53" i="3"/>
  <c r="F448" i="3"/>
  <c r="F198" i="3"/>
  <c r="F202" i="3"/>
  <c r="F439" i="3"/>
  <c r="F267" i="3"/>
  <c r="F321" i="3"/>
  <c r="F427" i="3"/>
  <c r="F483" i="3"/>
  <c r="F430" i="3"/>
  <c r="F323" i="3" l="1"/>
  <c r="F361" i="3"/>
  <c r="F229" i="3"/>
  <c r="F489" i="3"/>
  <c r="F335" i="3"/>
  <c r="F224" i="3" l="1"/>
  <c r="F197" i="3"/>
  <c r="F167" i="3"/>
  <c r="F248" i="3" l="1"/>
  <c r="F102" i="3"/>
  <c r="F56" i="3"/>
  <c r="F442" i="3"/>
  <c r="F270" i="3"/>
  <c r="F326" i="3"/>
  <c r="F11" i="3"/>
  <c r="F209" i="3"/>
  <c r="F164" i="3"/>
  <c r="F288" i="3"/>
  <c r="F307" i="3"/>
  <c r="F293" i="3"/>
  <c r="F230" i="3"/>
  <c r="F13" i="3"/>
  <c r="F444" i="3"/>
  <c r="F10" i="3"/>
  <c r="F330" i="3"/>
  <c r="F471" i="3"/>
  <c r="F207" i="3"/>
  <c r="F327" i="3"/>
  <c r="F318" i="3"/>
  <c r="F63" i="3" l="1"/>
  <c r="F449" i="3"/>
  <c r="F357" i="3"/>
  <c r="F105" i="3"/>
  <c r="F421" i="3"/>
  <c r="F48" i="3"/>
  <c r="F241" i="3"/>
  <c r="F176" i="3"/>
  <c r="F431" i="3"/>
  <c r="F303" i="3"/>
  <c r="F313" i="3"/>
  <c r="F234" i="3"/>
  <c r="F473" i="3"/>
  <c r="F294" i="3" l="1"/>
  <c r="F37" i="3"/>
  <c r="F280" i="3"/>
  <c r="F466" i="3"/>
  <c r="F353" i="3"/>
  <c r="F420" i="3"/>
  <c r="F368" i="3"/>
  <c r="F72" i="3"/>
  <c r="F395" i="3"/>
  <c r="F319" i="3"/>
  <c r="F287" i="3"/>
  <c r="F325" i="3"/>
  <c r="F469" i="3"/>
  <c r="F52" i="3"/>
  <c r="F220" i="3"/>
  <c r="F480" i="3"/>
  <c r="F115" i="3"/>
  <c r="F112" i="3"/>
  <c r="F218" i="3"/>
  <c r="F344" i="3"/>
  <c r="F447" i="3"/>
  <c r="F128" i="3"/>
  <c r="F155" i="3" l="1"/>
  <c r="F478" i="3"/>
  <c r="F260" i="3"/>
  <c r="F203" i="3"/>
  <c r="F182" i="3"/>
  <c r="F337" i="3"/>
  <c r="F110" i="3"/>
  <c r="F419" i="3"/>
  <c r="F252" i="3"/>
  <c r="F458" i="3"/>
  <c r="F205" i="3" l="1"/>
  <c r="F208" i="3"/>
  <c r="F405" i="3"/>
  <c r="F147" i="3"/>
  <c r="F364" i="3"/>
  <c r="F315" i="3"/>
  <c r="F454" i="3"/>
  <c r="F8" i="3"/>
  <c r="F382" i="3"/>
  <c r="F277" i="3"/>
  <c r="F479" i="3"/>
  <c r="F129" i="3"/>
  <c r="F376" i="3"/>
  <c r="F146" i="3"/>
  <c r="F216" i="3"/>
  <c r="F70" i="3"/>
  <c r="F58" i="3"/>
  <c r="F149" i="3"/>
  <c r="F40" i="3"/>
  <c r="F20" i="3" l="1"/>
  <c r="F214" i="3"/>
  <c r="F378" i="3"/>
  <c r="F97" i="3"/>
  <c r="F156" i="3"/>
  <c r="F9" i="3"/>
  <c r="F358" i="3"/>
  <c r="F100" i="3"/>
  <c r="F244" i="3"/>
  <c r="F172" i="3"/>
  <c r="F162" i="3"/>
  <c r="F23" i="3"/>
  <c r="F399" i="3"/>
  <c r="F169" i="3" l="1"/>
  <c r="F320" i="3"/>
  <c r="F108" i="3"/>
  <c r="F342" i="3"/>
  <c r="F445" i="3"/>
  <c r="F152" i="3"/>
  <c r="F98" i="3"/>
  <c r="F148" i="3"/>
  <c r="F121" i="3"/>
  <c r="F391" i="3"/>
  <c r="F465" i="3"/>
  <c r="F461" i="3"/>
  <c r="F360" i="3"/>
  <c r="F32" i="3"/>
  <c r="F349" i="3"/>
  <c r="F402" i="3"/>
  <c r="F249" i="3"/>
  <c r="F192" i="3"/>
  <c r="F418" i="3"/>
  <c r="F254" i="3"/>
  <c r="F425" i="3" l="1"/>
  <c r="F381" i="3"/>
  <c r="F88" i="3"/>
  <c r="F27" i="3"/>
  <c r="F154" i="3"/>
  <c r="F138" i="3"/>
  <c r="F124" i="3"/>
  <c r="F275" i="3"/>
  <c r="F406" i="3"/>
  <c r="F16" i="3"/>
  <c r="F379" i="3"/>
  <c r="F179" i="3"/>
  <c r="F374" i="3"/>
  <c r="F261" i="3" l="1"/>
  <c r="F311" i="3"/>
  <c r="F428" i="3"/>
  <c r="F131" i="3"/>
  <c r="F232" i="3"/>
  <c r="F351" i="3"/>
  <c r="F291" i="3"/>
  <c r="F7" i="3"/>
  <c r="F116" i="3"/>
  <c r="F334" i="3"/>
  <c r="F49" i="3"/>
  <c r="F386" i="3"/>
  <c r="F92" i="3"/>
  <c r="F4" i="3"/>
  <c r="F111" i="3"/>
  <c r="F39" i="3"/>
  <c r="F231" i="3"/>
  <c r="F17" i="3"/>
  <c r="F472" i="3"/>
  <c r="F201" i="3"/>
  <c r="F137" i="3"/>
  <c r="F77" i="3"/>
  <c r="F463" i="3"/>
  <c r="F269" i="3"/>
  <c r="F401" i="3"/>
  <c r="F243" i="3"/>
  <c r="F163" i="3"/>
  <c r="F161" i="3"/>
  <c r="F41" i="3"/>
  <c r="F104" i="3" l="1"/>
  <c r="F263" i="3"/>
  <c r="F331" i="3"/>
  <c r="F30" i="3"/>
  <c r="F67" i="3"/>
  <c r="F304" i="3"/>
  <c r="F119" i="3"/>
  <c r="F452" i="3"/>
  <c r="F308" i="3"/>
  <c r="F171" i="3"/>
  <c r="F410" i="3"/>
  <c r="F392" i="3"/>
  <c r="F46" i="3"/>
  <c r="F251" i="3"/>
  <c r="F476" i="3"/>
  <c r="F29" i="3"/>
  <c r="F50" i="3"/>
  <c r="F298" i="3"/>
  <c r="F199" i="3"/>
  <c r="F79" i="3"/>
  <c r="F144" i="3"/>
  <c r="F246" i="3"/>
  <c r="F370" i="3"/>
  <c r="F282" i="3"/>
  <c r="F257" i="3"/>
  <c r="F434" i="3"/>
  <c r="F64" i="3"/>
  <c r="F3" i="3"/>
  <c r="F347" i="3"/>
  <c r="F239" i="3"/>
  <c r="F195" i="3"/>
  <c r="F264" i="3"/>
  <c r="F306" i="3"/>
  <c r="F101" i="3"/>
  <c r="F310" i="3"/>
  <c r="F377" i="3"/>
  <c r="F217" i="3"/>
  <c r="F123" i="3"/>
  <c r="F2" i="3"/>
  <c r="F464" i="3"/>
  <c r="F81" i="3"/>
  <c r="F157" i="3"/>
  <c r="F117" i="3"/>
  <c r="F118" i="3"/>
  <c r="F415" i="3"/>
  <c r="F25"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77">
    <bk>
      <extLst>
        <ext uri="{3e2802c4-a4d2-4d8b-9148-e3be6c30e623}">
          <xlrd:rvb i="2"/>
        </ext>
      </extLst>
    </bk>
    <bk>
      <extLst>
        <ext uri="{3e2802c4-a4d2-4d8b-9148-e3be6c30e623}">
          <xlrd:rvb i="3"/>
        </ext>
      </extLst>
    </bk>
    <bk>
      <extLst>
        <ext uri="{3e2802c4-a4d2-4d8b-9148-e3be6c30e623}">
          <xlrd:rvb i="5"/>
        </ext>
      </extLst>
    </bk>
    <bk>
      <extLst>
        <ext uri="{3e2802c4-a4d2-4d8b-9148-e3be6c30e623}">
          <xlrd:rvb i="6"/>
        </ext>
      </extLst>
    </bk>
    <bk>
      <extLst>
        <ext uri="{3e2802c4-a4d2-4d8b-9148-e3be6c30e623}">
          <xlrd:rvb i="9"/>
        </ext>
      </extLst>
    </bk>
    <bk>
      <extLst>
        <ext uri="{3e2802c4-a4d2-4d8b-9148-e3be6c30e623}">
          <xlrd:rvb i="10"/>
        </ext>
      </extLst>
    </bk>
    <bk>
      <extLst>
        <ext uri="{3e2802c4-a4d2-4d8b-9148-e3be6c30e623}">
          <xlrd:rvb i="13"/>
        </ext>
      </extLst>
    </bk>
    <bk>
      <extLst>
        <ext uri="{3e2802c4-a4d2-4d8b-9148-e3be6c30e623}">
          <xlrd:rvb i="14"/>
        </ext>
      </extLst>
    </bk>
    <bk>
      <extLst>
        <ext uri="{3e2802c4-a4d2-4d8b-9148-e3be6c30e623}">
          <xlrd:rvb i="17"/>
        </ext>
      </extLst>
    </bk>
    <bk>
      <extLst>
        <ext uri="{3e2802c4-a4d2-4d8b-9148-e3be6c30e623}">
          <xlrd:rvb i="18"/>
        </ext>
      </extLst>
    </bk>
    <bk>
      <extLst>
        <ext uri="{3e2802c4-a4d2-4d8b-9148-e3be6c30e623}">
          <xlrd:rvb i="21"/>
        </ext>
      </extLst>
    </bk>
    <bk>
      <extLst>
        <ext uri="{3e2802c4-a4d2-4d8b-9148-e3be6c30e623}">
          <xlrd:rvb i="22"/>
        </ext>
      </extLst>
    </bk>
    <bk>
      <extLst>
        <ext uri="{3e2802c4-a4d2-4d8b-9148-e3be6c30e623}">
          <xlrd:rvb i="25"/>
        </ext>
      </extLst>
    </bk>
    <bk>
      <extLst>
        <ext uri="{3e2802c4-a4d2-4d8b-9148-e3be6c30e623}">
          <xlrd:rvb i="26"/>
        </ext>
      </extLst>
    </bk>
    <bk>
      <extLst>
        <ext uri="{3e2802c4-a4d2-4d8b-9148-e3be6c30e623}">
          <xlrd:rvb i="29"/>
        </ext>
      </extLst>
    </bk>
    <bk>
      <extLst>
        <ext uri="{3e2802c4-a4d2-4d8b-9148-e3be6c30e623}">
          <xlrd:rvb i="30"/>
        </ext>
      </extLst>
    </bk>
    <bk>
      <extLst>
        <ext uri="{3e2802c4-a4d2-4d8b-9148-e3be6c30e623}">
          <xlrd:rvb i="33"/>
        </ext>
      </extLst>
    </bk>
    <bk>
      <extLst>
        <ext uri="{3e2802c4-a4d2-4d8b-9148-e3be6c30e623}">
          <xlrd:rvb i="34"/>
        </ext>
      </extLst>
    </bk>
    <bk>
      <extLst>
        <ext uri="{3e2802c4-a4d2-4d8b-9148-e3be6c30e623}">
          <xlrd:rvb i="41"/>
        </ext>
      </extLst>
    </bk>
    <bk>
      <extLst>
        <ext uri="{3e2802c4-a4d2-4d8b-9148-e3be6c30e623}">
          <xlrd:rvb i="42"/>
        </ext>
      </extLst>
    </bk>
    <bk>
      <extLst>
        <ext uri="{3e2802c4-a4d2-4d8b-9148-e3be6c30e623}">
          <xlrd:rvb i="45"/>
        </ext>
      </extLst>
    </bk>
    <bk>
      <extLst>
        <ext uri="{3e2802c4-a4d2-4d8b-9148-e3be6c30e623}">
          <xlrd:rvb i="46"/>
        </ext>
      </extLst>
    </bk>
    <bk>
      <extLst>
        <ext uri="{3e2802c4-a4d2-4d8b-9148-e3be6c30e623}">
          <xlrd:rvb i="49"/>
        </ext>
      </extLst>
    </bk>
    <bk>
      <extLst>
        <ext uri="{3e2802c4-a4d2-4d8b-9148-e3be6c30e623}">
          <xlrd:rvb i="50"/>
        </ext>
      </extLst>
    </bk>
    <bk>
      <extLst>
        <ext uri="{3e2802c4-a4d2-4d8b-9148-e3be6c30e623}">
          <xlrd:rvb i="53"/>
        </ext>
      </extLst>
    </bk>
    <bk>
      <extLst>
        <ext uri="{3e2802c4-a4d2-4d8b-9148-e3be6c30e623}">
          <xlrd:rvb i="54"/>
        </ext>
      </extLst>
    </bk>
    <bk>
      <extLst>
        <ext uri="{3e2802c4-a4d2-4d8b-9148-e3be6c30e623}">
          <xlrd:rvb i="57"/>
        </ext>
      </extLst>
    </bk>
    <bk>
      <extLst>
        <ext uri="{3e2802c4-a4d2-4d8b-9148-e3be6c30e623}">
          <xlrd:rvb i="58"/>
        </ext>
      </extLst>
    </bk>
    <bk>
      <extLst>
        <ext uri="{3e2802c4-a4d2-4d8b-9148-e3be6c30e623}">
          <xlrd:rvb i="61"/>
        </ext>
      </extLst>
    </bk>
    <bk>
      <extLst>
        <ext uri="{3e2802c4-a4d2-4d8b-9148-e3be6c30e623}">
          <xlrd:rvb i="62"/>
        </ext>
      </extLst>
    </bk>
    <bk>
      <extLst>
        <ext uri="{3e2802c4-a4d2-4d8b-9148-e3be6c30e623}">
          <xlrd:rvb i="65"/>
        </ext>
      </extLst>
    </bk>
    <bk>
      <extLst>
        <ext uri="{3e2802c4-a4d2-4d8b-9148-e3be6c30e623}">
          <xlrd:rvb i="66"/>
        </ext>
      </extLst>
    </bk>
    <bk>
      <extLst>
        <ext uri="{3e2802c4-a4d2-4d8b-9148-e3be6c30e623}">
          <xlrd:rvb i="69"/>
        </ext>
      </extLst>
    </bk>
    <bk>
      <extLst>
        <ext uri="{3e2802c4-a4d2-4d8b-9148-e3be6c30e623}">
          <xlrd:rvb i="70"/>
        </ext>
      </extLst>
    </bk>
    <bk>
      <extLst>
        <ext uri="{3e2802c4-a4d2-4d8b-9148-e3be6c30e623}">
          <xlrd:rvb i="73"/>
        </ext>
      </extLst>
    </bk>
    <bk>
      <extLst>
        <ext uri="{3e2802c4-a4d2-4d8b-9148-e3be6c30e623}">
          <xlrd:rvb i="74"/>
        </ext>
      </extLst>
    </bk>
    <bk>
      <extLst>
        <ext uri="{3e2802c4-a4d2-4d8b-9148-e3be6c30e623}">
          <xlrd:rvb i="77"/>
        </ext>
      </extLst>
    </bk>
    <bk>
      <extLst>
        <ext uri="{3e2802c4-a4d2-4d8b-9148-e3be6c30e623}">
          <xlrd:rvb i="78"/>
        </ext>
      </extLst>
    </bk>
    <bk>
      <extLst>
        <ext uri="{3e2802c4-a4d2-4d8b-9148-e3be6c30e623}">
          <xlrd:rvb i="81"/>
        </ext>
      </extLst>
    </bk>
    <bk>
      <extLst>
        <ext uri="{3e2802c4-a4d2-4d8b-9148-e3be6c30e623}">
          <xlrd:rvb i="82"/>
        </ext>
      </extLst>
    </bk>
    <bk>
      <extLst>
        <ext uri="{3e2802c4-a4d2-4d8b-9148-e3be6c30e623}">
          <xlrd:rvb i="85"/>
        </ext>
      </extLst>
    </bk>
    <bk>
      <extLst>
        <ext uri="{3e2802c4-a4d2-4d8b-9148-e3be6c30e623}">
          <xlrd:rvb i="86"/>
        </ext>
      </extLst>
    </bk>
    <bk>
      <extLst>
        <ext uri="{3e2802c4-a4d2-4d8b-9148-e3be6c30e623}">
          <xlrd:rvb i="89"/>
        </ext>
      </extLst>
    </bk>
    <bk>
      <extLst>
        <ext uri="{3e2802c4-a4d2-4d8b-9148-e3be6c30e623}">
          <xlrd:rvb i="90"/>
        </ext>
      </extLst>
    </bk>
    <bk>
      <extLst>
        <ext uri="{3e2802c4-a4d2-4d8b-9148-e3be6c30e623}">
          <xlrd:rvb i="93"/>
        </ext>
      </extLst>
    </bk>
    <bk>
      <extLst>
        <ext uri="{3e2802c4-a4d2-4d8b-9148-e3be6c30e623}">
          <xlrd:rvb i="94"/>
        </ext>
      </extLst>
    </bk>
    <bk>
      <extLst>
        <ext uri="{3e2802c4-a4d2-4d8b-9148-e3be6c30e623}">
          <xlrd:rvb i="97"/>
        </ext>
      </extLst>
    </bk>
    <bk>
      <extLst>
        <ext uri="{3e2802c4-a4d2-4d8b-9148-e3be6c30e623}">
          <xlrd:rvb i="98"/>
        </ext>
      </extLst>
    </bk>
    <bk>
      <extLst>
        <ext uri="{3e2802c4-a4d2-4d8b-9148-e3be6c30e623}">
          <xlrd:rvb i="101"/>
        </ext>
      </extLst>
    </bk>
    <bk>
      <extLst>
        <ext uri="{3e2802c4-a4d2-4d8b-9148-e3be6c30e623}">
          <xlrd:rvb i="102"/>
        </ext>
      </extLst>
    </bk>
    <bk>
      <extLst>
        <ext uri="{3e2802c4-a4d2-4d8b-9148-e3be6c30e623}">
          <xlrd:rvb i="105"/>
        </ext>
      </extLst>
    </bk>
    <bk>
      <extLst>
        <ext uri="{3e2802c4-a4d2-4d8b-9148-e3be6c30e623}">
          <xlrd:rvb i="106"/>
        </ext>
      </extLst>
    </bk>
    <bk>
      <extLst>
        <ext uri="{3e2802c4-a4d2-4d8b-9148-e3be6c30e623}">
          <xlrd:rvb i="109"/>
        </ext>
      </extLst>
    </bk>
    <bk>
      <extLst>
        <ext uri="{3e2802c4-a4d2-4d8b-9148-e3be6c30e623}">
          <xlrd:rvb i="110"/>
        </ext>
      </extLst>
    </bk>
    <bk>
      <extLst>
        <ext uri="{3e2802c4-a4d2-4d8b-9148-e3be6c30e623}">
          <xlrd:rvb i="113"/>
        </ext>
      </extLst>
    </bk>
    <bk>
      <extLst>
        <ext uri="{3e2802c4-a4d2-4d8b-9148-e3be6c30e623}">
          <xlrd:rvb i="114"/>
        </ext>
      </extLst>
    </bk>
    <bk>
      <extLst>
        <ext uri="{3e2802c4-a4d2-4d8b-9148-e3be6c30e623}">
          <xlrd:rvb i="117"/>
        </ext>
      </extLst>
    </bk>
    <bk>
      <extLst>
        <ext uri="{3e2802c4-a4d2-4d8b-9148-e3be6c30e623}">
          <xlrd:rvb i="118"/>
        </ext>
      </extLst>
    </bk>
    <bk>
      <extLst>
        <ext uri="{3e2802c4-a4d2-4d8b-9148-e3be6c30e623}">
          <xlrd:rvb i="121"/>
        </ext>
      </extLst>
    </bk>
    <bk>
      <extLst>
        <ext uri="{3e2802c4-a4d2-4d8b-9148-e3be6c30e623}">
          <xlrd:rvb i="122"/>
        </ext>
      </extLst>
    </bk>
    <bk>
      <extLst>
        <ext uri="{3e2802c4-a4d2-4d8b-9148-e3be6c30e623}">
          <xlrd:rvb i="125"/>
        </ext>
      </extLst>
    </bk>
    <bk>
      <extLst>
        <ext uri="{3e2802c4-a4d2-4d8b-9148-e3be6c30e623}">
          <xlrd:rvb i="126"/>
        </ext>
      </extLst>
    </bk>
    <bk>
      <extLst>
        <ext uri="{3e2802c4-a4d2-4d8b-9148-e3be6c30e623}">
          <xlrd:rvb i="129"/>
        </ext>
      </extLst>
    </bk>
    <bk>
      <extLst>
        <ext uri="{3e2802c4-a4d2-4d8b-9148-e3be6c30e623}">
          <xlrd:rvb i="130"/>
        </ext>
      </extLst>
    </bk>
    <bk>
      <extLst>
        <ext uri="{3e2802c4-a4d2-4d8b-9148-e3be6c30e623}">
          <xlrd:rvb i="133"/>
        </ext>
      </extLst>
    </bk>
    <bk>
      <extLst>
        <ext uri="{3e2802c4-a4d2-4d8b-9148-e3be6c30e623}">
          <xlrd:rvb i="134"/>
        </ext>
      </extLst>
    </bk>
    <bk>
      <extLst>
        <ext uri="{3e2802c4-a4d2-4d8b-9148-e3be6c30e623}">
          <xlrd:rvb i="137"/>
        </ext>
      </extLst>
    </bk>
    <bk>
      <extLst>
        <ext uri="{3e2802c4-a4d2-4d8b-9148-e3be6c30e623}">
          <xlrd:rvb i="138"/>
        </ext>
      </extLst>
    </bk>
    <bk>
      <extLst>
        <ext uri="{3e2802c4-a4d2-4d8b-9148-e3be6c30e623}">
          <xlrd:rvb i="141"/>
        </ext>
      </extLst>
    </bk>
    <bk>
      <extLst>
        <ext uri="{3e2802c4-a4d2-4d8b-9148-e3be6c30e623}">
          <xlrd:rvb i="142"/>
        </ext>
      </extLst>
    </bk>
    <bk>
      <extLst>
        <ext uri="{3e2802c4-a4d2-4d8b-9148-e3be6c30e623}">
          <xlrd:rvb i="144"/>
        </ext>
      </extLst>
    </bk>
    <bk>
      <extLst>
        <ext uri="{3e2802c4-a4d2-4d8b-9148-e3be6c30e623}">
          <xlrd:rvb i="145"/>
        </ext>
      </extLst>
    </bk>
    <bk>
      <extLst>
        <ext uri="{3e2802c4-a4d2-4d8b-9148-e3be6c30e623}">
          <xlrd:rvb i="148"/>
        </ext>
      </extLst>
    </bk>
    <bk>
      <extLst>
        <ext uri="{3e2802c4-a4d2-4d8b-9148-e3be6c30e623}">
          <xlrd:rvb i="149"/>
        </ext>
      </extLst>
    </bk>
    <bk>
      <extLst>
        <ext uri="{3e2802c4-a4d2-4d8b-9148-e3be6c30e623}">
          <xlrd:rvb i="152"/>
        </ext>
      </extLst>
    </bk>
    <bk>
      <extLst>
        <ext uri="{3e2802c4-a4d2-4d8b-9148-e3be6c30e623}">
          <xlrd:rvb i="153"/>
        </ext>
      </extLst>
    </bk>
    <bk>
      <extLst>
        <ext uri="{3e2802c4-a4d2-4d8b-9148-e3be6c30e623}">
          <xlrd:rvb i="156"/>
        </ext>
      </extLst>
    </bk>
    <bk>
      <extLst>
        <ext uri="{3e2802c4-a4d2-4d8b-9148-e3be6c30e623}">
          <xlrd:rvb i="157"/>
        </ext>
      </extLst>
    </bk>
    <bk>
      <extLst>
        <ext uri="{3e2802c4-a4d2-4d8b-9148-e3be6c30e623}">
          <xlrd:rvb i="160"/>
        </ext>
      </extLst>
    </bk>
    <bk>
      <extLst>
        <ext uri="{3e2802c4-a4d2-4d8b-9148-e3be6c30e623}">
          <xlrd:rvb i="161"/>
        </ext>
      </extLst>
    </bk>
    <bk>
      <extLst>
        <ext uri="{3e2802c4-a4d2-4d8b-9148-e3be6c30e623}">
          <xlrd:rvb i="164"/>
        </ext>
      </extLst>
    </bk>
    <bk>
      <extLst>
        <ext uri="{3e2802c4-a4d2-4d8b-9148-e3be6c30e623}">
          <xlrd:rvb i="165"/>
        </ext>
      </extLst>
    </bk>
    <bk>
      <extLst>
        <ext uri="{3e2802c4-a4d2-4d8b-9148-e3be6c30e623}">
          <xlrd:rvb i="168"/>
        </ext>
      </extLst>
    </bk>
    <bk>
      <extLst>
        <ext uri="{3e2802c4-a4d2-4d8b-9148-e3be6c30e623}">
          <xlrd:rvb i="169"/>
        </ext>
      </extLst>
    </bk>
    <bk>
      <extLst>
        <ext uri="{3e2802c4-a4d2-4d8b-9148-e3be6c30e623}">
          <xlrd:rvb i="172"/>
        </ext>
      </extLst>
    </bk>
    <bk>
      <extLst>
        <ext uri="{3e2802c4-a4d2-4d8b-9148-e3be6c30e623}">
          <xlrd:rvb i="173"/>
        </ext>
      </extLst>
    </bk>
    <bk>
      <extLst>
        <ext uri="{3e2802c4-a4d2-4d8b-9148-e3be6c30e623}">
          <xlrd:rvb i="176"/>
        </ext>
      </extLst>
    </bk>
    <bk>
      <extLst>
        <ext uri="{3e2802c4-a4d2-4d8b-9148-e3be6c30e623}">
          <xlrd:rvb i="177"/>
        </ext>
      </extLst>
    </bk>
    <bk>
      <extLst>
        <ext uri="{3e2802c4-a4d2-4d8b-9148-e3be6c30e623}">
          <xlrd:rvb i="180"/>
        </ext>
      </extLst>
    </bk>
    <bk>
      <extLst>
        <ext uri="{3e2802c4-a4d2-4d8b-9148-e3be6c30e623}">
          <xlrd:rvb i="181"/>
        </ext>
      </extLst>
    </bk>
    <bk>
      <extLst>
        <ext uri="{3e2802c4-a4d2-4d8b-9148-e3be6c30e623}">
          <xlrd:rvb i="184"/>
        </ext>
      </extLst>
    </bk>
    <bk>
      <extLst>
        <ext uri="{3e2802c4-a4d2-4d8b-9148-e3be6c30e623}">
          <xlrd:rvb i="185"/>
        </ext>
      </extLst>
    </bk>
    <bk>
      <extLst>
        <ext uri="{3e2802c4-a4d2-4d8b-9148-e3be6c30e623}">
          <xlrd:rvb i="188"/>
        </ext>
      </extLst>
    </bk>
    <bk>
      <extLst>
        <ext uri="{3e2802c4-a4d2-4d8b-9148-e3be6c30e623}">
          <xlrd:rvb i="189"/>
        </ext>
      </extLst>
    </bk>
    <bk>
      <extLst>
        <ext uri="{3e2802c4-a4d2-4d8b-9148-e3be6c30e623}">
          <xlrd:rvb i="192"/>
        </ext>
      </extLst>
    </bk>
    <bk>
      <extLst>
        <ext uri="{3e2802c4-a4d2-4d8b-9148-e3be6c30e623}">
          <xlrd:rvb i="193"/>
        </ext>
      </extLst>
    </bk>
    <bk>
      <extLst>
        <ext uri="{3e2802c4-a4d2-4d8b-9148-e3be6c30e623}">
          <xlrd:rvb i="196"/>
        </ext>
      </extLst>
    </bk>
    <bk>
      <extLst>
        <ext uri="{3e2802c4-a4d2-4d8b-9148-e3be6c30e623}">
          <xlrd:rvb i="197"/>
        </ext>
      </extLst>
    </bk>
    <bk>
      <extLst>
        <ext uri="{3e2802c4-a4d2-4d8b-9148-e3be6c30e623}">
          <xlrd:rvb i="200"/>
        </ext>
      </extLst>
    </bk>
    <bk>
      <extLst>
        <ext uri="{3e2802c4-a4d2-4d8b-9148-e3be6c30e623}">
          <xlrd:rvb i="201"/>
        </ext>
      </extLst>
    </bk>
    <bk>
      <extLst>
        <ext uri="{3e2802c4-a4d2-4d8b-9148-e3be6c30e623}">
          <xlrd:rvb i="204"/>
        </ext>
      </extLst>
    </bk>
    <bk>
      <extLst>
        <ext uri="{3e2802c4-a4d2-4d8b-9148-e3be6c30e623}">
          <xlrd:rvb i="205"/>
        </ext>
      </extLst>
    </bk>
    <bk>
      <extLst>
        <ext uri="{3e2802c4-a4d2-4d8b-9148-e3be6c30e623}">
          <xlrd:rvb i="208"/>
        </ext>
      </extLst>
    </bk>
    <bk>
      <extLst>
        <ext uri="{3e2802c4-a4d2-4d8b-9148-e3be6c30e623}">
          <xlrd:rvb i="209"/>
        </ext>
      </extLst>
    </bk>
    <bk>
      <extLst>
        <ext uri="{3e2802c4-a4d2-4d8b-9148-e3be6c30e623}">
          <xlrd:rvb i="212"/>
        </ext>
      </extLst>
    </bk>
    <bk>
      <extLst>
        <ext uri="{3e2802c4-a4d2-4d8b-9148-e3be6c30e623}">
          <xlrd:rvb i="213"/>
        </ext>
      </extLst>
    </bk>
    <bk>
      <extLst>
        <ext uri="{3e2802c4-a4d2-4d8b-9148-e3be6c30e623}">
          <xlrd:rvb i="216"/>
        </ext>
      </extLst>
    </bk>
    <bk>
      <extLst>
        <ext uri="{3e2802c4-a4d2-4d8b-9148-e3be6c30e623}">
          <xlrd:rvb i="217"/>
        </ext>
      </extLst>
    </bk>
    <bk>
      <extLst>
        <ext uri="{3e2802c4-a4d2-4d8b-9148-e3be6c30e623}">
          <xlrd:rvb i="220"/>
        </ext>
      </extLst>
    </bk>
    <bk>
      <extLst>
        <ext uri="{3e2802c4-a4d2-4d8b-9148-e3be6c30e623}">
          <xlrd:rvb i="221"/>
        </ext>
      </extLst>
    </bk>
    <bk>
      <extLst>
        <ext uri="{3e2802c4-a4d2-4d8b-9148-e3be6c30e623}">
          <xlrd:rvb i="224"/>
        </ext>
      </extLst>
    </bk>
    <bk>
      <extLst>
        <ext uri="{3e2802c4-a4d2-4d8b-9148-e3be6c30e623}">
          <xlrd:rvb i="225"/>
        </ext>
      </extLst>
    </bk>
    <bk>
      <extLst>
        <ext uri="{3e2802c4-a4d2-4d8b-9148-e3be6c30e623}">
          <xlrd:rvb i="228"/>
        </ext>
      </extLst>
    </bk>
    <bk>
      <extLst>
        <ext uri="{3e2802c4-a4d2-4d8b-9148-e3be6c30e623}">
          <xlrd:rvb i="229"/>
        </ext>
      </extLst>
    </bk>
    <bk>
      <extLst>
        <ext uri="{3e2802c4-a4d2-4d8b-9148-e3be6c30e623}">
          <xlrd:rvb i="232"/>
        </ext>
      </extLst>
    </bk>
    <bk>
      <extLst>
        <ext uri="{3e2802c4-a4d2-4d8b-9148-e3be6c30e623}">
          <xlrd:rvb i="233"/>
        </ext>
      </extLst>
    </bk>
    <bk>
      <extLst>
        <ext uri="{3e2802c4-a4d2-4d8b-9148-e3be6c30e623}">
          <xlrd:rvb i="236"/>
        </ext>
      </extLst>
    </bk>
    <bk>
      <extLst>
        <ext uri="{3e2802c4-a4d2-4d8b-9148-e3be6c30e623}">
          <xlrd:rvb i="237"/>
        </ext>
      </extLst>
    </bk>
    <bk>
      <extLst>
        <ext uri="{3e2802c4-a4d2-4d8b-9148-e3be6c30e623}">
          <xlrd:rvb i="240"/>
        </ext>
      </extLst>
    </bk>
    <bk>
      <extLst>
        <ext uri="{3e2802c4-a4d2-4d8b-9148-e3be6c30e623}">
          <xlrd:rvb i="241"/>
        </ext>
      </extLst>
    </bk>
    <bk>
      <extLst>
        <ext uri="{3e2802c4-a4d2-4d8b-9148-e3be6c30e623}">
          <xlrd:rvb i="244"/>
        </ext>
      </extLst>
    </bk>
    <bk>
      <extLst>
        <ext uri="{3e2802c4-a4d2-4d8b-9148-e3be6c30e623}">
          <xlrd:rvb i="245"/>
        </ext>
      </extLst>
    </bk>
    <bk>
      <extLst>
        <ext uri="{3e2802c4-a4d2-4d8b-9148-e3be6c30e623}">
          <xlrd:rvb i="251"/>
        </ext>
      </extLst>
    </bk>
    <bk>
      <extLst>
        <ext uri="{3e2802c4-a4d2-4d8b-9148-e3be6c30e623}">
          <xlrd:rvb i="252"/>
        </ext>
      </extLst>
    </bk>
    <bk>
      <extLst>
        <ext uri="{3e2802c4-a4d2-4d8b-9148-e3be6c30e623}">
          <xlrd:rvb i="255"/>
        </ext>
      </extLst>
    </bk>
    <bk>
      <extLst>
        <ext uri="{3e2802c4-a4d2-4d8b-9148-e3be6c30e623}">
          <xlrd:rvb i="256"/>
        </ext>
      </extLst>
    </bk>
    <bk>
      <extLst>
        <ext uri="{3e2802c4-a4d2-4d8b-9148-e3be6c30e623}">
          <xlrd:rvb i="259"/>
        </ext>
      </extLst>
    </bk>
    <bk>
      <extLst>
        <ext uri="{3e2802c4-a4d2-4d8b-9148-e3be6c30e623}">
          <xlrd:rvb i="260"/>
        </ext>
      </extLst>
    </bk>
    <bk>
      <extLst>
        <ext uri="{3e2802c4-a4d2-4d8b-9148-e3be6c30e623}">
          <xlrd:rvb i="263"/>
        </ext>
      </extLst>
    </bk>
    <bk>
      <extLst>
        <ext uri="{3e2802c4-a4d2-4d8b-9148-e3be6c30e623}">
          <xlrd:rvb i="264"/>
        </ext>
      </extLst>
    </bk>
    <bk>
      <extLst>
        <ext uri="{3e2802c4-a4d2-4d8b-9148-e3be6c30e623}">
          <xlrd:rvb i="267"/>
        </ext>
      </extLst>
    </bk>
    <bk>
      <extLst>
        <ext uri="{3e2802c4-a4d2-4d8b-9148-e3be6c30e623}">
          <xlrd:rvb i="268"/>
        </ext>
      </extLst>
    </bk>
    <bk>
      <extLst>
        <ext uri="{3e2802c4-a4d2-4d8b-9148-e3be6c30e623}">
          <xlrd:rvb i="271"/>
        </ext>
      </extLst>
    </bk>
    <bk>
      <extLst>
        <ext uri="{3e2802c4-a4d2-4d8b-9148-e3be6c30e623}">
          <xlrd:rvb i="272"/>
        </ext>
      </extLst>
    </bk>
    <bk>
      <extLst>
        <ext uri="{3e2802c4-a4d2-4d8b-9148-e3be6c30e623}">
          <xlrd:rvb i="275"/>
        </ext>
      </extLst>
    </bk>
    <bk>
      <extLst>
        <ext uri="{3e2802c4-a4d2-4d8b-9148-e3be6c30e623}">
          <xlrd:rvb i="276"/>
        </ext>
      </extLst>
    </bk>
    <bk>
      <extLst>
        <ext uri="{3e2802c4-a4d2-4d8b-9148-e3be6c30e623}">
          <xlrd:rvb i="279"/>
        </ext>
      </extLst>
    </bk>
    <bk>
      <extLst>
        <ext uri="{3e2802c4-a4d2-4d8b-9148-e3be6c30e623}">
          <xlrd:rvb i="280"/>
        </ext>
      </extLst>
    </bk>
    <bk>
      <extLst>
        <ext uri="{3e2802c4-a4d2-4d8b-9148-e3be6c30e623}">
          <xlrd:rvb i="283"/>
        </ext>
      </extLst>
    </bk>
    <bk>
      <extLst>
        <ext uri="{3e2802c4-a4d2-4d8b-9148-e3be6c30e623}">
          <xlrd:rvb i="284"/>
        </ext>
      </extLst>
    </bk>
    <bk>
      <extLst>
        <ext uri="{3e2802c4-a4d2-4d8b-9148-e3be6c30e623}">
          <xlrd:rvb i="287"/>
        </ext>
      </extLst>
    </bk>
    <bk>
      <extLst>
        <ext uri="{3e2802c4-a4d2-4d8b-9148-e3be6c30e623}">
          <xlrd:rvb i="288"/>
        </ext>
      </extLst>
    </bk>
    <bk>
      <extLst>
        <ext uri="{3e2802c4-a4d2-4d8b-9148-e3be6c30e623}">
          <xlrd:rvb i="291"/>
        </ext>
      </extLst>
    </bk>
    <bk>
      <extLst>
        <ext uri="{3e2802c4-a4d2-4d8b-9148-e3be6c30e623}">
          <xlrd:rvb i="292"/>
        </ext>
      </extLst>
    </bk>
    <bk>
      <extLst>
        <ext uri="{3e2802c4-a4d2-4d8b-9148-e3be6c30e623}">
          <xlrd:rvb i="295"/>
        </ext>
      </extLst>
    </bk>
    <bk>
      <extLst>
        <ext uri="{3e2802c4-a4d2-4d8b-9148-e3be6c30e623}">
          <xlrd:rvb i="296"/>
        </ext>
      </extLst>
    </bk>
    <bk>
      <extLst>
        <ext uri="{3e2802c4-a4d2-4d8b-9148-e3be6c30e623}">
          <xlrd:rvb i="299"/>
        </ext>
      </extLst>
    </bk>
    <bk>
      <extLst>
        <ext uri="{3e2802c4-a4d2-4d8b-9148-e3be6c30e623}">
          <xlrd:rvb i="300"/>
        </ext>
      </extLst>
    </bk>
    <bk>
      <extLst>
        <ext uri="{3e2802c4-a4d2-4d8b-9148-e3be6c30e623}">
          <xlrd:rvb i="303"/>
        </ext>
      </extLst>
    </bk>
    <bk>
      <extLst>
        <ext uri="{3e2802c4-a4d2-4d8b-9148-e3be6c30e623}">
          <xlrd:rvb i="304"/>
        </ext>
      </extLst>
    </bk>
    <bk>
      <extLst>
        <ext uri="{3e2802c4-a4d2-4d8b-9148-e3be6c30e623}">
          <xlrd:rvb i="307"/>
        </ext>
      </extLst>
    </bk>
    <bk>
      <extLst>
        <ext uri="{3e2802c4-a4d2-4d8b-9148-e3be6c30e623}">
          <xlrd:rvb i="308"/>
        </ext>
      </extLst>
    </bk>
    <bk>
      <extLst>
        <ext uri="{3e2802c4-a4d2-4d8b-9148-e3be6c30e623}">
          <xlrd:rvb i="311"/>
        </ext>
      </extLst>
    </bk>
    <bk>
      <extLst>
        <ext uri="{3e2802c4-a4d2-4d8b-9148-e3be6c30e623}">
          <xlrd:rvb i="312"/>
        </ext>
      </extLst>
    </bk>
    <bk>
      <extLst>
        <ext uri="{3e2802c4-a4d2-4d8b-9148-e3be6c30e623}">
          <xlrd:rvb i="315"/>
        </ext>
      </extLst>
    </bk>
    <bk>
      <extLst>
        <ext uri="{3e2802c4-a4d2-4d8b-9148-e3be6c30e623}">
          <xlrd:rvb i="316"/>
        </ext>
      </extLst>
    </bk>
    <bk>
      <extLst>
        <ext uri="{3e2802c4-a4d2-4d8b-9148-e3be6c30e623}">
          <xlrd:rvb i="319"/>
        </ext>
      </extLst>
    </bk>
    <bk>
      <extLst>
        <ext uri="{3e2802c4-a4d2-4d8b-9148-e3be6c30e623}">
          <xlrd:rvb i="320"/>
        </ext>
      </extLst>
    </bk>
    <bk>
      <extLst>
        <ext uri="{3e2802c4-a4d2-4d8b-9148-e3be6c30e623}">
          <xlrd:rvb i="323"/>
        </ext>
      </extLst>
    </bk>
    <bk>
      <extLst>
        <ext uri="{3e2802c4-a4d2-4d8b-9148-e3be6c30e623}">
          <xlrd:rvb i="324"/>
        </ext>
      </extLst>
    </bk>
    <bk>
      <extLst>
        <ext uri="{3e2802c4-a4d2-4d8b-9148-e3be6c30e623}">
          <xlrd:rvb i="327"/>
        </ext>
      </extLst>
    </bk>
    <bk>
      <extLst>
        <ext uri="{3e2802c4-a4d2-4d8b-9148-e3be6c30e623}">
          <xlrd:rvb i="328"/>
        </ext>
      </extLst>
    </bk>
    <bk>
      <extLst>
        <ext uri="{3e2802c4-a4d2-4d8b-9148-e3be6c30e623}">
          <xlrd:rvb i="331"/>
        </ext>
      </extLst>
    </bk>
    <bk>
      <extLst>
        <ext uri="{3e2802c4-a4d2-4d8b-9148-e3be6c30e623}">
          <xlrd:rvb i="332"/>
        </ext>
      </extLst>
    </bk>
    <bk>
      <extLst>
        <ext uri="{3e2802c4-a4d2-4d8b-9148-e3be6c30e623}">
          <xlrd:rvb i="335"/>
        </ext>
      </extLst>
    </bk>
    <bk>
      <extLst>
        <ext uri="{3e2802c4-a4d2-4d8b-9148-e3be6c30e623}">
          <xlrd:rvb i="336"/>
        </ext>
      </extLst>
    </bk>
    <bk>
      <extLst>
        <ext uri="{3e2802c4-a4d2-4d8b-9148-e3be6c30e623}">
          <xlrd:rvb i="339"/>
        </ext>
      </extLst>
    </bk>
    <bk>
      <extLst>
        <ext uri="{3e2802c4-a4d2-4d8b-9148-e3be6c30e623}">
          <xlrd:rvb i="340"/>
        </ext>
      </extLst>
    </bk>
    <bk>
      <extLst>
        <ext uri="{3e2802c4-a4d2-4d8b-9148-e3be6c30e623}">
          <xlrd:rvb i="343"/>
        </ext>
      </extLst>
    </bk>
    <bk>
      <extLst>
        <ext uri="{3e2802c4-a4d2-4d8b-9148-e3be6c30e623}">
          <xlrd:rvb i="344"/>
        </ext>
      </extLst>
    </bk>
    <bk>
      <extLst>
        <ext uri="{3e2802c4-a4d2-4d8b-9148-e3be6c30e623}">
          <xlrd:rvb i="347"/>
        </ext>
      </extLst>
    </bk>
    <bk>
      <extLst>
        <ext uri="{3e2802c4-a4d2-4d8b-9148-e3be6c30e623}">
          <xlrd:rvb i="348"/>
        </ext>
      </extLst>
    </bk>
    <bk>
      <extLst>
        <ext uri="{3e2802c4-a4d2-4d8b-9148-e3be6c30e623}">
          <xlrd:rvb i="351"/>
        </ext>
      </extLst>
    </bk>
    <bk>
      <extLst>
        <ext uri="{3e2802c4-a4d2-4d8b-9148-e3be6c30e623}">
          <xlrd:rvb i="352"/>
        </ext>
      </extLst>
    </bk>
    <bk>
      <extLst>
        <ext uri="{3e2802c4-a4d2-4d8b-9148-e3be6c30e623}">
          <xlrd:rvb i="355"/>
        </ext>
      </extLst>
    </bk>
    <bk>
      <extLst>
        <ext uri="{3e2802c4-a4d2-4d8b-9148-e3be6c30e623}">
          <xlrd:rvb i="356"/>
        </ext>
      </extLst>
    </bk>
    <bk>
      <extLst>
        <ext uri="{3e2802c4-a4d2-4d8b-9148-e3be6c30e623}">
          <xlrd:rvb i="359"/>
        </ext>
      </extLst>
    </bk>
    <bk>
      <extLst>
        <ext uri="{3e2802c4-a4d2-4d8b-9148-e3be6c30e623}">
          <xlrd:rvb i="360"/>
        </ext>
      </extLst>
    </bk>
    <bk>
      <extLst>
        <ext uri="{3e2802c4-a4d2-4d8b-9148-e3be6c30e623}">
          <xlrd:rvb i="363"/>
        </ext>
      </extLst>
    </bk>
    <bk>
      <extLst>
        <ext uri="{3e2802c4-a4d2-4d8b-9148-e3be6c30e623}">
          <xlrd:rvb i="364"/>
        </ext>
      </extLst>
    </bk>
    <bk>
      <extLst>
        <ext uri="{3e2802c4-a4d2-4d8b-9148-e3be6c30e623}">
          <xlrd:rvb i="367"/>
        </ext>
      </extLst>
    </bk>
    <bk>
      <extLst>
        <ext uri="{3e2802c4-a4d2-4d8b-9148-e3be6c30e623}">
          <xlrd:rvb i="368"/>
        </ext>
      </extLst>
    </bk>
    <bk>
      <extLst>
        <ext uri="{3e2802c4-a4d2-4d8b-9148-e3be6c30e623}">
          <xlrd:rvb i="371"/>
        </ext>
      </extLst>
    </bk>
    <bk>
      <extLst>
        <ext uri="{3e2802c4-a4d2-4d8b-9148-e3be6c30e623}">
          <xlrd:rvb i="372"/>
        </ext>
      </extLst>
    </bk>
    <bk>
      <extLst>
        <ext uri="{3e2802c4-a4d2-4d8b-9148-e3be6c30e623}">
          <xlrd:rvb i="375"/>
        </ext>
      </extLst>
    </bk>
    <bk>
      <extLst>
        <ext uri="{3e2802c4-a4d2-4d8b-9148-e3be6c30e623}">
          <xlrd:rvb i="376"/>
        </ext>
      </extLst>
    </bk>
    <bk>
      <extLst>
        <ext uri="{3e2802c4-a4d2-4d8b-9148-e3be6c30e623}">
          <xlrd:rvb i="379"/>
        </ext>
      </extLst>
    </bk>
    <bk>
      <extLst>
        <ext uri="{3e2802c4-a4d2-4d8b-9148-e3be6c30e623}">
          <xlrd:rvb i="380"/>
        </ext>
      </extLst>
    </bk>
    <bk>
      <extLst>
        <ext uri="{3e2802c4-a4d2-4d8b-9148-e3be6c30e623}">
          <xlrd:rvb i="383"/>
        </ext>
      </extLst>
    </bk>
    <bk>
      <extLst>
        <ext uri="{3e2802c4-a4d2-4d8b-9148-e3be6c30e623}">
          <xlrd:rvb i="384"/>
        </ext>
      </extLst>
    </bk>
    <bk>
      <extLst>
        <ext uri="{3e2802c4-a4d2-4d8b-9148-e3be6c30e623}">
          <xlrd:rvb i="387"/>
        </ext>
      </extLst>
    </bk>
    <bk>
      <extLst>
        <ext uri="{3e2802c4-a4d2-4d8b-9148-e3be6c30e623}">
          <xlrd:rvb i="388"/>
        </ext>
      </extLst>
    </bk>
    <bk>
      <extLst>
        <ext uri="{3e2802c4-a4d2-4d8b-9148-e3be6c30e623}">
          <xlrd:rvb i="391"/>
        </ext>
      </extLst>
    </bk>
    <bk>
      <extLst>
        <ext uri="{3e2802c4-a4d2-4d8b-9148-e3be6c30e623}">
          <xlrd:rvb i="392"/>
        </ext>
      </extLst>
    </bk>
    <bk>
      <extLst>
        <ext uri="{3e2802c4-a4d2-4d8b-9148-e3be6c30e623}">
          <xlrd:rvb i="395"/>
        </ext>
      </extLst>
    </bk>
    <bk>
      <extLst>
        <ext uri="{3e2802c4-a4d2-4d8b-9148-e3be6c30e623}">
          <xlrd:rvb i="396"/>
        </ext>
      </extLst>
    </bk>
    <bk>
      <extLst>
        <ext uri="{3e2802c4-a4d2-4d8b-9148-e3be6c30e623}">
          <xlrd:rvb i="399"/>
        </ext>
      </extLst>
    </bk>
    <bk>
      <extLst>
        <ext uri="{3e2802c4-a4d2-4d8b-9148-e3be6c30e623}">
          <xlrd:rvb i="400"/>
        </ext>
      </extLst>
    </bk>
    <bk>
      <extLst>
        <ext uri="{3e2802c4-a4d2-4d8b-9148-e3be6c30e623}">
          <xlrd:rvb i="403"/>
        </ext>
      </extLst>
    </bk>
    <bk>
      <extLst>
        <ext uri="{3e2802c4-a4d2-4d8b-9148-e3be6c30e623}">
          <xlrd:rvb i="404"/>
        </ext>
      </extLst>
    </bk>
    <bk>
      <extLst>
        <ext uri="{3e2802c4-a4d2-4d8b-9148-e3be6c30e623}">
          <xlrd:rvb i="407"/>
        </ext>
      </extLst>
    </bk>
    <bk>
      <extLst>
        <ext uri="{3e2802c4-a4d2-4d8b-9148-e3be6c30e623}">
          <xlrd:rvb i="408"/>
        </ext>
      </extLst>
    </bk>
    <bk>
      <extLst>
        <ext uri="{3e2802c4-a4d2-4d8b-9148-e3be6c30e623}">
          <xlrd:rvb i="411"/>
        </ext>
      </extLst>
    </bk>
    <bk>
      <extLst>
        <ext uri="{3e2802c4-a4d2-4d8b-9148-e3be6c30e623}">
          <xlrd:rvb i="412"/>
        </ext>
      </extLst>
    </bk>
    <bk>
      <extLst>
        <ext uri="{3e2802c4-a4d2-4d8b-9148-e3be6c30e623}">
          <xlrd:rvb i="415"/>
        </ext>
      </extLst>
    </bk>
    <bk>
      <extLst>
        <ext uri="{3e2802c4-a4d2-4d8b-9148-e3be6c30e623}">
          <xlrd:rvb i="416"/>
        </ext>
      </extLst>
    </bk>
    <bk>
      <extLst>
        <ext uri="{3e2802c4-a4d2-4d8b-9148-e3be6c30e623}">
          <xlrd:rvb i="419"/>
        </ext>
      </extLst>
    </bk>
    <bk>
      <extLst>
        <ext uri="{3e2802c4-a4d2-4d8b-9148-e3be6c30e623}">
          <xlrd:rvb i="420"/>
        </ext>
      </extLst>
    </bk>
    <bk>
      <extLst>
        <ext uri="{3e2802c4-a4d2-4d8b-9148-e3be6c30e623}">
          <xlrd:rvb i="423"/>
        </ext>
      </extLst>
    </bk>
    <bk>
      <extLst>
        <ext uri="{3e2802c4-a4d2-4d8b-9148-e3be6c30e623}">
          <xlrd:rvb i="424"/>
        </ext>
      </extLst>
    </bk>
    <bk>
      <extLst>
        <ext uri="{3e2802c4-a4d2-4d8b-9148-e3be6c30e623}">
          <xlrd:rvb i="427"/>
        </ext>
      </extLst>
    </bk>
    <bk>
      <extLst>
        <ext uri="{3e2802c4-a4d2-4d8b-9148-e3be6c30e623}">
          <xlrd:rvb i="428"/>
        </ext>
      </extLst>
    </bk>
    <bk>
      <extLst>
        <ext uri="{3e2802c4-a4d2-4d8b-9148-e3be6c30e623}">
          <xlrd:rvb i="431"/>
        </ext>
      </extLst>
    </bk>
    <bk>
      <extLst>
        <ext uri="{3e2802c4-a4d2-4d8b-9148-e3be6c30e623}">
          <xlrd:rvb i="432"/>
        </ext>
      </extLst>
    </bk>
    <bk>
      <extLst>
        <ext uri="{3e2802c4-a4d2-4d8b-9148-e3be6c30e623}">
          <xlrd:rvb i="435"/>
        </ext>
      </extLst>
    </bk>
    <bk>
      <extLst>
        <ext uri="{3e2802c4-a4d2-4d8b-9148-e3be6c30e623}">
          <xlrd:rvb i="436"/>
        </ext>
      </extLst>
    </bk>
    <bk>
      <extLst>
        <ext uri="{3e2802c4-a4d2-4d8b-9148-e3be6c30e623}">
          <xlrd:rvb i="439"/>
        </ext>
      </extLst>
    </bk>
    <bk>
      <extLst>
        <ext uri="{3e2802c4-a4d2-4d8b-9148-e3be6c30e623}">
          <xlrd:rvb i="440"/>
        </ext>
      </extLst>
    </bk>
    <bk>
      <extLst>
        <ext uri="{3e2802c4-a4d2-4d8b-9148-e3be6c30e623}">
          <xlrd:rvb i="443"/>
        </ext>
      </extLst>
    </bk>
    <bk>
      <extLst>
        <ext uri="{3e2802c4-a4d2-4d8b-9148-e3be6c30e623}">
          <xlrd:rvb i="444"/>
        </ext>
      </extLst>
    </bk>
    <bk>
      <extLst>
        <ext uri="{3e2802c4-a4d2-4d8b-9148-e3be6c30e623}">
          <xlrd:rvb i="447"/>
        </ext>
      </extLst>
    </bk>
    <bk>
      <extLst>
        <ext uri="{3e2802c4-a4d2-4d8b-9148-e3be6c30e623}">
          <xlrd:rvb i="448"/>
        </ext>
      </extLst>
    </bk>
    <bk>
      <extLst>
        <ext uri="{3e2802c4-a4d2-4d8b-9148-e3be6c30e623}">
          <xlrd:rvb i="451"/>
        </ext>
      </extLst>
    </bk>
    <bk>
      <extLst>
        <ext uri="{3e2802c4-a4d2-4d8b-9148-e3be6c30e623}">
          <xlrd:rvb i="452"/>
        </ext>
      </extLst>
    </bk>
    <bk>
      <extLst>
        <ext uri="{3e2802c4-a4d2-4d8b-9148-e3be6c30e623}">
          <xlrd:rvb i="455"/>
        </ext>
      </extLst>
    </bk>
    <bk>
      <extLst>
        <ext uri="{3e2802c4-a4d2-4d8b-9148-e3be6c30e623}">
          <xlrd:rvb i="456"/>
        </ext>
      </extLst>
    </bk>
    <bk>
      <extLst>
        <ext uri="{3e2802c4-a4d2-4d8b-9148-e3be6c30e623}">
          <xlrd:rvb i="459"/>
        </ext>
      </extLst>
    </bk>
    <bk>
      <extLst>
        <ext uri="{3e2802c4-a4d2-4d8b-9148-e3be6c30e623}">
          <xlrd:rvb i="460"/>
        </ext>
      </extLst>
    </bk>
    <bk>
      <extLst>
        <ext uri="{3e2802c4-a4d2-4d8b-9148-e3be6c30e623}">
          <xlrd:rvb i="463"/>
        </ext>
      </extLst>
    </bk>
    <bk>
      <extLst>
        <ext uri="{3e2802c4-a4d2-4d8b-9148-e3be6c30e623}">
          <xlrd:rvb i="464"/>
        </ext>
      </extLst>
    </bk>
    <bk>
      <extLst>
        <ext uri="{3e2802c4-a4d2-4d8b-9148-e3be6c30e623}">
          <xlrd:rvb i="467"/>
        </ext>
      </extLst>
    </bk>
    <bk>
      <extLst>
        <ext uri="{3e2802c4-a4d2-4d8b-9148-e3be6c30e623}">
          <xlrd:rvb i="468"/>
        </ext>
      </extLst>
    </bk>
    <bk>
      <extLst>
        <ext uri="{3e2802c4-a4d2-4d8b-9148-e3be6c30e623}">
          <xlrd:rvb i="471"/>
        </ext>
      </extLst>
    </bk>
    <bk>
      <extLst>
        <ext uri="{3e2802c4-a4d2-4d8b-9148-e3be6c30e623}">
          <xlrd:rvb i="472"/>
        </ext>
      </extLst>
    </bk>
    <bk>
      <extLst>
        <ext uri="{3e2802c4-a4d2-4d8b-9148-e3be6c30e623}">
          <xlrd:rvb i="475"/>
        </ext>
      </extLst>
    </bk>
    <bk>
      <extLst>
        <ext uri="{3e2802c4-a4d2-4d8b-9148-e3be6c30e623}">
          <xlrd:rvb i="476"/>
        </ext>
      </extLst>
    </bk>
    <bk>
      <extLst>
        <ext uri="{3e2802c4-a4d2-4d8b-9148-e3be6c30e623}">
          <xlrd:rvb i="482"/>
        </ext>
      </extLst>
    </bk>
    <bk>
      <extLst>
        <ext uri="{3e2802c4-a4d2-4d8b-9148-e3be6c30e623}">
          <xlrd:rvb i="483"/>
        </ext>
      </extLst>
    </bk>
    <bk>
      <extLst>
        <ext uri="{3e2802c4-a4d2-4d8b-9148-e3be6c30e623}">
          <xlrd:rvb i="486"/>
        </ext>
      </extLst>
    </bk>
    <bk>
      <extLst>
        <ext uri="{3e2802c4-a4d2-4d8b-9148-e3be6c30e623}">
          <xlrd:rvb i="487"/>
        </ext>
      </extLst>
    </bk>
    <bk>
      <extLst>
        <ext uri="{3e2802c4-a4d2-4d8b-9148-e3be6c30e623}">
          <xlrd:rvb i="490"/>
        </ext>
      </extLst>
    </bk>
    <bk>
      <extLst>
        <ext uri="{3e2802c4-a4d2-4d8b-9148-e3be6c30e623}">
          <xlrd:rvb i="491"/>
        </ext>
      </extLst>
    </bk>
    <bk>
      <extLst>
        <ext uri="{3e2802c4-a4d2-4d8b-9148-e3be6c30e623}">
          <xlrd:rvb i="494"/>
        </ext>
      </extLst>
    </bk>
    <bk>
      <extLst>
        <ext uri="{3e2802c4-a4d2-4d8b-9148-e3be6c30e623}">
          <xlrd:rvb i="495"/>
        </ext>
      </extLst>
    </bk>
    <bk>
      <extLst>
        <ext uri="{3e2802c4-a4d2-4d8b-9148-e3be6c30e623}">
          <xlrd:rvb i="498"/>
        </ext>
      </extLst>
    </bk>
    <bk>
      <extLst>
        <ext uri="{3e2802c4-a4d2-4d8b-9148-e3be6c30e623}">
          <xlrd:rvb i="499"/>
        </ext>
      </extLst>
    </bk>
    <bk>
      <extLst>
        <ext uri="{3e2802c4-a4d2-4d8b-9148-e3be6c30e623}">
          <xlrd:rvb i="505"/>
        </ext>
      </extLst>
    </bk>
    <bk>
      <extLst>
        <ext uri="{3e2802c4-a4d2-4d8b-9148-e3be6c30e623}">
          <xlrd:rvb i="506"/>
        </ext>
      </extLst>
    </bk>
    <bk>
      <extLst>
        <ext uri="{3e2802c4-a4d2-4d8b-9148-e3be6c30e623}">
          <xlrd:rvb i="509"/>
        </ext>
      </extLst>
    </bk>
    <bk>
      <extLst>
        <ext uri="{3e2802c4-a4d2-4d8b-9148-e3be6c30e623}">
          <xlrd:rvb i="510"/>
        </ext>
      </extLst>
    </bk>
    <bk>
      <extLst>
        <ext uri="{3e2802c4-a4d2-4d8b-9148-e3be6c30e623}">
          <xlrd:rvb i="513"/>
        </ext>
      </extLst>
    </bk>
    <bk>
      <extLst>
        <ext uri="{3e2802c4-a4d2-4d8b-9148-e3be6c30e623}">
          <xlrd:rvb i="514"/>
        </ext>
      </extLst>
    </bk>
    <bk>
      <extLst>
        <ext uri="{3e2802c4-a4d2-4d8b-9148-e3be6c30e623}">
          <xlrd:rvb i="517"/>
        </ext>
      </extLst>
    </bk>
    <bk>
      <extLst>
        <ext uri="{3e2802c4-a4d2-4d8b-9148-e3be6c30e623}">
          <xlrd:rvb i="518"/>
        </ext>
      </extLst>
    </bk>
    <bk>
      <extLst>
        <ext uri="{3e2802c4-a4d2-4d8b-9148-e3be6c30e623}">
          <xlrd:rvb i="521"/>
        </ext>
      </extLst>
    </bk>
    <bk>
      <extLst>
        <ext uri="{3e2802c4-a4d2-4d8b-9148-e3be6c30e623}">
          <xlrd:rvb i="522"/>
        </ext>
      </extLst>
    </bk>
    <bk>
      <extLst>
        <ext uri="{3e2802c4-a4d2-4d8b-9148-e3be6c30e623}">
          <xlrd:rvb i="525"/>
        </ext>
      </extLst>
    </bk>
    <bk>
      <extLst>
        <ext uri="{3e2802c4-a4d2-4d8b-9148-e3be6c30e623}">
          <xlrd:rvb i="526"/>
        </ext>
      </extLst>
    </bk>
    <bk>
      <extLst>
        <ext uri="{3e2802c4-a4d2-4d8b-9148-e3be6c30e623}">
          <xlrd:rvb i="529"/>
        </ext>
      </extLst>
    </bk>
    <bk>
      <extLst>
        <ext uri="{3e2802c4-a4d2-4d8b-9148-e3be6c30e623}">
          <xlrd:rvb i="530"/>
        </ext>
      </extLst>
    </bk>
    <bk>
      <extLst>
        <ext uri="{3e2802c4-a4d2-4d8b-9148-e3be6c30e623}">
          <xlrd:rvb i="533"/>
        </ext>
      </extLst>
    </bk>
    <bk>
      <extLst>
        <ext uri="{3e2802c4-a4d2-4d8b-9148-e3be6c30e623}">
          <xlrd:rvb i="534"/>
        </ext>
      </extLst>
    </bk>
    <bk>
      <extLst>
        <ext uri="{3e2802c4-a4d2-4d8b-9148-e3be6c30e623}">
          <xlrd:rvb i="537"/>
        </ext>
      </extLst>
    </bk>
    <bk>
      <extLst>
        <ext uri="{3e2802c4-a4d2-4d8b-9148-e3be6c30e623}">
          <xlrd:rvb i="538"/>
        </ext>
      </extLst>
    </bk>
    <bk>
      <extLst>
        <ext uri="{3e2802c4-a4d2-4d8b-9148-e3be6c30e623}">
          <xlrd:rvb i="541"/>
        </ext>
      </extLst>
    </bk>
    <bk>
      <extLst>
        <ext uri="{3e2802c4-a4d2-4d8b-9148-e3be6c30e623}">
          <xlrd:rvb i="542"/>
        </ext>
      </extLst>
    </bk>
    <bk>
      <extLst>
        <ext uri="{3e2802c4-a4d2-4d8b-9148-e3be6c30e623}">
          <xlrd:rvb i="545"/>
        </ext>
      </extLst>
    </bk>
    <bk>
      <extLst>
        <ext uri="{3e2802c4-a4d2-4d8b-9148-e3be6c30e623}">
          <xlrd:rvb i="546"/>
        </ext>
      </extLst>
    </bk>
    <bk>
      <extLst>
        <ext uri="{3e2802c4-a4d2-4d8b-9148-e3be6c30e623}">
          <xlrd:rvb i="549"/>
        </ext>
      </extLst>
    </bk>
    <bk>
      <extLst>
        <ext uri="{3e2802c4-a4d2-4d8b-9148-e3be6c30e623}">
          <xlrd:rvb i="550"/>
        </ext>
      </extLst>
    </bk>
    <bk>
      <extLst>
        <ext uri="{3e2802c4-a4d2-4d8b-9148-e3be6c30e623}">
          <xlrd:rvb i="553"/>
        </ext>
      </extLst>
    </bk>
    <bk>
      <extLst>
        <ext uri="{3e2802c4-a4d2-4d8b-9148-e3be6c30e623}">
          <xlrd:rvb i="554"/>
        </ext>
      </extLst>
    </bk>
    <bk>
      <extLst>
        <ext uri="{3e2802c4-a4d2-4d8b-9148-e3be6c30e623}">
          <xlrd:rvb i="557"/>
        </ext>
      </extLst>
    </bk>
    <bk>
      <extLst>
        <ext uri="{3e2802c4-a4d2-4d8b-9148-e3be6c30e623}">
          <xlrd:rvb i="558"/>
        </ext>
      </extLst>
    </bk>
    <bk>
      <extLst>
        <ext uri="{3e2802c4-a4d2-4d8b-9148-e3be6c30e623}">
          <xlrd:rvb i="561"/>
        </ext>
      </extLst>
    </bk>
    <bk>
      <extLst>
        <ext uri="{3e2802c4-a4d2-4d8b-9148-e3be6c30e623}">
          <xlrd:rvb i="562"/>
        </ext>
      </extLst>
    </bk>
    <bk>
      <extLst>
        <ext uri="{3e2802c4-a4d2-4d8b-9148-e3be6c30e623}">
          <xlrd:rvb i="565"/>
        </ext>
      </extLst>
    </bk>
    <bk>
      <extLst>
        <ext uri="{3e2802c4-a4d2-4d8b-9148-e3be6c30e623}">
          <xlrd:rvb i="566"/>
        </ext>
      </extLst>
    </bk>
    <bk>
      <extLst>
        <ext uri="{3e2802c4-a4d2-4d8b-9148-e3be6c30e623}">
          <xlrd:rvb i="569"/>
        </ext>
      </extLst>
    </bk>
    <bk>
      <extLst>
        <ext uri="{3e2802c4-a4d2-4d8b-9148-e3be6c30e623}">
          <xlrd:rvb i="570"/>
        </ext>
      </extLst>
    </bk>
    <bk>
      <extLst>
        <ext uri="{3e2802c4-a4d2-4d8b-9148-e3be6c30e623}">
          <xlrd:rvb i="573"/>
        </ext>
      </extLst>
    </bk>
    <bk>
      <extLst>
        <ext uri="{3e2802c4-a4d2-4d8b-9148-e3be6c30e623}">
          <xlrd:rvb i="574"/>
        </ext>
      </extLst>
    </bk>
    <bk>
      <extLst>
        <ext uri="{3e2802c4-a4d2-4d8b-9148-e3be6c30e623}">
          <xlrd:rvb i="577"/>
        </ext>
      </extLst>
    </bk>
    <bk>
      <extLst>
        <ext uri="{3e2802c4-a4d2-4d8b-9148-e3be6c30e623}">
          <xlrd:rvb i="578"/>
        </ext>
      </extLst>
    </bk>
    <bk>
      <extLst>
        <ext uri="{3e2802c4-a4d2-4d8b-9148-e3be6c30e623}">
          <xlrd:rvb i="581"/>
        </ext>
      </extLst>
    </bk>
    <bk>
      <extLst>
        <ext uri="{3e2802c4-a4d2-4d8b-9148-e3be6c30e623}">
          <xlrd:rvb i="582"/>
        </ext>
      </extLst>
    </bk>
    <bk>
      <extLst>
        <ext uri="{3e2802c4-a4d2-4d8b-9148-e3be6c30e623}">
          <xlrd:rvb i="585"/>
        </ext>
      </extLst>
    </bk>
    <bk>
      <extLst>
        <ext uri="{3e2802c4-a4d2-4d8b-9148-e3be6c30e623}">
          <xlrd:rvb i="586"/>
        </ext>
      </extLst>
    </bk>
    <bk>
      <extLst>
        <ext uri="{3e2802c4-a4d2-4d8b-9148-e3be6c30e623}">
          <xlrd:rvb i="589"/>
        </ext>
      </extLst>
    </bk>
    <bk>
      <extLst>
        <ext uri="{3e2802c4-a4d2-4d8b-9148-e3be6c30e623}">
          <xlrd:rvb i="590"/>
        </ext>
      </extLst>
    </bk>
    <bk>
      <extLst>
        <ext uri="{3e2802c4-a4d2-4d8b-9148-e3be6c30e623}">
          <xlrd:rvb i="593"/>
        </ext>
      </extLst>
    </bk>
    <bk>
      <extLst>
        <ext uri="{3e2802c4-a4d2-4d8b-9148-e3be6c30e623}">
          <xlrd:rvb i="594"/>
        </ext>
      </extLst>
    </bk>
    <bk>
      <extLst>
        <ext uri="{3e2802c4-a4d2-4d8b-9148-e3be6c30e623}">
          <xlrd:rvb i="597"/>
        </ext>
      </extLst>
    </bk>
    <bk>
      <extLst>
        <ext uri="{3e2802c4-a4d2-4d8b-9148-e3be6c30e623}">
          <xlrd:rvb i="598"/>
        </ext>
      </extLst>
    </bk>
    <bk>
      <extLst>
        <ext uri="{3e2802c4-a4d2-4d8b-9148-e3be6c30e623}">
          <xlrd:rvb i="601"/>
        </ext>
      </extLst>
    </bk>
    <bk>
      <extLst>
        <ext uri="{3e2802c4-a4d2-4d8b-9148-e3be6c30e623}">
          <xlrd:rvb i="602"/>
        </ext>
      </extLst>
    </bk>
    <bk>
      <extLst>
        <ext uri="{3e2802c4-a4d2-4d8b-9148-e3be6c30e623}">
          <xlrd:rvb i="605"/>
        </ext>
      </extLst>
    </bk>
    <bk>
      <extLst>
        <ext uri="{3e2802c4-a4d2-4d8b-9148-e3be6c30e623}">
          <xlrd:rvb i="606"/>
        </ext>
      </extLst>
    </bk>
    <bk>
      <extLst>
        <ext uri="{3e2802c4-a4d2-4d8b-9148-e3be6c30e623}">
          <xlrd:rvb i="609"/>
        </ext>
      </extLst>
    </bk>
    <bk>
      <extLst>
        <ext uri="{3e2802c4-a4d2-4d8b-9148-e3be6c30e623}">
          <xlrd:rvb i="610"/>
        </ext>
      </extLst>
    </bk>
    <bk>
      <extLst>
        <ext uri="{3e2802c4-a4d2-4d8b-9148-e3be6c30e623}">
          <xlrd:rvb i="613"/>
        </ext>
      </extLst>
    </bk>
    <bk>
      <extLst>
        <ext uri="{3e2802c4-a4d2-4d8b-9148-e3be6c30e623}">
          <xlrd:rvb i="614"/>
        </ext>
      </extLst>
    </bk>
    <bk>
      <extLst>
        <ext uri="{3e2802c4-a4d2-4d8b-9148-e3be6c30e623}">
          <xlrd:rvb i="617"/>
        </ext>
      </extLst>
    </bk>
    <bk>
      <extLst>
        <ext uri="{3e2802c4-a4d2-4d8b-9148-e3be6c30e623}">
          <xlrd:rvb i="618"/>
        </ext>
      </extLst>
    </bk>
    <bk>
      <extLst>
        <ext uri="{3e2802c4-a4d2-4d8b-9148-e3be6c30e623}">
          <xlrd:rvb i="621"/>
        </ext>
      </extLst>
    </bk>
    <bk>
      <extLst>
        <ext uri="{3e2802c4-a4d2-4d8b-9148-e3be6c30e623}">
          <xlrd:rvb i="622"/>
        </ext>
      </extLst>
    </bk>
    <bk>
      <extLst>
        <ext uri="{3e2802c4-a4d2-4d8b-9148-e3be6c30e623}">
          <xlrd:rvb i="625"/>
        </ext>
      </extLst>
    </bk>
    <bk>
      <extLst>
        <ext uri="{3e2802c4-a4d2-4d8b-9148-e3be6c30e623}">
          <xlrd:rvb i="626"/>
        </ext>
      </extLst>
    </bk>
    <bk>
      <extLst>
        <ext uri="{3e2802c4-a4d2-4d8b-9148-e3be6c30e623}">
          <xlrd:rvb i="628"/>
        </ext>
      </extLst>
    </bk>
    <bk>
      <extLst>
        <ext uri="{3e2802c4-a4d2-4d8b-9148-e3be6c30e623}">
          <xlrd:rvb i="629"/>
        </ext>
      </extLst>
    </bk>
    <bk>
      <extLst>
        <ext uri="{3e2802c4-a4d2-4d8b-9148-e3be6c30e623}">
          <xlrd:rvb i="632"/>
        </ext>
      </extLst>
    </bk>
    <bk>
      <extLst>
        <ext uri="{3e2802c4-a4d2-4d8b-9148-e3be6c30e623}">
          <xlrd:rvb i="633"/>
        </ext>
      </extLst>
    </bk>
    <bk>
      <extLst>
        <ext uri="{3e2802c4-a4d2-4d8b-9148-e3be6c30e623}">
          <xlrd:rvb i="636"/>
        </ext>
      </extLst>
    </bk>
    <bk>
      <extLst>
        <ext uri="{3e2802c4-a4d2-4d8b-9148-e3be6c30e623}">
          <xlrd:rvb i="637"/>
        </ext>
      </extLst>
    </bk>
    <bk>
      <extLst>
        <ext uri="{3e2802c4-a4d2-4d8b-9148-e3be6c30e623}">
          <xlrd:rvb i="640"/>
        </ext>
      </extLst>
    </bk>
    <bk>
      <extLst>
        <ext uri="{3e2802c4-a4d2-4d8b-9148-e3be6c30e623}">
          <xlrd:rvb i="641"/>
        </ext>
      </extLst>
    </bk>
    <bk>
      <extLst>
        <ext uri="{3e2802c4-a4d2-4d8b-9148-e3be6c30e623}">
          <xlrd:rvb i="644"/>
        </ext>
      </extLst>
    </bk>
    <bk>
      <extLst>
        <ext uri="{3e2802c4-a4d2-4d8b-9148-e3be6c30e623}">
          <xlrd:rvb i="645"/>
        </ext>
      </extLst>
    </bk>
    <bk>
      <extLst>
        <ext uri="{3e2802c4-a4d2-4d8b-9148-e3be6c30e623}">
          <xlrd:rvb i="648"/>
        </ext>
      </extLst>
    </bk>
    <bk>
      <extLst>
        <ext uri="{3e2802c4-a4d2-4d8b-9148-e3be6c30e623}">
          <xlrd:rvb i="649"/>
        </ext>
      </extLst>
    </bk>
    <bk>
      <extLst>
        <ext uri="{3e2802c4-a4d2-4d8b-9148-e3be6c30e623}">
          <xlrd:rvb i="652"/>
        </ext>
      </extLst>
    </bk>
    <bk>
      <extLst>
        <ext uri="{3e2802c4-a4d2-4d8b-9148-e3be6c30e623}">
          <xlrd:rvb i="653"/>
        </ext>
      </extLst>
    </bk>
    <bk>
      <extLst>
        <ext uri="{3e2802c4-a4d2-4d8b-9148-e3be6c30e623}">
          <xlrd:rvb i="656"/>
        </ext>
      </extLst>
    </bk>
    <bk>
      <extLst>
        <ext uri="{3e2802c4-a4d2-4d8b-9148-e3be6c30e623}">
          <xlrd:rvb i="657"/>
        </ext>
      </extLst>
    </bk>
    <bk>
      <extLst>
        <ext uri="{3e2802c4-a4d2-4d8b-9148-e3be6c30e623}">
          <xlrd:rvb i="660"/>
        </ext>
      </extLst>
    </bk>
    <bk>
      <extLst>
        <ext uri="{3e2802c4-a4d2-4d8b-9148-e3be6c30e623}">
          <xlrd:rvb i="661"/>
        </ext>
      </extLst>
    </bk>
    <bk>
      <extLst>
        <ext uri="{3e2802c4-a4d2-4d8b-9148-e3be6c30e623}">
          <xlrd:rvb i="664"/>
        </ext>
      </extLst>
    </bk>
    <bk>
      <extLst>
        <ext uri="{3e2802c4-a4d2-4d8b-9148-e3be6c30e623}">
          <xlrd:rvb i="665"/>
        </ext>
      </extLst>
    </bk>
    <bk>
      <extLst>
        <ext uri="{3e2802c4-a4d2-4d8b-9148-e3be6c30e623}">
          <xlrd:rvb i="668"/>
        </ext>
      </extLst>
    </bk>
    <bk>
      <extLst>
        <ext uri="{3e2802c4-a4d2-4d8b-9148-e3be6c30e623}">
          <xlrd:rvb i="669"/>
        </ext>
      </extLst>
    </bk>
    <bk>
      <extLst>
        <ext uri="{3e2802c4-a4d2-4d8b-9148-e3be6c30e623}">
          <xlrd:rvb i="672"/>
        </ext>
      </extLst>
    </bk>
    <bk>
      <extLst>
        <ext uri="{3e2802c4-a4d2-4d8b-9148-e3be6c30e623}">
          <xlrd:rvb i="673"/>
        </ext>
      </extLst>
    </bk>
    <bk>
      <extLst>
        <ext uri="{3e2802c4-a4d2-4d8b-9148-e3be6c30e623}">
          <xlrd:rvb i="676"/>
        </ext>
      </extLst>
    </bk>
    <bk>
      <extLst>
        <ext uri="{3e2802c4-a4d2-4d8b-9148-e3be6c30e623}">
          <xlrd:rvb i="677"/>
        </ext>
      </extLst>
    </bk>
    <bk>
      <extLst>
        <ext uri="{3e2802c4-a4d2-4d8b-9148-e3be6c30e623}">
          <xlrd:rvb i="680"/>
        </ext>
      </extLst>
    </bk>
    <bk>
      <extLst>
        <ext uri="{3e2802c4-a4d2-4d8b-9148-e3be6c30e623}">
          <xlrd:rvb i="681"/>
        </ext>
      </extLst>
    </bk>
    <bk>
      <extLst>
        <ext uri="{3e2802c4-a4d2-4d8b-9148-e3be6c30e623}">
          <xlrd:rvb i="684"/>
        </ext>
      </extLst>
    </bk>
    <bk>
      <extLst>
        <ext uri="{3e2802c4-a4d2-4d8b-9148-e3be6c30e623}">
          <xlrd:rvb i="685"/>
        </ext>
      </extLst>
    </bk>
    <bk>
      <extLst>
        <ext uri="{3e2802c4-a4d2-4d8b-9148-e3be6c30e623}">
          <xlrd:rvb i="688"/>
        </ext>
      </extLst>
    </bk>
    <bk>
      <extLst>
        <ext uri="{3e2802c4-a4d2-4d8b-9148-e3be6c30e623}">
          <xlrd:rvb i="689"/>
        </ext>
      </extLst>
    </bk>
    <bk>
      <extLst>
        <ext uri="{3e2802c4-a4d2-4d8b-9148-e3be6c30e623}">
          <xlrd:rvb i="692"/>
        </ext>
      </extLst>
    </bk>
    <bk>
      <extLst>
        <ext uri="{3e2802c4-a4d2-4d8b-9148-e3be6c30e623}">
          <xlrd:rvb i="693"/>
        </ext>
      </extLst>
    </bk>
    <bk>
      <extLst>
        <ext uri="{3e2802c4-a4d2-4d8b-9148-e3be6c30e623}">
          <xlrd:rvb i="696"/>
        </ext>
      </extLst>
    </bk>
    <bk>
      <extLst>
        <ext uri="{3e2802c4-a4d2-4d8b-9148-e3be6c30e623}">
          <xlrd:rvb i="697"/>
        </ext>
      </extLst>
    </bk>
    <bk>
      <extLst>
        <ext uri="{3e2802c4-a4d2-4d8b-9148-e3be6c30e623}">
          <xlrd:rvb i="700"/>
        </ext>
      </extLst>
    </bk>
    <bk>
      <extLst>
        <ext uri="{3e2802c4-a4d2-4d8b-9148-e3be6c30e623}">
          <xlrd:rvb i="701"/>
        </ext>
      </extLst>
    </bk>
    <bk>
      <extLst>
        <ext uri="{3e2802c4-a4d2-4d8b-9148-e3be6c30e623}">
          <xlrd:rvb i="704"/>
        </ext>
      </extLst>
    </bk>
    <bk>
      <extLst>
        <ext uri="{3e2802c4-a4d2-4d8b-9148-e3be6c30e623}">
          <xlrd:rvb i="705"/>
        </ext>
      </extLst>
    </bk>
    <bk>
      <extLst>
        <ext uri="{3e2802c4-a4d2-4d8b-9148-e3be6c30e623}">
          <xlrd:rvb i="708"/>
        </ext>
      </extLst>
    </bk>
    <bk>
      <extLst>
        <ext uri="{3e2802c4-a4d2-4d8b-9148-e3be6c30e623}">
          <xlrd:rvb i="709"/>
        </ext>
      </extLst>
    </bk>
    <bk>
      <extLst>
        <ext uri="{3e2802c4-a4d2-4d8b-9148-e3be6c30e623}">
          <xlrd:rvb i="712"/>
        </ext>
      </extLst>
    </bk>
    <bk>
      <extLst>
        <ext uri="{3e2802c4-a4d2-4d8b-9148-e3be6c30e623}">
          <xlrd:rvb i="713"/>
        </ext>
      </extLst>
    </bk>
    <bk>
      <extLst>
        <ext uri="{3e2802c4-a4d2-4d8b-9148-e3be6c30e623}">
          <xlrd:rvb i="716"/>
        </ext>
      </extLst>
    </bk>
    <bk>
      <extLst>
        <ext uri="{3e2802c4-a4d2-4d8b-9148-e3be6c30e623}">
          <xlrd:rvb i="717"/>
        </ext>
      </extLst>
    </bk>
    <bk>
      <extLst>
        <ext uri="{3e2802c4-a4d2-4d8b-9148-e3be6c30e623}">
          <xlrd:rvb i="720"/>
        </ext>
      </extLst>
    </bk>
    <bk>
      <extLst>
        <ext uri="{3e2802c4-a4d2-4d8b-9148-e3be6c30e623}">
          <xlrd:rvb i="721"/>
        </ext>
      </extLst>
    </bk>
    <bk>
      <extLst>
        <ext uri="{3e2802c4-a4d2-4d8b-9148-e3be6c30e623}">
          <xlrd:rvb i="724"/>
        </ext>
      </extLst>
    </bk>
    <bk>
      <extLst>
        <ext uri="{3e2802c4-a4d2-4d8b-9148-e3be6c30e623}">
          <xlrd:rvb i="725"/>
        </ext>
      </extLst>
    </bk>
    <bk>
      <extLst>
        <ext uri="{3e2802c4-a4d2-4d8b-9148-e3be6c30e623}">
          <xlrd:rvb i="728"/>
        </ext>
      </extLst>
    </bk>
    <bk>
      <extLst>
        <ext uri="{3e2802c4-a4d2-4d8b-9148-e3be6c30e623}">
          <xlrd:rvb i="729"/>
        </ext>
      </extLst>
    </bk>
    <bk>
      <extLst>
        <ext uri="{3e2802c4-a4d2-4d8b-9148-e3be6c30e623}">
          <xlrd:rvb i="732"/>
        </ext>
      </extLst>
    </bk>
    <bk>
      <extLst>
        <ext uri="{3e2802c4-a4d2-4d8b-9148-e3be6c30e623}">
          <xlrd:rvb i="733"/>
        </ext>
      </extLst>
    </bk>
    <bk>
      <extLst>
        <ext uri="{3e2802c4-a4d2-4d8b-9148-e3be6c30e623}">
          <xlrd:rvb i="736"/>
        </ext>
      </extLst>
    </bk>
    <bk>
      <extLst>
        <ext uri="{3e2802c4-a4d2-4d8b-9148-e3be6c30e623}">
          <xlrd:rvb i="737"/>
        </ext>
      </extLst>
    </bk>
    <bk>
      <extLst>
        <ext uri="{3e2802c4-a4d2-4d8b-9148-e3be6c30e623}">
          <xlrd:rvb i="740"/>
        </ext>
      </extLst>
    </bk>
    <bk>
      <extLst>
        <ext uri="{3e2802c4-a4d2-4d8b-9148-e3be6c30e623}">
          <xlrd:rvb i="741"/>
        </ext>
      </extLst>
    </bk>
    <bk>
      <extLst>
        <ext uri="{3e2802c4-a4d2-4d8b-9148-e3be6c30e623}">
          <xlrd:rvb i="744"/>
        </ext>
      </extLst>
    </bk>
    <bk>
      <extLst>
        <ext uri="{3e2802c4-a4d2-4d8b-9148-e3be6c30e623}">
          <xlrd:rvb i="745"/>
        </ext>
      </extLst>
    </bk>
    <bk>
      <extLst>
        <ext uri="{3e2802c4-a4d2-4d8b-9148-e3be6c30e623}">
          <xlrd:rvb i="748"/>
        </ext>
      </extLst>
    </bk>
    <bk>
      <extLst>
        <ext uri="{3e2802c4-a4d2-4d8b-9148-e3be6c30e623}">
          <xlrd:rvb i="749"/>
        </ext>
      </extLst>
    </bk>
    <bk>
      <extLst>
        <ext uri="{3e2802c4-a4d2-4d8b-9148-e3be6c30e623}">
          <xlrd:rvb i="752"/>
        </ext>
      </extLst>
    </bk>
    <bk>
      <extLst>
        <ext uri="{3e2802c4-a4d2-4d8b-9148-e3be6c30e623}">
          <xlrd:rvb i="753"/>
        </ext>
      </extLst>
    </bk>
    <bk>
      <extLst>
        <ext uri="{3e2802c4-a4d2-4d8b-9148-e3be6c30e623}">
          <xlrd:rvb i="756"/>
        </ext>
      </extLst>
    </bk>
    <bk>
      <extLst>
        <ext uri="{3e2802c4-a4d2-4d8b-9148-e3be6c30e623}">
          <xlrd:rvb i="757"/>
        </ext>
      </extLst>
    </bk>
    <bk>
      <extLst>
        <ext uri="{3e2802c4-a4d2-4d8b-9148-e3be6c30e623}">
          <xlrd:rvb i="760"/>
        </ext>
      </extLst>
    </bk>
    <bk>
      <extLst>
        <ext uri="{3e2802c4-a4d2-4d8b-9148-e3be6c30e623}">
          <xlrd:rvb i="761"/>
        </ext>
      </extLst>
    </bk>
    <bk>
      <extLst>
        <ext uri="{3e2802c4-a4d2-4d8b-9148-e3be6c30e623}">
          <xlrd:rvb i="764"/>
        </ext>
      </extLst>
    </bk>
    <bk>
      <extLst>
        <ext uri="{3e2802c4-a4d2-4d8b-9148-e3be6c30e623}">
          <xlrd:rvb i="765"/>
        </ext>
      </extLst>
    </bk>
    <bk>
      <extLst>
        <ext uri="{3e2802c4-a4d2-4d8b-9148-e3be6c30e623}">
          <xlrd:rvb i="768"/>
        </ext>
      </extLst>
    </bk>
    <bk>
      <extLst>
        <ext uri="{3e2802c4-a4d2-4d8b-9148-e3be6c30e623}">
          <xlrd:rvb i="769"/>
        </ext>
      </extLst>
    </bk>
    <bk>
      <extLst>
        <ext uri="{3e2802c4-a4d2-4d8b-9148-e3be6c30e623}">
          <xlrd:rvb i="772"/>
        </ext>
      </extLst>
    </bk>
    <bk>
      <extLst>
        <ext uri="{3e2802c4-a4d2-4d8b-9148-e3be6c30e623}">
          <xlrd:rvb i="773"/>
        </ext>
      </extLst>
    </bk>
    <bk>
      <extLst>
        <ext uri="{3e2802c4-a4d2-4d8b-9148-e3be6c30e623}">
          <xlrd:rvb i="776"/>
        </ext>
      </extLst>
    </bk>
    <bk>
      <extLst>
        <ext uri="{3e2802c4-a4d2-4d8b-9148-e3be6c30e623}">
          <xlrd:rvb i="777"/>
        </ext>
      </extLst>
    </bk>
    <bk>
      <extLst>
        <ext uri="{3e2802c4-a4d2-4d8b-9148-e3be6c30e623}">
          <xlrd:rvb i="780"/>
        </ext>
      </extLst>
    </bk>
    <bk>
      <extLst>
        <ext uri="{3e2802c4-a4d2-4d8b-9148-e3be6c30e623}">
          <xlrd:rvb i="781"/>
        </ext>
      </extLst>
    </bk>
    <bk>
      <extLst>
        <ext uri="{3e2802c4-a4d2-4d8b-9148-e3be6c30e623}">
          <xlrd:rvb i="784"/>
        </ext>
      </extLst>
    </bk>
    <bk>
      <extLst>
        <ext uri="{3e2802c4-a4d2-4d8b-9148-e3be6c30e623}">
          <xlrd:rvb i="785"/>
        </ext>
      </extLst>
    </bk>
    <bk>
      <extLst>
        <ext uri="{3e2802c4-a4d2-4d8b-9148-e3be6c30e623}">
          <xlrd:rvb i="788"/>
        </ext>
      </extLst>
    </bk>
    <bk>
      <extLst>
        <ext uri="{3e2802c4-a4d2-4d8b-9148-e3be6c30e623}">
          <xlrd:rvb i="789"/>
        </ext>
      </extLst>
    </bk>
    <bk>
      <extLst>
        <ext uri="{3e2802c4-a4d2-4d8b-9148-e3be6c30e623}">
          <xlrd:rvb i="792"/>
        </ext>
      </extLst>
    </bk>
    <bk>
      <extLst>
        <ext uri="{3e2802c4-a4d2-4d8b-9148-e3be6c30e623}">
          <xlrd:rvb i="793"/>
        </ext>
      </extLst>
    </bk>
    <bk>
      <extLst>
        <ext uri="{3e2802c4-a4d2-4d8b-9148-e3be6c30e623}">
          <xlrd:rvb i="796"/>
        </ext>
      </extLst>
    </bk>
    <bk>
      <extLst>
        <ext uri="{3e2802c4-a4d2-4d8b-9148-e3be6c30e623}">
          <xlrd:rvb i="797"/>
        </ext>
      </extLst>
    </bk>
    <bk>
      <extLst>
        <ext uri="{3e2802c4-a4d2-4d8b-9148-e3be6c30e623}">
          <xlrd:rvb i="800"/>
        </ext>
      </extLst>
    </bk>
    <bk>
      <extLst>
        <ext uri="{3e2802c4-a4d2-4d8b-9148-e3be6c30e623}">
          <xlrd:rvb i="801"/>
        </ext>
      </extLst>
    </bk>
    <bk>
      <extLst>
        <ext uri="{3e2802c4-a4d2-4d8b-9148-e3be6c30e623}">
          <xlrd:rvb i="804"/>
        </ext>
      </extLst>
    </bk>
    <bk>
      <extLst>
        <ext uri="{3e2802c4-a4d2-4d8b-9148-e3be6c30e623}">
          <xlrd:rvb i="805"/>
        </ext>
      </extLst>
    </bk>
    <bk>
      <extLst>
        <ext uri="{3e2802c4-a4d2-4d8b-9148-e3be6c30e623}">
          <xlrd:rvb i="808"/>
        </ext>
      </extLst>
    </bk>
    <bk>
      <extLst>
        <ext uri="{3e2802c4-a4d2-4d8b-9148-e3be6c30e623}">
          <xlrd:rvb i="809"/>
        </ext>
      </extLst>
    </bk>
    <bk>
      <extLst>
        <ext uri="{3e2802c4-a4d2-4d8b-9148-e3be6c30e623}">
          <xlrd:rvb i="812"/>
        </ext>
      </extLst>
    </bk>
    <bk>
      <extLst>
        <ext uri="{3e2802c4-a4d2-4d8b-9148-e3be6c30e623}">
          <xlrd:rvb i="813"/>
        </ext>
      </extLst>
    </bk>
    <bk>
      <extLst>
        <ext uri="{3e2802c4-a4d2-4d8b-9148-e3be6c30e623}">
          <xlrd:rvb i="816"/>
        </ext>
      </extLst>
    </bk>
    <bk>
      <extLst>
        <ext uri="{3e2802c4-a4d2-4d8b-9148-e3be6c30e623}">
          <xlrd:rvb i="817"/>
        </ext>
      </extLst>
    </bk>
    <bk>
      <extLst>
        <ext uri="{3e2802c4-a4d2-4d8b-9148-e3be6c30e623}">
          <xlrd:rvb i="820"/>
        </ext>
      </extLst>
    </bk>
    <bk>
      <extLst>
        <ext uri="{3e2802c4-a4d2-4d8b-9148-e3be6c30e623}">
          <xlrd:rvb i="821"/>
        </ext>
      </extLst>
    </bk>
    <bk>
      <extLst>
        <ext uri="{3e2802c4-a4d2-4d8b-9148-e3be6c30e623}">
          <xlrd:rvb i="824"/>
        </ext>
      </extLst>
    </bk>
    <bk>
      <extLst>
        <ext uri="{3e2802c4-a4d2-4d8b-9148-e3be6c30e623}">
          <xlrd:rvb i="825"/>
        </ext>
      </extLst>
    </bk>
    <bk>
      <extLst>
        <ext uri="{3e2802c4-a4d2-4d8b-9148-e3be6c30e623}">
          <xlrd:rvb i="828"/>
        </ext>
      </extLst>
    </bk>
    <bk>
      <extLst>
        <ext uri="{3e2802c4-a4d2-4d8b-9148-e3be6c30e623}">
          <xlrd:rvb i="829"/>
        </ext>
      </extLst>
    </bk>
    <bk>
      <extLst>
        <ext uri="{3e2802c4-a4d2-4d8b-9148-e3be6c30e623}">
          <xlrd:rvb i="832"/>
        </ext>
      </extLst>
    </bk>
    <bk>
      <extLst>
        <ext uri="{3e2802c4-a4d2-4d8b-9148-e3be6c30e623}">
          <xlrd:rvb i="833"/>
        </ext>
      </extLst>
    </bk>
    <bk>
      <extLst>
        <ext uri="{3e2802c4-a4d2-4d8b-9148-e3be6c30e623}">
          <xlrd:rvb i="836"/>
        </ext>
      </extLst>
    </bk>
    <bk>
      <extLst>
        <ext uri="{3e2802c4-a4d2-4d8b-9148-e3be6c30e623}">
          <xlrd:rvb i="837"/>
        </ext>
      </extLst>
    </bk>
    <bk>
      <extLst>
        <ext uri="{3e2802c4-a4d2-4d8b-9148-e3be6c30e623}">
          <xlrd:rvb i="840"/>
        </ext>
      </extLst>
    </bk>
    <bk>
      <extLst>
        <ext uri="{3e2802c4-a4d2-4d8b-9148-e3be6c30e623}">
          <xlrd:rvb i="841"/>
        </ext>
      </extLst>
    </bk>
    <bk>
      <extLst>
        <ext uri="{3e2802c4-a4d2-4d8b-9148-e3be6c30e623}">
          <xlrd:rvb i="844"/>
        </ext>
      </extLst>
    </bk>
    <bk>
      <extLst>
        <ext uri="{3e2802c4-a4d2-4d8b-9148-e3be6c30e623}">
          <xlrd:rvb i="845"/>
        </ext>
      </extLst>
    </bk>
    <bk>
      <extLst>
        <ext uri="{3e2802c4-a4d2-4d8b-9148-e3be6c30e623}">
          <xlrd:rvb i="848"/>
        </ext>
      </extLst>
    </bk>
    <bk>
      <extLst>
        <ext uri="{3e2802c4-a4d2-4d8b-9148-e3be6c30e623}">
          <xlrd:rvb i="849"/>
        </ext>
      </extLst>
    </bk>
    <bk>
      <extLst>
        <ext uri="{3e2802c4-a4d2-4d8b-9148-e3be6c30e623}">
          <xlrd:rvb i="852"/>
        </ext>
      </extLst>
    </bk>
    <bk>
      <extLst>
        <ext uri="{3e2802c4-a4d2-4d8b-9148-e3be6c30e623}">
          <xlrd:rvb i="853"/>
        </ext>
      </extLst>
    </bk>
    <bk>
      <extLst>
        <ext uri="{3e2802c4-a4d2-4d8b-9148-e3be6c30e623}">
          <xlrd:rvb i="856"/>
        </ext>
      </extLst>
    </bk>
    <bk>
      <extLst>
        <ext uri="{3e2802c4-a4d2-4d8b-9148-e3be6c30e623}">
          <xlrd:rvb i="857"/>
        </ext>
      </extLst>
    </bk>
    <bk>
      <extLst>
        <ext uri="{3e2802c4-a4d2-4d8b-9148-e3be6c30e623}">
          <xlrd:rvb i="860"/>
        </ext>
      </extLst>
    </bk>
    <bk>
      <extLst>
        <ext uri="{3e2802c4-a4d2-4d8b-9148-e3be6c30e623}">
          <xlrd:rvb i="861"/>
        </ext>
      </extLst>
    </bk>
    <bk>
      <extLst>
        <ext uri="{3e2802c4-a4d2-4d8b-9148-e3be6c30e623}">
          <xlrd:rvb i="864"/>
        </ext>
      </extLst>
    </bk>
    <bk>
      <extLst>
        <ext uri="{3e2802c4-a4d2-4d8b-9148-e3be6c30e623}">
          <xlrd:rvb i="867"/>
        </ext>
      </extLst>
    </bk>
    <bk>
      <extLst>
        <ext uri="{3e2802c4-a4d2-4d8b-9148-e3be6c30e623}">
          <xlrd:rvb i="868"/>
        </ext>
      </extLst>
    </bk>
    <bk>
      <extLst>
        <ext uri="{3e2802c4-a4d2-4d8b-9148-e3be6c30e623}">
          <xlrd:rvb i="871"/>
        </ext>
      </extLst>
    </bk>
    <bk>
      <extLst>
        <ext uri="{3e2802c4-a4d2-4d8b-9148-e3be6c30e623}">
          <xlrd:rvb i="872"/>
        </ext>
      </extLst>
    </bk>
    <bk>
      <extLst>
        <ext uri="{3e2802c4-a4d2-4d8b-9148-e3be6c30e623}">
          <xlrd:rvb i="875"/>
        </ext>
      </extLst>
    </bk>
    <bk>
      <extLst>
        <ext uri="{3e2802c4-a4d2-4d8b-9148-e3be6c30e623}">
          <xlrd:rvb i="876"/>
        </ext>
      </extLst>
    </bk>
    <bk>
      <extLst>
        <ext uri="{3e2802c4-a4d2-4d8b-9148-e3be6c30e623}">
          <xlrd:rvb i="879"/>
        </ext>
      </extLst>
    </bk>
    <bk>
      <extLst>
        <ext uri="{3e2802c4-a4d2-4d8b-9148-e3be6c30e623}">
          <xlrd:rvb i="880"/>
        </ext>
      </extLst>
    </bk>
    <bk>
      <extLst>
        <ext uri="{3e2802c4-a4d2-4d8b-9148-e3be6c30e623}">
          <xlrd:rvb i="883"/>
        </ext>
      </extLst>
    </bk>
    <bk>
      <extLst>
        <ext uri="{3e2802c4-a4d2-4d8b-9148-e3be6c30e623}">
          <xlrd:rvb i="884"/>
        </ext>
      </extLst>
    </bk>
    <bk>
      <extLst>
        <ext uri="{3e2802c4-a4d2-4d8b-9148-e3be6c30e623}">
          <xlrd:rvb i="887"/>
        </ext>
      </extLst>
    </bk>
    <bk>
      <extLst>
        <ext uri="{3e2802c4-a4d2-4d8b-9148-e3be6c30e623}">
          <xlrd:rvb i="888"/>
        </ext>
      </extLst>
    </bk>
    <bk>
      <extLst>
        <ext uri="{3e2802c4-a4d2-4d8b-9148-e3be6c30e623}">
          <xlrd:rvb i="891"/>
        </ext>
      </extLst>
    </bk>
    <bk>
      <extLst>
        <ext uri="{3e2802c4-a4d2-4d8b-9148-e3be6c30e623}">
          <xlrd:rvb i="892"/>
        </ext>
      </extLst>
    </bk>
    <bk>
      <extLst>
        <ext uri="{3e2802c4-a4d2-4d8b-9148-e3be6c30e623}">
          <xlrd:rvb i="895"/>
        </ext>
      </extLst>
    </bk>
    <bk>
      <extLst>
        <ext uri="{3e2802c4-a4d2-4d8b-9148-e3be6c30e623}">
          <xlrd:rvb i="896"/>
        </ext>
      </extLst>
    </bk>
    <bk>
      <extLst>
        <ext uri="{3e2802c4-a4d2-4d8b-9148-e3be6c30e623}">
          <xlrd:rvb i="899"/>
        </ext>
      </extLst>
    </bk>
    <bk>
      <extLst>
        <ext uri="{3e2802c4-a4d2-4d8b-9148-e3be6c30e623}">
          <xlrd:rvb i="900"/>
        </ext>
      </extLst>
    </bk>
    <bk>
      <extLst>
        <ext uri="{3e2802c4-a4d2-4d8b-9148-e3be6c30e623}">
          <xlrd:rvb i="906"/>
        </ext>
      </extLst>
    </bk>
    <bk>
      <extLst>
        <ext uri="{3e2802c4-a4d2-4d8b-9148-e3be6c30e623}">
          <xlrd:rvb i="907"/>
        </ext>
      </extLst>
    </bk>
    <bk>
      <extLst>
        <ext uri="{3e2802c4-a4d2-4d8b-9148-e3be6c30e623}">
          <xlrd:rvb i="910"/>
        </ext>
      </extLst>
    </bk>
    <bk>
      <extLst>
        <ext uri="{3e2802c4-a4d2-4d8b-9148-e3be6c30e623}">
          <xlrd:rvb i="911"/>
        </ext>
      </extLst>
    </bk>
    <bk>
      <extLst>
        <ext uri="{3e2802c4-a4d2-4d8b-9148-e3be6c30e623}">
          <xlrd:rvb i="914"/>
        </ext>
      </extLst>
    </bk>
    <bk>
      <extLst>
        <ext uri="{3e2802c4-a4d2-4d8b-9148-e3be6c30e623}">
          <xlrd:rvb i="915"/>
        </ext>
      </extLst>
    </bk>
    <bk>
      <extLst>
        <ext uri="{3e2802c4-a4d2-4d8b-9148-e3be6c30e623}">
          <xlrd:rvb i="918"/>
        </ext>
      </extLst>
    </bk>
    <bk>
      <extLst>
        <ext uri="{3e2802c4-a4d2-4d8b-9148-e3be6c30e623}">
          <xlrd:rvb i="919"/>
        </ext>
      </extLst>
    </bk>
    <bk>
      <extLst>
        <ext uri="{3e2802c4-a4d2-4d8b-9148-e3be6c30e623}">
          <xlrd:rvb i="922"/>
        </ext>
      </extLst>
    </bk>
    <bk>
      <extLst>
        <ext uri="{3e2802c4-a4d2-4d8b-9148-e3be6c30e623}">
          <xlrd:rvb i="923"/>
        </ext>
      </extLst>
    </bk>
    <bk>
      <extLst>
        <ext uri="{3e2802c4-a4d2-4d8b-9148-e3be6c30e623}">
          <xlrd:rvb i="926"/>
        </ext>
      </extLst>
    </bk>
    <bk>
      <extLst>
        <ext uri="{3e2802c4-a4d2-4d8b-9148-e3be6c30e623}">
          <xlrd:rvb i="927"/>
        </ext>
      </extLst>
    </bk>
    <bk>
      <extLst>
        <ext uri="{3e2802c4-a4d2-4d8b-9148-e3be6c30e623}">
          <xlrd:rvb i="930"/>
        </ext>
      </extLst>
    </bk>
    <bk>
      <extLst>
        <ext uri="{3e2802c4-a4d2-4d8b-9148-e3be6c30e623}">
          <xlrd:rvb i="931"/>
        </ext>
      </extLst>
    </bk>
    <bk>
      <extLst>
        <ext uri="{3e2802c4-a4d2-4d8b-9148-e3be6c30e623}">
          <xlrd:rvb i="934"/>
        </ext>
      </extLst>
    </bk>
    <bk>
      <extLst>
        <ext uri="{3e2802c4-a4d2-4d8b-9148-e3be6c30e623}">
          <xlrd:rvb i="935"/>
        </ext>
      </extLst>
    </bk>
    <bk>
      <extLst>
        <ext uri="{3e2802c4-a4d2-4d8b-9148-e3be6c30e623}">
          <xlrd:rvb i="938"/>
        </ext>
      </extLst>
    </bk>
    <bk>
      <extLst>
        <ext uri="{3e2802c4-a4d2-4d8b-9148-e3be6c30e623}">
          <xlrd:rvb i="939"/>
        </ext>
      </extLst>
    </bk>
    <bk>
      <extLst>
        <ext uri="{3e2802c4-a4d2-4d8b-9148-e3be6c30e623}">
          <xlrd:rvb i="942"/>
        </ext>
      </extLst>
    </bk>
    <bk>
      <extLst>
        <ext uri="{3e2802c4-a4d2-4d8b-9148-e3be6c30e623}">
          <xlrd:rvb i="943"/>
        </ext>
      </extLst>
    </bk>
    <bk>
      <extLst>
        <ext uri="{3e2802c4-a4d2-4d8b-9148-e3be6c30e623}">
          <xlrd:rvb i="946"/>
        </ext>
      </extLst>
    </bk>
    <bk>
      <extLst>
        <ext uri="{3e2802c4-a4d2-4d8b-9148-e3be6c30e623}">
          <xlrd:rvb i="947"/>
        </ext>
      </extLst>
    </bk>
    <bk>
      <extLst>
        <ext uri="{3e2802c4-a4d2-4d8b-9148-e3be6c30e623}">
          <xlrd:rvb i="950"/>
        </ext>
      </extLst>
    </bk>
    <bk>
      <extLst>
        <ext uri="{3e2802c4-a4d2-4d8b-9148-e3be6c30e623}">
          <xlrd:rvb i="951"/>
        </ext>
      </extLst>
    </bk>
    <bk>
      <extLst>
        <ext uri="{3e2802c4-a4d2-4d8b-9148-e3be6c30e623}">
          <xlrd:rvb i="954"/>
        </ext>
      </extLst>
    </bk>
    <bk>
      <extLst>
        <ext uri="{3e2802c4-a4d2-4d8b-9148-e3be6c30e623}">
          <xlrd:rvb i="955"/>
        </ext>
      </extLst>
    </bk>
    <bk>
      <extLst>
        <ext uri="{3e2802c4-a4d2-4d8b-9148-e3be6c30e623}">
          <xlrd:rvb i="958"/>
        </ext>
      </extLst>
    </bk>
    <bk>
      <extLst>
        <ext uri="{3e2802c4-a4d2-4d8b-9148-e3be6c30e623}">
          <xlrd:rvb i="959"/>
        </ext>
      </extLst>
    </bk>
    <bk>
      <extLst>
        <ext uri="{3e2802c4-a4d2-4d8b-9148-e3be6c30e623}">
          <xlrd:rvb i="962"/>
        </ext>
      </extLst>
    </bk>
    <bk>
      <extLst>
        <ext uri="{3e2802c4-a4d2-4d8b-9148-e3be6c30e623}">
          <xlrd:rvb i="963"/>
        </ext>
      </extLst>
    </bk>
    <bk>
      <extLst>
        <ext uri="{3e2802c4-a4d2-4d8b-9148-e3be6c30e623}">
          <xlrd:rvb i="966"/>
        </ext>
      </extLst>
    </bk>
    <bk>
      <extLst>
        <ext uri="{3e2802c4-a4d2-4d8b-9148-e3be6c30e623}">
          <xlrd:rvb i="967"/>
        </ext>
      </extLst>
    </bk>
    <bk>
      <extLst>
        <ext uri="{3e2802c4-a4d2-4d8b-9148-e3be6c30e623}">
          <xlrd:rvb i="970"/>
        </ext>
      </extLst>
    </bk>
    <bk>
      <extLst>
        <ext uri="{3e2802c4-a4d2-4d8b-9148-e3be6c30e623}">
          <xlrd:rvb i="971"/>
        </ext>
      </extLst>
    </bk>
    <bk>
      <extLst>
        <ext uri="{3e2802c4-a4d2-4d8b-9148-e3be6c30e623}">
          <xlrd:rvb i="974"/>
        </ext>
      </extLst>
    </bk>
    <bk>
      <extLst>
        <ext uri="{3e2802c4-a4d2-4d8b-9148-e3be6c30e623}">
          <xlrd:rvb i="975"/>
        </ext>
      </extLst>
    </bk>
    <bk>
      <extLst>
        <ext uri="{3e2802c4-a4d2-4d8b-9148-e3be6c30e623}">
          <xlrd:rvb i="978"/>
        </ext>
      </extLst>
    </bk>
    <bk>
      <extLst>
        <ext uri="{3e2802c4-a4d2-4d8b-9148-e3be6c30e623}">
          <xlrd:rvb i="979"/>
        </ext>
      </extLst>
    </bk>
    <bk>
      <extLst>
        <ext uri="{3e2802c4-a4d2-4d8b-9148-e3be6c30e623}">
          <xlrd:rvb i="982"/>
        </ext>
      </extLst>
    </bk>
    <bk>
      <extLst>
        <ext uri="{3e2802c4-a4d2-4d8b-9148-e3be6c30e623}">
          <xlrd:rvb i="983"/>
        </ext>
      </extLst>
    </bk>
    <bk>
      <extLst>
        <ext uri="{3e2802c4-a4d2-4d8b-9148-e3be6c30e623}">
          <xlrd:rvb i="986"/>
        </ext>
      </extLst>
    </bk>
    <bk>
      <extLst>
        <ext uri="{3e2802c4-a4d2-4d8b-9148-e3be6c30e623}">
          <xlrd:rvb i="987"/>
        </ext>
      </extLst>
    </bk>
    <bk>
      <extLst>
        <ext uri="{3e2802c4-a4d2-4d8b-9148-e3be6c30e623}">
          <xlrd:rvb i="990"/>
        </ext>
      </extLst>
    </bk>
    <bk>
      <extLst>
        <ext uri="{3e2802c4-a4d2-4d8b-9148-e3be6c30e623}">
          <xlrd:rvb i="991"/>
        </ext>
      </extLst>
    </bk>
    <bk>
      <extLst>
        <ext uri="{3e2802c4-a4d2-4d8b-9148-e3be6c30e623}">
          <xlrd:rvb i="994"/>
        </ext>
      </extLst>
    </bk>
    <bk>
      <extLst>
        <ext uri="{3e2802c4-a4d2-4d8b-9148-e3be6c30e623}">
          <xlrd:rvb i="995"/>
        </ext>
      </extLst>
    </bk>
    <bk>
      <extLst>
        <ext uri="{3e2802c4-a4d2-4d8b-9148-e3be6c30e623}">
          <xlrd:rvb i="998"/>
        </ext>
      </extLst>
    </bk>
    <bk>
      <extLst>
        <ext uri="{3e2802c4-a4d2-4d8b-9148-e3be6c30e623}">
          <xlrd:rvb i="999"/>
        </ext>
      </extLst>
    </bk>
    <bk>
      <extLst>
        <ext uri="{3e2802c4-a4d2-4d8b-9148-e3be6c30e623}">
          <xlrd:rvb i="1002"/>
        </ext>
      </extLst>
    </bk>
    <bk>
      <extLst>
        <ext uri="{3e2802c4-a4d2-4d8b-9148-e3be6c30e623}">
          <xlrd:rvb i="1003"/>
        </ext>
      </extLst>
    </bk>
    <bk>
      <extLst>
        <ext uri="{3e2802c4-a4d2-4d8b-9148-e3be6c30e623}">
          <xlrd:rvb i="1006"/>
        </ext>
      </extLst>
    </bk>
    <bk>
      <extLst>
        <ext uri="{3e2802c4-a4d2-4d8b-9148-e3be6c30e623}">
          <xlrd:rvb i="1007"/>
        </ext>
      </extLst>
    </bk>
    <bk>
      <extLst>
        <ext uri="{3e2802c4-a4d2-4d8b-9148-e3be6c30e623}">
          <xlrd:rvb i="1010"/>
        </ext>
      </extLst>
    </bk>
    <bk>
      <extLst>
        <ext uri="{3e2802c4-a4d2-4d8b-9148-e3be6c30e623}">
          <xlrd:rvb i="1011"/>
        </ext>
      </extLst>
    </bk>
    <bk>
      <extLst>
        <ext uri="{3e2802c4-a4d2-4d8b-9148-e3be6c30e623}">
          <xlrd:rvb i="1014"/>
        </ext>
      </extLst>
    </bk>
    <bk>
      <extLst>
        <ext uri="{3e2802c4-a4d2-4d8b-9148-e3be6c30e623}">
          <xlrd:rvb i="1015"/>
        </ext>
      </extLst>
    </bk>
    <bk>
      <extLst>
        <ext uri="{3e2802c4-a4d2-4d8b-9148-e3be6c30e623}">
          <xlrd:rvb i="1018"/>
        </ext>
      </extLst>
    </bk>
    <bk>
      <extLst>
        <ext uri="{3e2802c4-a4d2-4d8b-9148-e3be6c30e623}">
          <xlrd:rvb i="1019"/>
        </ext>
      </extLst>
    </bk>
    <bk>
      <extLst>
        <ext uri="{3e2802c4-a4d2-4d8b-9148-e3be6c30e623}">
          <xlrd:rvb i="1022"/>
        </ext>
      </extLst>
    </bk>
    <bk>
      <extLst>
        <ext uri="{3e2802c4-a4d2-4d8b-9148-e3be6c30e623}">
          <xlrd:rvb i="1023"/>
        </ext>
      </extLst>
    </bk>
    <bk>
      <extLst>
        <ext uri="{3e2802c4-a4d2-4d8b-9148-e3be6c30e623}">
          <xlrd:rvb i="1026"/>
        </ext>
      </extLst>
    </bk>
    <bk>
      <extLst>
        <ext uri="{3e2802c4-a4d2-4d8b-9148-e3be6c30e623}">
          <xlrd:rvb i="1027"/>
        </ext>
      </extLst>
    </bk>
    <bk>
      <extLst>
        <ext uri="{3e2802c4-a4d2-4d8b-9148-e3be6c30e623}">
          <xlrd:rvb i="1030"/>
        </ext>
      </extLst>
    </bk>
    <bk>
      <extLst>
        <ext uri="{3e2802c4-a4d2-4d8b-9148-e3be6c30e623}">
          <xlrd:rvb i="1031"/>
        </ext>
      </extLst>
    </bk>
    <bk>
      <extLst>
        <ext uri="{3e2802c4-a4d2-4d8b-9148-e3be6c30e623}">
          <xlrd:rvb i="1034"/>
        </ext>
      </extLst>
    </bk>
    <bk>
      <extLst>
        <ext uri="{3e2802c4-a4d2-4d8b-9148-e3be6c30e623}">
          <xlrd:rvb i="1035"/>
        </ext>
      </extLst>
    </bk>
    <bk>
      <extLst>
        <ext uri="{3e2802c4-a4d2-4d8b-9148-e3be6c30e623}">
          <xlrd:rvb i="1038"/>
        </ext>
      </extLst>
    </bk>
    <bk>
      <extLst>
        <ext uri="{3e2802c4-a4d2-4d8b-9148-e3be6c30e623}">
          <xlrd:rvb i="1039"/>
        </ext>
      </extLst>
    </bk>
    <bk>
      <extLst>
        <ext uri="{3e2802c4-a4d2-4d8b-9148-e3be6c30e623}">
          <xlrd:rvb i="1042"/>
        </ext>
      </extLst>
    </bk>
    <bk>
      <extLst>
        <ext uri="{3e2802c4-a4d2-4d8b-9148-e3be6c30e623}">
          <xlrd:rvb i="1043"/>
        </ext>
      </extLst>
    </bk>
    <bk>
      <extLst>
        <ext uri="{3e2802c4-a4d2-4d8b-9148-e3be6c30e623}">
          <xlrd:rvb i="1046"/>
        </ext>
      </extLst>
    </bk>
    <bk>
      <extLst>
        <ext uri="{3e2802c4-a4d2-4d8b-9148-e3be6c30e623}">
          <xlrd:rvb i="1047"/>
        </ext>
      </extLst>
    </bk>
    <bk>
      <extLst>
        <ext uri="{3e2802c4-a4d2-4d8b-9148-e3be6c30e623}">
          <xlrd:rvb i="1050"/>
        </ext>
      </extLst>
    </bk>
    <bk>
      <extLst>
        <ext uri="{3e2802c4-a4d2-4d8b-9148-e3be6c30e623}">
          <xlrd:rvb i="1051"/>
        </ext>
      </extLst>
    </bk>
    <bk>
      <extLst>
        <ext uri="{3e2802c4-a4d2-4d8b-9148-e3be6c30e623}">
          <xlrd:rvb i="1054"/>
        </ext>
      </extLst>
    </bk>
    <bk>
      <extLst>
        <ext uri="{3e2802c4-a4d2-4d8b-9148-e3be6c30e623}">
          <xlrd:rvb i="1055"/>
        </ext>
      </extLst>
    </bk>
    <bk>
      <extLst>
        <ext uri="{3e2802c4-a4d2-4d8b-9148-e3be6c30e623}">
          <xlrd:rvb i="1058"/>
        </ext>
      </extLst>
    </bk>
    <bk>
      <extLst>
        <ext uri="{3e2802c4-a4d2-4d8b-9148-e3be6c30e623}">
          <xlrd:rvb i="1059"/>
        </ext>
      </extLst>
    </bk>
    <bk>
      <extLst>
        <ext uri="{3e2802c4-a4d2-4d8b-9148-e3be6c30e623}">
          <xlrd:rvb i="1062"/>
        </ext>
      </extLst>
    </bk>
    <bk>
      <extLst>
        <ext uri="{3e2802c4-a4d2-4d8b-9148-e3be6c30e623}">
          <xlrd:rvb i="1063"/>
        </ext>
      </extLst>
    </bk>
    <bk>
      <extLst>
        <ext uri="{3e2802c4-a4d2-4d8b-9148-e3be6c30e623}">
          <xlrd:rvb i="1066"/>
        </ext>
      </extLst>
    </bk>
    <bk>
      <extLst>
        <ext uri="{3e2802c4-a4d2-4d8b-9148-e3be6c30e623}">
          <xlrd:rvb i="1067"/>
        </ext>
      </extLst>
    </bk>
    <bk>
      <extLst>
        <ext uri="{3e2802c4-a4d2-4d8b-9148-e3be6c30e623}">
          <xlrd:rvb i="1070"/>
        </ext>
      </extLst>
    </bk>
    <bk>
      <extLst>
        <ext uri="{3e2802c4-a4d2-4d8b-9148-e3be6c30e623}">
          <xlrd:rvb i="1071"/>
        </ext>
      </extLst>
    </bk>
    <bk>
      <extLst>
        <ext uri="{3e2802c4-a4d2-4d8b-9148-e3be6c30e623}">
          <xlrd:rvb i="1074"/>
        </ext>
      </extLst>
    </bk>
    <bk>
      <extLst>
        <ext uri="{3e2802c4-a4d2-4d8b-9148-e3be6c30e623}">
          <xlrd:rvb i="1075"/>
        </ext>
      </extLst>
    </bk>
    <bk>
      <extLst>
        <ext uri="{3e2802c4-a4d2-4d8b-9148-e3be6c30e623}">
          <xlrd:rvb i="1078"/>
        </ext>
      </extLst>
    </bk>
    <bk>
      <extLst>
        <ext uri="{3e2802c4-a4d2-4d8b-9148-e3be6c30e623}">
          <xlrd:rvb i="1079"/>
        </ext>
      </extLst>
    </bk>
    <bk>
      <extLst>
        <ext uri="{3e2802c4-a4d2-4d8b-9148-e3be6c30e623}">
          <xlrd:rvb i="1082"/>
        </ext>
      </extLst>
    </bk>
    <bk>
      <extLst>
        <ext uri="{3e2802c4-a4d2-4d8b-9148-e3be6c30e623}">
          <xlrd:rvb i="1083"/>
        </ext>
      </extLst>
    </bk>
    <bk>
      <extLst>
        <ext uri="{3e2802c4-a4d2-4d8b-9148-e3be6c30e623}">
          <xlrd:rvb i="1086"/>
        </ext>
      </extLst>
    </bk>
    <bk>
      <extLst>
        <ext uri="{3e2802c4-a4d2-4d8b-9148-e3be6c30e623}">
          <xlrd:rvb i="1087"/>
        </ext>
      </extLst>
    </bk>
    <bk>
      <extLst>
        <ext uri="{3e2802c4-a4d2-4d8b-9148-e3be6c30e623}">
          <xlrd:rvb i="1090"/>
        </ext>
      </extLst>
    </bk>
    <bk>
      <extLst>
        <ext uri="{3e2802c4-a4d2-4d8b-9148-e3be6c30e623}">
          <xlrd:rvb i="1091"/>
        </ext>
      </extLst>
    </bk>
    <bk>
      <extLst>
        <ext uri="{3e2802c4-a4d2-4d8b-9148-e3be6c30e623}">
          <xlrd:rvb i="1094"/>
        </ext>
      </extLst>
    </bk>
    <bk>
      <extLst>
        <ext uri="{3e2802c4-a4d2-4d8b-9148-e3be6c30e623}">
          <xlrd:rvb i="1095"/>
        </ext>
      </extLst>
    </bk>
    <bk>
      <extLst>
        <ext uri="{3e2802c4-a4d2-4d8b-9148-e3be6c30e623}">
          <xlrd:rvb i="1098"/>
        </ext>
      </extLst>
    </bk>
    <bk>
      <extLst>
        <ext uri="{3e2802c4-a4d2-4d8b-9148-e3be6c30e623}">
          <xlrd:rvb i="1099"/>
        </ext>
      </extLst>
    </bk>
    <bk>
      <extLst>
        <ext uri="{3e2802c4-a4d2-4d8b-9148-e3be6c30e623}">
          <xlrd:rvb i="1102"/>
        </ext>
      </extLst>
    </bk>
    <bk>
      <extLst>
        <ext uri="{3e2802c4-a4d2-4d8b-9148-e3be6c30e623}">
          <xlrd:rvb i="1103"/>
        </ext>
      </extLst>
    </bk>
    <bk>
      <extLst>
        <ext uri="{3e2802c4-a4d2-4d8b-9148-e3be6c30e623}">
          <xlrd:rvb i="1106"/>
        </ext>
      </extLst>
    </bk>
    <bk>
      <extLst>
        <ext uri="{3e2802c4-a4d2-4d8b-9148-e3be6c30e623}">
          <xlrd:rvb i="1107"/>
        </ext>
      </extLst>
    </bk>
    <bk>
      <extLst>
        <ext uri="{3e2802c4-a4d2-4d8b-9148-e3be6c30e623}">
          <xlrd:rvb i="1110"/>
        </ext>
      </extLst>
    </bk>
    <bk>
      <extLst>
        <ext uri="{3e2802c4-a4d2-4d8b-9148-e3be6c30e623}">
          <xlrd:rvb i="1111"/>
        </ext>
      </extLst>
    </bk>
    <bk>
      <extLst>
        <ext uri="{3e2802c4-a4d2-4d8b-9148-e3be6c30e623}">
          <xlrd:rvb i="1114"/>
        </ext>
      </extLst>
    </bk>
    <bk>
      <extLst>
        <ext uri="{3e2802c4-a4d2-4d8b-9148-e3be6c30e623}">
          <xlrd:rvb i="1115"/>
        </ext>
      </extLst>
    </bk>
    <bk>
      <extLst>
        <ext uri="{3e2802c4-a4d2-4d8b-9148-e3be6c30e623}">
          <xlrd:rvb i="1118"/>
        </ext>
      </extLst>
    </bk>
    <bk>
      <extLst>
        <ext uri="{3e2802c4-a4d2-4d8b-9148-e3be6c30e623}">
          <xlrd:rvb i="1119"/>
        </ext>
      </extLst>
    </bk>
    <bk>
      <extLst>
        <ext uri="{3e2802c4-a4d2-4d8b-9148-e3be6c30e623}">
          <xlrd:rvb i="1126"/>
        </ext>
      </extLst>
    </bk>
    <bk>
      <extLst>
        <ext uri="{3e2802c4-a4d2-4d8b-9148-e3be6c30e623}">
          <xlrd:rvb i="1127"/>
        </ext>
      </extLst>
    </bk>
    <bk>
      <extLst>
        <ext uri="{3e2802c4-a4d2-4d8b-9148-e3be6c30e623}">
          <xlrd:rvb i="1130"/>
        </ext>
      </extLst>
    </bk>
    <bk>
      <extLst>
        <ext uri="{3e2802c4-a4d2-4d8b-9148-e3be6c30e623}">
          <xlrd:rvb i="1131"/>
        </ext>
      </extLst>
    </bk>
    <bk>
      <extLst>
        <ext uri="{3e2802c4-a4d2-4d8b-9148-e3be6c30e623}">
          <xlrd:rvb i="1134"/>
        </ext>
      </extLst>
    </bk>
    <bk>
      <extLst>
        <ext uri="{3e2802c4-a4d2-4d8b-9148-e3be6c30e623}">
          <xlrd:rvb i="1135"/>
        </ext>
      </extLst>
    </bk>
    <bk>
      <extLst>
        <ext uri="{3e2802c4-a4d2-4d8b-9148-e3be6c30e623}">
          <xlrd:rvb i="1138"/>
        </ext>
      </extLst>
    </bk>
    <bk>
      <extLst>
        <ext uri="{3e2802c4-a4d2-4d8b-9148-e3be6c30e623}">
          <xlrd:rvb i="1139"/>
        </ext>
      </extLst>
    </bk>
    <bk>
      <extLst>
        <ext uri="{3e2802c4-a4d2-4d8b-9148-e3be6c30e623}">
          <xlrd:rvb i="1142"/>
        </ext>
      </extLst>
    </bk>
    <bk>
      <extLst>
        <ext uri="{3e2802c4-a4d2-4d8b-9148-e3be6c30e623}">
          <xlrd:rvb i="1143"/>
        </ext>
      </extLst>
    </bk>
    <bk>
      <extLst>
        <ext uri="{3e2802c4-a4d2-4d8b-9148-e3be6c30e623}">
          <xlrd:rvb i="1146"/>
        </ext>
      </extLst>
    </bk>
    <bk>
      <extLst>
        <ext uri="{3e2802c4-a4d2-4d8b-9148-e3be6c30e623}">
          <xlrd:rvb i="1147"/>
        </ext>
      </extLst>
    </bk>
    <bk>
      <extLst>
        <ext uri="{3e2802c4-a4d2-4d8b-9148-e3be6c30e623}">
          <xlrd:rvb i="1150"/>
        </ext>
      </extLst>
    </bk>
    <bk>
      <extLst>
        <ext uri="{3e2802c4-a4d2-4d8b-9148-e3be6c30e623}">
          <xlrd:rvb i="1151"/>
        </ext>
      </extLst>
    </bk>
    <bk>
      <extLst>
        <ext uri="{3e2802c4-a4d2-4d8b-9148-e3be6c30e623}">
          <xlrd:rvb i="1154"/>
        </ext>
      </extLst>
    </bk>
    <bk>
      <extLst>
        <ext uri="{3e2802c4-a4d2-4d8b-9148-e3be6c30e623}">
          <xlrd:rvb i="1155"/>
        </ext>
      </extLst>
    </bk>
    <bk>
      <extLst>
        <ext uri="{3e2802c4-a4d2-4d8b-9148-e3be6c30e623}">
          <xlrd:rvb i="1158"/>
        </ext>
      </extLst>
    </bk>
    <bk>
      <extLst>
        <ext uri="{3e2802c4-a4d2-4d8b-9148-e3be6c30e623}">
          <xlrd:rvb i="1159"/>
        </ext>
      </extLst>
    </bk>
    <bk>
      <extLst>
        <ext uri="{3e2802c4-a4d2-4d8b-9148-e3be6c30e623}">
          <xlrd:rvb i="1162"/>
        </ext>
      </extLst>
    </bk>
    <bk>
      <extLst>
        <ext uri="{3e2802c4-a4d2-4d8b-9148-e3be6c30e623}">
          <xlrd:rvb i="1163"/>
        </ext>
      </extLst>
    </bk>
    <bk>
      <extLst>
        <ext uri="{3e2802c4-a4d2-4d8b-9148-e3be6c30e623}">
          <xlrd:rvb i="1166"/>
        </ext>
      </extLst>
    </bk>
    <bk>
      <extLst>
        <ext uri="{3e2802c4-a4d2-4d8b-9148-e3be6c30e623}">
          <xlrd:rvb i="1167"/>
        </ext>
      </extLst>
    </bk>
    <bk>
      <extLst>
        <ext uri="{3e2802c4-a4d2-4d8b-9148-e3be6c30e623}">
          <xlrd:rvb i="1170"/>
        </ext>
      </extLst>
    </bk>
    <bk>
      <extLst>
        <ext uri="{3e2802c4-a4d2-4d8b-9148-e3be6c30e623}">
          <xlrd:rvb i="1171"/>
        </ext>
      </extLst>
    </bk>
    <bk>
      <extLst>
        <ext uri="{3e2802c4-a4d2-4d8b-9148-e3be6c30e623}">
          <xlrd:rvb i="1174"/>
        </ext>
      </extLst>
    </bk>
    <bk>
      <extLst>
        <ext uri="{3e2802c4-a4d2-4d8b-9148-e3be6c30e623}">
          <xlrd:rvb i="1175"/>
        </ext>
      </extLst>
    </bk>
    <bk>
      <extLst>
        <ext uri="{3e2802c4-a4d2-4d8b-9148-e3be6c30e623}">
          <xlrd:rvb i="1178"/>
        </ext>
      </extLst>
    </bk>
    <bk>
      <extLst>
        <ext uri="{3e2802c4-a4d2-4d8b-9148-e3be6c30e623}">
          <xlrd:rvb i="1179"/>
        </ext>
      </extLst>
    </bk>
    <bk>
      <extLst>
        <ext uri="{3e2802c4-a4d2-4d8b-9148-e3be6c30e623}">
          <xlrd:rvb i="1182"/>
        </ext>
      </extLst>
    </bk>
    <bk>
      <extLst>
        <ext uri="{3e2802c4-a4d2-4d8b-9148-e3be6c30e623}">
          <xlrd:rvb i="1183"/>
        </ext>
      </extLst>
    </bk>
    <bk>
      <extLst>
        <ext uri="{3e2802c4-a4d2-4d8b-9148-e3be6c30e623}">
          <xlrd:rvb i="1186"/>
        </ext>
      </extLst>
    </bk>
    <bk>
      <extLst>
        <ext uri="{3e2802c4-a4d2-4d8b-9148-e3be6c30e623}">
          <xlrd:rvb i="1187"/>
        </ext>
      </extLst>
    </bk>
    <bk>
      <extLst>
        <ext uri="{3e2802c4-a4d2-4d8b-9148-e3be6c30e623}">
          <xlrd:rvb i="1190"/>
        </ext>
      </extLst>
    </bk>
    <bk>
      <extLst>
        <ext uri="{3e2802c4-a4d2-4d8b-9148-e3be6c30e623}">
          <xlrd:rvb i="1191"/>
        </ext>
      </extLst>
    </bk>
    <bk>
      <extLst>
        <ext uri="{3e2802c4-a4d2-4d8b-9148-e3be6c30e623}">
          <xlrd:rvb i="1194"/>
        </ext>
      </extLst>
    </bk>
    <bk>
      <extLst>
        <ext uri="{3e2802c4-a4d2-4d8b-9148-e3be6c30e623}">
          <xlrd:rvb i="1195"/>
        </ext>
      </extLst>
    </bk>
    <bk>
      <extLst>
        <ext uri="{3e2802c4-a4d2-4d8b-9148-e3be6c30e623}">
          <xlrd:rvb i="1198"/>
        </ext>
      </extLst>
    </bk>
    <bk>
      <extLst>
        <ext uri="{3e2802c4-a4d2-4d8b-9148-e3be6c30e623}">
          <xlrd:rvb i="1199"/>
        </ext>
      </extLst>
    </bk>
    <bk>
      <extLst>
        <ext uri="{3e2802c4-a4d2-4d8b-9148-e3be6c30e623}">
          <xlrd:rvb i="1202"/>
        </ext>
      </extLst>
    </bk>
    <bk>
      <extLst>
        <ext uri="{3e2802c4-a4d2-4d8b-9148-e3be6c30e623}">
          <xlrd:rvb i="1203"/>
        </ext>
      </extLst>
    </bk>
    <bk>
      <extLst>
        <ext uri="{3e2802c4-a4d2-4d8b-9148-e3be6c30e623}">
          <xlrd:rvb i="1206"/>
        </ext>
      </extLst>
    </bk>
    <bk>
      <extLst>
        <ext uri="{3e2802c4-a4d2-4d8b-9148-e3be6c30e623}">
          <xlrd:rvb i="1207"/>
        </ext>
      </extLst>
    </bk>
    <bk>
      <extLst>
        <ext uri="{3e2802c4-a4d2-4d8b-9148-e3be6c30e623}">
          <xlrd:rvb i="1210"/>
        </ext>
      </extLst>
    </bk>
    <bk>
      <extLst>
        <ext uri="{3e2802c4-a4d2-4d8b-9148-e3be6c30e623}">
          <xlrd:rvb i="1211"/>
        </ext>
      </extLst>
    </bk>
    <bk>
      <extLst>
        <ext uri="{3e2802c4-a4d2-4d8b-9148-e3be6c30e623}">
          <xlrd:rvb i="1214"/>
        </ext>
      </extLst>
    </bk>
    <bk>
      <extLst>
        <ext uri="{3e2802c4-a4d2-4d8b-9148-e3be6c30e623}">
          <xlrd:rvb i="1215"/>
        </ext>
      </extLst>
    </bk>
    <bk>
      <extLst>
        <ext uri="{3e2802c4-a4d2-4d8b-9148-e3be6c30e623}">
          <xlrd:rvb i="1218"/>
        </ext>
      </extLst>
    </bk>
    <bk>
      <extLst>
        <ext uri="{3e2802c4-a4d2-4d8b-9148-e3be6c30e623}">
          <xlrd:rvb i="1219"/>
        </ext>
      </extLst>
    </bk>
    <bk>
      <extLst>
        <ext uri="{3e2802c4-a4d2-4d8b-9148-e3be6c30e623}">
          <xlrd:rvb i="1222"/>
        </ext>
      </extLst>
    </bk>
    <bk>
      <extLst>
        <ext uri="{3e2802c4-a4d2-4d8b-9148-e3be6c30e623}">
          <xlrd:rvb i="1223"/>
        </ext>
      </extLst>
    </bk>
    <bk>
      <extLst>
        <ext uri="{3e2802c4-a4d2-4d8b-9148-e3be6c30e623}">
          <xlrd:rvb i="1226"/>
        </ext>
      </extLst>
    </bk>
    <bk>
      <extLst>
        <ext uri="{3e2802c4-a4d2-4d8b-9148-e3be6c30e623}">
          <xlrd:rvb i="1227"/>
        </ext>
      </extLst>
    </bk>
    <bk>
      <extLst>
        <ext uri="{3e2802c4-a4d2-4d8b-9148-e3be6c30e623}">
          <xlrd:rvb i="1234"/>
        </ext>
      </extLst>
    </bk>
    <bk>
      <extLst>
        <ext uri="{3e2802c4-a4d2-4d8b-9148-e3be6c30e623}">
          <xlrd:rvb i="1235"/>
        </ext>
      </extLst>
    </bk>
    <bk>
      <extLst>
        <ext uri="{3e2802c4-a4d2-4d8b-9148-e3be6c30e623}">
          <xlrd:rvb i="1238"/>
        </ext>
      </extLst>
    </bk>
    <bk>
      <extLst>
        <ext uri="{3e2802c4-a4d2-4d8b-9148-e3be6c30e623}">
          <xlrd:rvb i="1239"/>
        </ext>
      </extLst>
    </bk>
    <bk>
      <extLst>
        <ext uri="{3e2802c4-a4d2-4d8b-9148-e3be6c30e623}">
          <xlrd:rvb i="1242"/>
        </ext>
      </extLst>
    </bk>
    <bk>
      <extLst>
        <ext uri="{3e2802c4-a4d2-4d8b-9148-e3be6c30e623}">
          <xlrd:rvb i="1243"/>
        </ext>
      </extLst>
    </bk>
    <bk>
      <extLst>
        <ext uri="{3e2802c4-a4d2-4d8b-9148-e3be6c30e623}">
          <xlrd:rvb i="1249"/>
        </ext>
      </extLst>
    </bk>
    <bk>
      <extLst>
        <ext uri="{3e2802c4-a4d2-4d8b-9148-e3be6c30e623}">
          <xlrd:rvb i="1250"/>
        </ext>
      </extLst>
    </bk>
    <bk>
      <extLst>
        <ext uri="{3e2802c4-a4d2-4d8b-9148-e3be6c30e623}">
          <xlrd:rvb i="1253"/>
        </ext>
      </extLst>
    </bk>
    <bk>
      <extLst>
        <ext uri="{3e2802c4-a4d2-4d8b-9148-e3be6c30e623}">
          <xlrd:rvb i="1254"/>
        </ext>
      </extLst>
    </bk>
    <bk>
      <extLst>
        <ext uri="{3e2802c4-a4d2-4d8b-9148-e3be6c30e623}">
          <xlrd:rvb i="1257"/>
        </ext>
      </extLst>
    </bk>
    <bk>
      <extLst>
        <ext uri="{3e2802c4-a4d2-4d8b-9148-e3be6c30e623}">
          <xlrd:rvb i="1258"/>
        </ext>
      </extLst>
    </bk>
    <bk>
      <extLst>
        <ext uri="{3e2802c4-a4d2-4d8b-9148-e3be6c30e623}">
          <xlrd:rvb i="1261"/>
        </ext>
      </extLst>
    </bk>
    <bk>
      <extLst>
        <ext uri="{3e2802c4-a4d2-4d8b-9148-e3be6c30e623}">
          <xlrd:rvb i="1262"/>
        </ext>
      </extLst>
    </bk>
    <bk>
      <extLst>
        <ext uri="{3e2802c4-a4d2-4d8b-9148-e3be6c30e623}">
          <xlrd:rvb i="1265"/>
        </ext>
      </extLst>
    </bk>
    <bk>
      <extLst>
        <ext uri="{3e2802c4-a4d2-4d8b-9148-e3be6c30e623}">
          <xlrd:rvb i="1266"/>
        </ext>
      </extLst>
    </bk>
    <bk>
      <extLst>
        <ext uri="{3e2802c4-a4d2-4d8b-9148-e3be6c30e623}">
          <xlrd:rvb i="1269"/>
        </ext>
      </extLst>
    </bk>
    <bk>
      <extLst>
        <ext uri="{3e2802c4-a4d2-4d8b-9148-e3be6c30e623}">
          <xlrd:rvb i="1270"/>
        </ext>
      </extLst>
    </bk>
    <bk>
      <extLst>
        <ext uri="{3e2802c4-a4d2-4d8b-9148-e3be6c30e623}">
          <xlrd:rvb i="1273"/>
        </ext>
      </extLst>
    </bk>
    <bk>
      <extLst>
        <ext uri="{3e2802c4-a4d2-4d8b-9148-e3be6c30e623}">
          <xlrd:rvb i="1274"/>
        </ext>
      </extLst>
    </bk>
    <bk>
      <extLst>
        <ext uri="{3e2802c4-a4d2-4d8b-9148-e3be6c30e623}">
          <xlrd:rvb i="1277"/>
        </ext>
      </extLst>
    </bk>
    <bk>
      <extLst>
        <ext uri="{3e2802c4-a4d2-4d8b-9148-e3be6c30e623}">
          <xlrd:rvb i="1278"/>
        </ext>
      </extLst>
    </bk>
    <bk>
      <extLst>
        <ext uri="{3e2802c4-a4d2-4d8b-9148-e3be6c30e623}">
          <xlrd:rvb i="1281"/>
        </ext>
      </extLst>
    </bk>
    <bk>
      <extLst>
        <ext uri="{3e2802c4-a4d2-4d8b-9148-e3be6c30e623}">
          <xlrd:rvb i="1282"/>
        </ext>
      </extLst>
    </bk>
    <bk>
      <extLst>
        <ext uri="{3e2802c4-a4d2-4d8b-9148-e3be6c30e623}">
          <xlrd:rvb i="1285"/>
        </ext>
      </extLst>
    </bk>
    <bk>
      <extLst>
        <ext uri="{3e2802c4-a4d2-4d8b-9148-e3be6c30e623}">
          <xlrd:rvb i="1286"/>
        </ext>
      </extLst>
    </bk>
    <bk>
      <extLst>
        <ext uri="{3e2802c4-a4d2-4d8b-9148-e3be6c30e623}">
          <xlrd:rvb i="1292"/>
        </ext>
      </extLst>
    </bk>
    <bk>
      <extLst>
        <ext uri="{3e2802c4-a4d2-4d8b-9148-e3be6c30e623}">
          <xlrd:rvb i="1293"/>
        </ext>
      </extLst>
    </bk>
    <bk>
      <extLst>
        <ext uri="{3e2802c4-a4d2-4d8b-9148-e3be6c30e623}">
          <xlrd:rvb i="1296"/>
        </ext>
      </extLst>
    </bk>
    <bk>
      <extLst>
        <ext uri="{3e2802c4-a4d2-4d8b-9148-e3be6c30e623}">
          <xlrd:rvb i="1297"/>
        </ext>
      </extLst>
    </bk>
    <bk>
      <extLst>
        <ext uri="{3e2802c4-a4d2-4d8b-9148-e3be6c30e623}">
          <xlrd:rvb i="1300"/>
        </ext>
      </extLst>
    </bk>
    <bk>
      <extLst>
        <ext uri="{3e2802c4-a4d2-4d8b-9148-e3be6c30e623}">
          <xlrd:rvb i="1301"/>
        </ext>
      </extLst>
    </bk>
    <bk>
      <extLst>
        <ext uri="{3e2802c4-a4d2-4d8b-9148-e3be6c30e623}">
          <xlrd:rvb i="1304"/>
        </ext>
      </extLst>
    </bk>
    <bk>
      <extLst>
        <ext uri="{3e2802c4-a4d2-4d8b-9148-e3be6c30e623}">
          <xlrd:rvb i="1305"/>
        </ext>
      </extLst>
    </bk>
    <bk>
      <extLst>
        <ext uri="{3e2802c4-a4d2-4d8b-9148-e3be6c30e623}">
          <xlrd:rvb i="1308"/>
        </ext>
      </extLst>
    </bk>
    <bk>
      <extLst>
        <ext uri="{3e2802c4-a4d2-4d8b-9148-e3be6c30e623}">
          <xlrd:rvb i="1309"/>
        </ext>
      </extLst>
    </bk>
    <bk>
      <extLst>
        <ext uri="{3e2802c4-a4d2-4d8b-9148-e3be6c30e623}">
          <xlrd:rvb i="1312"/>
        </ext>
      </extLst>
    </bk>
    <bk>
      <extLst>
        <ext uri="{3e2802c4-a4d2-4d8b-9148-e3be6c30e623}">
          <xlrd:rvb i="1313"/>
        </ext>
      </extLst>
    </bk>
    <bk>
      <extLst>
        <ext uri="{3e2802c4-a4d2-4d8b-9148-e3be6c30e623}">
          <xlrd:rvb i="1316"/>
        </ext>
      </extLst>
    </bk>
    <bk>
      <extLst>
        <ext uri="{3e2802c4-a4d2-4d8b-9148-e3be6c30e623}">
          <xlrd:rvb i="1317"/>
        </ext>
      </extLst>
    </bk>
    <bk>
      <extLst>
        <ext uri="{3e2802c4-a4d2-4d8b-9148-e3be6c30e623}">
          <xlrd:rvb i="1320"/>
        </ext>
      </extLst>
    </bk>
    <bk>
      <extLst>
        <ext uri="{3e2802c4-a4d2-4d8b-9148-e3be6c30e623}">
          <xlrd:rvb i="1321"/>
        </ext>
      </extLst>
    </bk>
    <bk>
      <extLst>
        <ext uri="{3e2802c4-a4d2-4d8b-9148-e3be6c30e623}">
          <xlrd:rvb i="1324"/>
        </ext>
      </extLst>
    </bk>
    <bk>
      <extLst>
        <ext uri="{3e2802c4-a4d2-4d8b-9148-e3be6c30e623}">
          <xlrd:rvb i="1325"/>
        </ext>
      </extLst>
    </bk>
    <bk>
      <extLst>
        <ext uri="{3e2802c4-a4d2-4d8b-9148-e3be6c30e623}">
          <xlrd:rvb i="1328"/>
        </ext>
      </extLst>
    </bk>
    <bk>
      <extLst>
        <ext uri="{3e2802c4-a4d2-4d8b-9148-e3be6c30e623}">
          <xlrd:rvb i="1329"/>
        </ext>
      </extLst>
    </bk>
    <bk>
      <extLst>
        <ext uri="{3e2802c4-a4d2-4d8b-9148-e3be6c30e623}">
          <xlrd:rvb i="1332"/>
        </ext>
      </extLst>
    </bk>
    <bk>
      <extLst>
        <ext uri="{3e2802c4-a4d2-4d8b-9148-e3be6c30e623}">
          <xlrd:rvb i="1333"/>
        </ext>
      </extLst>
    </bk>
    <bk>
      <extLst>
        <ext uri="{3e2802c4-a4d2-4d8b-9148-e3be6c30e623}">
          <xlrd:rvb i="1336"/>
        </ext>
      </extLst>
    </bk>
    <bk>
      <extLst>
        <ext uri="{3e2802c4-a4d2-4d8b-9148-e3be6c30e623}">
          <xlrd:rvb i="1337"/>
        </ext>
      </extLst>
    </bk>
    <bk>
      <extLst>
        <ext uri="{3e2802c4-a4d2-4d8b-9148-e3be6c30e623}">
          <xlrd:rvb i="1340"/>
        </ext>
      </extLst>
    </bk>
    <bk>
      <extLst>
        <ext uri="{3e2802c4-a4d2-4d8b-9148-e3be6c30e623}">
          <xlrd:rvb i="1341"/>
        </ext>
      </extLst>
    </bk>
    <bk>
      <extLst>
        <ext uri="{3e2802c4-a4d2-4d8b-9148-e3be6c30e623}">
          <xlrd:rvb i="1344"/>
        </ext>
      </extLst>
    </bk>
    <bk>
      <extLst>
        <ext uri="{3e2802c4-a4d2-4d8b-9148-e3be6c30e623}">
          <xlrd:rvb i="1345"/>
        </ext>
      </extLst>
    </bk>
    <bk>
      <extLst>
        <ext uri="{3e2802c4-a4d2-4d8b-9148-e3be6c30e623}">
          <xlrd:rvb i="1348"/>
        </ext>
      </extLst>
    </bk>
    <bk>
      <extLst>
        <ext uri="{3e2802c4-a4d2-4d8b-9148-e3be6c30e623}">
          <xlrd:rvb i="1349"/>
        </ext>
      </extLst>
    </bk>
    <bk>
      <extLst>
        <ext uri="{3e2802c4-a4d2-4d8b-9148-e3be6c30e623}">
          <xlrd:rvb i="1352"/>
        </ext>
      </extLst>
    </bk>
    <bk>
      <extLst>
        <ext uri="{3e2802c4-a4d2-4d8b-9148-e3be6c30e623}">
          <xlrd:rvb i="1353"/>
        </ext>
      </extLst>
    </bk>
    <bk>
      <extLst>
        <ext uri="{3e2802c4-a4d2-4d8b-9148-e3be6c30e623}">
          <xlrd:rvb i="1356"/>
        </ext>
      </extLst>
    </bk>
    <bk>
      <extLst>
        <ext uri="{3e2802c4-a4d2-4d8b-9148-e3be6c30e623}">
          <xlrd:rvb i="1357"/>
        </ext>
      </extLst>
    </bk>
    <bk>
      <extLst>
        <ext uri="{3e2802c4-a4d2-4d8b-9148-e3be6c30e623}">
          <xlrd:rvb i="1360"/>
        </ext>
      </extLst>
    </bk>
    <bk>
      <extLst>
        <ext uri="{3e2802c4-a4d2-4d8b-9148-e3be6c30e623}">
          <xlrd:rvb i="1361"/>
        </ext>
      </extLst>
    </bk>
    <bk>
      <extLst>
        <ext uri="{3e2802c4-a4d2-4d8b-9148-e3be6c30e623}">
          <xlrd:rvb i="1364"/>
        </ext>
      </extLst>
    </bk>
    <bk>
      <extLst>
        <ext uri="{3e2802c4-a4d2-4d8b-9148-e3be6c30e623}">
          <xlrd:rvb i="1365"/>
        </ext>
      </extLst>
    </bk>
    <bk>
      <extLst>
        <ext uri="{3e2802c4-a4d2-4d8b-9148-e3be6c30e623}">
          <xlrd:rvb i="1371"/>
        </ext>
      </extLst>
    </bk>
    <bk>
      <extLst>
        <ext uri="{3e2802c4-a4d2-4d8b-9148-e3be6c30e623}">
          <xlrd:rvb i="1372"/>
        </ext>
      </extLst>
    </bk>
    <bk>
      <extLst>
        <ext uri="{3e2802c4-a4d2-4d8b-9148-e3be6c30e623}">
          <xlrd:rvb i="1375"/>
        </ext>
      </extLst>
    </bk>
    <bk>
      <extLst>
        <ext uri="{3e2802c4-a4d2-4d8b-9148-e3be6c30e623}">
          <xlrd:rvb i="1376"/>
        </ext>
      </extLst>
    </bk>
    <bk>
      <extLst>
        <ext uri="{3e2802c4-a4d2-4d8b-9148-e3be6c30e623}">
          <xlrd:rvb i="1379"/>
        </ext>
      </extLst>
    </bk>
    <bk>
      <extLst>
        <ext uri="{3e2802c4-a4d2-4d8b-9148-e3be6c30e623}">
          <xlrd:rvb i="1380"/>
        </ext>
      </extLst>
    </bk>
    <bk>
      <extLst>
        <ext uri="{3e2802c4-a4d2-4d8b-9148-e3be6c30e623}">
          <xlrd:rvb i="1383"/>
        </ext>
      </extLst>
    </bk>
    <bk>
      <extLst>
        <ext uri="{3e2802c4-a4d2-4d8b-9148-e3be6c30e623}">
          <xlrd:rvb i="1384"/>
        </ext>
      </extLst>
    </bk>
    <bk>
      <extLst>
        <ext uri="{3e2802c4-a4d2-4d8b-9148-e3be6c30e623}">
          <xlrd:rvb i="1387"/>
        </ext>
      </extLst>
    </bk>
    <bk>
      <extLst>
        <ext uri="{3e2802c4-a4d2-4d8b-9148-e3be6c30e623}">
          <xlrd:rvb i="1388"/>
        </ext>
      </extLst>
    </bk>
    <bk>
      <extLst>
        <ext uri="{3e2802c4-a4d2-4d8b-9148-e3be6c30e623}">
          <xlrd:rvb i="1391"/>
        </ext>
      </extLst>
    </bk>
    <bk>
      <extLst>
        <ext uri="{3e2802c4-a4d2-4d8b-9148-e3be6c30e623}">
          <xlrd:rvb i="1392"/>
        </ext>
      </extLst>
    </bk>
    <bk>
      <extLst>
        <ext uri="{3e2802c4-a4d2-4d8b-9148-e3be6c30e623}">
          <xlrd:rvb i="1395"/>
        </ext>
      </extLst>
    </bk>
    <bk>
      <extLst>
        <ext uri="{3e2802c4-a4d2-4d8b-9148-e3be6c30e623}">
          <xlrd:rvb i="1396"/>
        </ext>
      </extLst>
    </bk>
    <bk>
      <extLst>
        <ext uri="{3e2802c4-a4d2-4d8b-9148-e3be6c30e623}">
          <xlrd:rvb i="1399"/>
        </ext>
      </extLst>
    </bk>
    <bk>
      <extLst>
        <ext uri="{3e2802c4-a4d2-4d8b-9148-e3be6c30e623}">
          <xlrd:rvb i="1400"/>
        </ext>
      </extLst>
    </bk>
    <bk>
      <extLst>
        <ext uri="{3e2802c4-a4d2-4d8b-9148-e3be6c30e623}">
          <xlrd:rvb i="1403"/>
        </ext>
      </extLst>
    </bk>
    <bk>
      <extLst>
        <ext uri="{3e2802c4-a4d2-4d8b-9148-e3be6c30e623}">
          <xlrd:rvb i="1404"/>
        </ext>
      </extLst>
    </bk>
    <bk>
      <extLst>
        <ext uri="{3e2802c4-a4d2-4d8b-9148-e3be6c30e623}">
          <xlrd:rvb i="1407"/>
        </ext>
      </extLst>
    </bk>
    <bk>
      <extLst>
        <ext uri="{3e2802c4-a4d2-4d8b-9148-e3be6c30e623}">
          <xlrd:rvb i="1408"/>
        </ext>
      </extLst>
    </bk>
    <bk>
      <extLst>
        <ext uri="{3e2802c4-a4d2-4d8b-9148-e3be6c30e623}">
          <xlrd:rvb i="1411"/>
        </ext>
      </extLst>
    </bk>
    <bk>
      <extLst>
        <ext uri="{3e2802c4-a4d2-4d8b-9148-e3be6c30e623}">
          <xlrd:rvb i="1412"/>
        </ext>
      </extLst>
    </bk>
    <bk>
      <extLst>
        <ext uri="{3e2802c4-a4d2-4d8b-9148-e3be6c30e623}">
          <xlrd:rvb i="1415"/>
        </ext>
      </extLst>
    </bk>
    <bk>
      <extLst>
        <ext uri="{3e2802c4-a4d2-4d8b-9148-e3be6c30e623}">
          <xlrd:rvb i="1416"/>
        </ext>
      </extLst>
    </bk>
    <bk>
      <extLst>
        <ext uri="{3e2802c4-a4d2-4d8b-9148-e3be6c30e623}">
          <xlrd:rvb i="1419"/>
        </ext>
      </extLst>
    </bk>
    <bk>
      <extLst>
        <ext uri="{3e2802c4-a4d2-4d8b-9148-e3be6c30e623}">
          <xlrd:rvb i="1420"/>
        </ext>
      </extLst>
    </bk>
    <bk>
      <extLst>
        <ext uri="{3e2802c4-a4d2-4d8b-9148-e3be6c30e623}">
          <xlrd:rvb i="1422"/>
        </ext>
      </extLst>
    </bk>
    <bk>
      <extLst>
        <ext uri="{3e2802c4-a4d2-4d8b-9148-e3be6c30e623}">
          <xlrd:rvb i="1423"/>
        </ext>
      </extLst>
    </bk>
    <bk>
      <extLst>
        <ext uri="{3e2802c4-a4d2-4d8b-9148-e3be6c30e623}">
          <xlrd:rvb i="1426"/>
        </ext>
      </extLst>
    </bk>
    <bk>
      <extLst>
        <ext uri="{3e2802c4-a4d2-4d8b-9148-e3be6c30e623}">
          <xlrd:rvb i="1427"/>
        </ext>
      </extLst>
    </bk>
    <bk>
      <extLst>
        <ext uri="{3e2802c4-a4d2-4d8b-9148-e3be6c30e623}">
          <xlrd:rvb i="1430"/>
        </ext>
      </extLst>
    </bk>
    <bk>
      <extLst>
        <ext uri="{3e2802c4-a4d2-4d8b-9148-e3be6c30e623}">
          <xlrd:rvb i="1431"/>
        </ext>
      </extLst>
    </bk>
    <bk>
      <extLst>
        <ext uri="{3e2802c4-a4d2-4d8b-9148-e3be6c30e623}">
          <xlrd:rvb i="1434"/>
        </ext>
      </extLst>
    </bk>
    <bk>
      <extLst>
        <ext uri="{3e2802c4-a4d2-4d8b-9148-e3be6c30e623}">
          <xlrd:rvb i="1435"/>
        </ext>
      </extLst>
    </bk>
    <bk>
      <extLst>
        <ext uri="{3e2802c4-a4d2-4d8b-9148-e3be6c30e623}">
          <xlrd:rvb i="1438"/>
        </ext>
      </extLst>
    </bk>
    <bk>
      <extLst>
        <ext uri="{3e2802c4-a4d2-4d8b-9148-e3be6c30e623}">
          <xlrd:rvb i="1439"/>
        </ext>
      </extLst>
    </bk>
    <bk>
      <extLst>
        <ext uri="{3e2802c4-a4d2-4d8b-9148-e3be6c30e623}">
          <xlrd:rvb i="1442"/>
        </ext>
      </extLst>
    </bk>
    <bk>
      <extLst>
        <ext uri="{3e2802c4-a4d2-4d8b-9148-e3be6c30e623}">
          <xlrd:rvb i="1443"/>
        </ext>
      </extLst>
    </bk>
    <bk>
      <extLst>
        <ext uri="{3e2802c4-a4d2-4d8b-9148-e3be6c30e623}">
          <xlrd:rvb i="1446"/>
        </ext>
      </extLst>
    </bk>
    <bk>
      <extLst>
        <ext uri="{3e2802c4-a4d2-4d8b-9148-e3be6c30e623}">
          <xlrd:rvb i="1447"/>
        </ext>
      </extLst>
    </bk>
    <bk>
      <extLst>
        <ext uri="{3e2802c4-a4d2-4d8b-9148-e3be6c30e623}">
          <xlrd:rvb i="1453"/>
        </ext>
      </extLst>
    </bk>
    <bk>
      <extLst>
        <ext uri="{3e2802c4-a4d2-4d8b-9148-e3be6c30e623}">
          <xlrd:rvb i="1454"/>
        </ext>
      </extLst>
    </bk>
    <bk>
      <extLst>
        <ext uri="{3e2802c4-a4d2-4d8b-9148-e3be6c30e623}">
          <xlrd:rvb i="1457"/>
        </ext>
      </extLst>
    </bk>
    <bk>
      <extLst>
        <ext uri="{3e2802c4-a4d2-4d8b-9148-e3be6c30e623}">
          <xlrd:rvb i="1458"/>
        </ext>
      </extLst>
    </bk>
    <bk>
      <extLst>
        <ext uri="{3e2802c4-a4d2-4d8b-9148-e3be6c30e623}">
          <xlrd:rvb i="1461"/>
        </ext>
      </extLst>
    </bk>
    <bk>
      <extLst>
        <ext uri="{3e2802c4-a4d2-4d8b-9148-e3be6c30e623}">
          <xlrd:rvb i="1462"/>
        </ext>
      </extLst>
    </bk>
    <bk>
      <extLst>
        <ext uri="{3e2802c4-a4d2-4d8b-9148-e3be6c30e623}">
          <xlrd:rvb i="1465"/>
        </ext>
      </extLst>
    </bk>
    <bk>
      <extLst>
        <ext uri="{3e2802c4-a4d2-4d8b-9148-e3be6c30e623}">
          <xlrd:rvb i="1466"/>
        </ext>
      </extLst>
    </bk>
    <bk>
      <extLst>
        <ext uri="{3e2802c4-a4d2-4d8b-9148-e3be6c30e623}">
          <xlrd:rvb i="1469"/>
        </ext>
      </extLst>
    </bk>
    <bk>
      <extLst>
        <ext uri="{3e2802c4-a4d2-4d8b-9148-e3be6c30e623}">
          <xlrd:rvb i="1470"/>
        </ext>
      </extLst>
    </bk>
    <bk>
      <extLst>
        <ext uri="{3e2802c4-a4d2-4d8b-9148-e3be6c30e623}">
          <xlrd:rvb i="1473"/>
        </ext>
      </extLst>
    </bk>
    <bk>
      <extLst>
        <ext uri="{3e2802c4-a4d2-4d8b-9148-e3be6c30e623}">
          <xlrd:rvb i="1474"/>
        </ext>
      </extLst>
    </bk>
    <bk>
      <extLst>
        <ext uri="{3e2802c4-a4d2-4d8b-9148-e3be6c30e623}">
          <xlrd:rvb i="1477"/>
        </ext>
      </extLst>
    </bk>
    <bk>
      <extLst>
        <ext uri="{3e2802c4-a4d2-4d8b-9148-e3be6c30e623}">
          <xlrd:rvb i="1478"/>
        </ext>
      </extLst>
    </bk>
    <bk>
      <extLst>
        <ext uri="{3e2802c4-a4d2-4d8b-9148-e3be6c30e623}">
          <xlrd:rvb i="1481"/>
        </ext>
      </extLst>
    </bk>
    <bk>
      <extLst>
        <ext uri="{3e2802c4-a4d2-4d8b-9148-e3be6c30e623}">
          <xlrd:rvb i="1482"/>
        </ext>
      </extLst>
    </bk>
    <bk>
      <extLst>
        <ext uri="{3e2802c4-a4d2-4d8b-9148-e3be6c30e623}">
          <xlrd:rvb i="1485"/>
        </ext>
      </extLst>
    </bk>
    <bk>
      <extLst>
        <ext uri="{3e2802c4-a4d2-4d8b-9148-e3be6c30e623}">
          <xlrd:rvb i="1486"/>
        </ext>
      </extLst>
    </bk>
    <bk>
      <extLst>
        <ext uri="{3e2802c4-a4d2-4d8b-9148-e3be6c30e623}">
          <xlrd:rvb i="1489"/>
        </ext>
      </extLst>
    </bk>
    <bk>
      <extLst>
        <ext uri="{3e2802c4-a4d2-4d8b-9148-e3be6c30e623}">
          <xlrd:rvb i="1490"/>
        </ext>
      </extLst>
    </bk>
    <bk>
      <extLst>
        <ext uri="{3e2802c4-a4d2-4d8b-9148-e3be6c30e623}">
          <xlrd:rvb i="1493"/>
        </ext>
      </extLst>
    </bk>
    <bk>
      <extLst>
        <ext uri="{3e2802c4-a4d2-4d8b-9148-e3be6c30e623}">
          <xlrd:rvb i="1494"/>
        </ext>
      </extLst>
    </bk>
    <bk>
      <extLst>
        <ext uri="{3e2802c4-a4d2-4d8b-9148-e3be6c30e623}">
          <xlrd:rvb i="1497"/>
        </ext>
      </extLst>
    </bk>
    <bk>
      <extLst>
        <ext uri="{3e2802c4-a4d2-4d8b-9148-e3be6c30e623}">
          <xlrd:rvb i="1498"/>
        </ext>
      </extLst>
    </bk>
    <bk>
      <extLst>
        <ext uri="{3e2802c4-a4d2-4d8b-9148-e3be6c30e623}">
          <xlrd:rvb i="1501"/>
        </ext>
      </extLst>
    </bk>
    <bk>
      <extLst>
        <ext uri="{3e2802c4-a4d2-4d8b-9148-e3be6c30e623}">
          <xlrd:rvb i="1502"/>
        </ext>
      </extLst>
    </bk>
    <bk>
      <extLst>
        <ext uri="{3e2802c4-a4d2-4d8b-9148-e3be6c30e623}">
          <xlrd:rvb i="1505"/>
        </ext>
      </extLst>
    </bk>
    <bk>
      <extLst>
        <ext uri="{3e2802c4-a4d2-4d8b-9148-e3be6c30e623}">
          <xlrd:rvb i="1506"/>
        </ext>
      </extLst>
    </bk>
    <bk>
      <extLst>
        <ext uri="{3e2802c4-a4d2-4d8b-9148-e3be6c30e623}">
          <xlrd:rvb i="1509"/>
        </ext>
      </extLst>
    </bk>
    <bk>
      <extLst>
        <ext uri="{3e2802c4-a4d2-4d8b-9148-e3be6c30e623}">
          <xlrd:rvb i="1510"/>
        </ext>
      </extLst>
    </bk>
    <bk>
      <extLst>
        <ext uri="{3e2802c4-a4d2-4d8b-9148-e3be6c30e623}">
          <xlrd:rvb i="1513"/>
        </ext>
      </extLst>
    </bk>
    <bk>
      <extLst>
        <ext uri="{3e2802c4-a4d2-4d8b-9148-e3be6c30e623}">
          <xlrd:rvb i="1514"/>
        </ext>
      </extLst>
    </bk>
    <bk>
      <extLst>
        <ext uri="{3e2802c4-a4d2-4d8b-9148-e3be6c30e623}">
          <xlrd:rvb i="1517"/>
        </ext>
      </extLst>
    </bk>
    <bk>
      <extLst>
        <ext uri="{3e2802c4-a4d2-4d8b-9148-e3be6c30e623}">
          <xlrd:rvb i="1518"/>
        </ext>
      </extLst>
    </bk>
    <bk>
      <extLst>
        <ext uri="{3e2802c4-a4d2-4d8b-9148-e3be6c30e623}">
          <xlrd:rvb i="1521"/>
        </ext>
      </extLst>
    </bk>
    <bk>
      <extLst>
        <ext uri="{3e2802c4-a4d2-4d8b-9148-e3be6c30e623}">
          <xlrd:rvb i="1522"/>
        </ext>
      </extLst>
    </bk>
    <bk>
      <extLst>
        <ext uri="{3e2802c4-a4d2-4d8b-9148-e3be6c30e623}">
          <xlrd:rvb i="1528"/>
        </ext>
      </extLst>
    </bk>
    <bk>
      <extLst>
        <ext uri="{3e2802c4-a4d2-4d8b-9148-e3be6c30e623}">
          <xlrd:rvb i="1529"/>
        </ext>
      </extLst>
    </bk>
    <bk>
      <extLst>
        <ext uri="{3e2802c4-a4d2-4d8b-9148-e3be6c30e623}">
          <xlrd:rvb i="1532"/>
        </ext>
      </extLst>
    </bk>
    <bk>
      <extLst>
        <ext uri="{3e2802c4-a4d2-4d8b-9148-e3be6c30e623}">
          <xlrd:rvb i="1533"/>
        </ext>
      </extLst>
    </bk>
    <bk>
      <extLst>
        <ext uri="{3e2802c4-a4d2-4d8b-9148-e3be6c30e623}">
          <xlrd:rvb i="1536"/>
        </ext>
      </extLst>
    </bk>
    <bk>
      <extLst>
        <ext uri="{3e2802c4-a4d2-4d8b-9148-e3be6c30e623}">
          <xlrd:rvb i="1537"/>
        </ext>
      </extLst>
    </bk>
    <bk>
      <extLst>
        <ext uri="{3e2802c4-a4d2-4d8b-9148-e3be6c30e623}">
          <xlrd:rvb i="1540"/>
        </ext>
      </extLst>
    </bk>
    <bk>
      <extLst>
        <ext uri="{3e2802c4-a4d2-4d8b-9148-e3be6c30e623}">
          <xlrd:rvb i="1541"/>
        </ext>
      </extLst>
    </bk>
    <bk>
      <extLst>
        <ext uri="{3e2802c4-a4d2-4d8b-9148-e3be6c30e623}">
          <xlrd:rvb i="1544"/>
        </ext>
      </extLst>
    </bk>
    <bk>
      <extLst>
        <ext uri="{3e2802c4-a4d2-4d8b-9148-e3be6c30e623}">
          <xlrd:rvb i="1545"/>
        </ext>
      </extLst>
    </bk>
    <bk>
      <extLst>
        <ext uri="{3e2802c4-a4d2-4d8b-9148-e3be6c30e623}">
          <xlrd:rvb i="1548"/>
        </ext>
      </extLst>
    </bk>
    <bk>
      <extLst>
        <ext uri="{3e2802c4-a4d2-4d8b-9148-e3be6c30e623}">
          <xlrd:rvb i="1549"/>
        </ext>
      </extLst>
    </bk>
    <bk>
      <extLst>
        <ext uri="{3e2802c4-a4d2-4d8b-9148-e3be6c30e623}">
          <xlrd:rvb i="1551"/>
        </ext>
      </extLst>
    </bk>
    <bk>
      <extLst>
        <ext uri="{3e2802c4-a4d2-4d8b-9148-e3be6c30e623}">
          <xlrd:rvb i="1552"/>
        </ext>
      </extLst>
    </bk>
    <bk>
      <extLst>
        <ext uri="{3e2802c4-a4d2-4d8b-9148-e3be6c30e623}">
          <xlrd:rvb i="1555"/>
        </ext>
      </extLst>
    </bk>
    <bk>
      <extLst>
        <ext uri="{3e2802c4-a4d2-4d8b-9148-e3be6c30e623}">
          <xlrd:rvb i="1556"/>
        </ext>
      </extLst>
    </bk>
    <bk>
      <extLst>
        <ext uri="{3e2802c4-a4d2-4d8b-9148-e3be6c30e623}">
          <xlrd:rvb i="1559"/>
        </ext>
      </extLst>
    </bk>
    <bk>
      <extLst>
        <ext uri="{3e2802c4-a4d2-4d8b-9148-e3be6c30e623}">
          <xlrd:rvb i="1560"/>
        </ext>
      </extLst>
    </bk>
    <bk>
      <extLst>
        <ext uri="{3e2802c4-a4d2-4d8b-9148-e3be6c30e623}">
          <xlrd:rvb i="1563"/>
        </ext>
      </extLst>
    </bk>
    <bk>
      <extLst>
        <ext uri="{3e2802c4-a4d2-4d8b-9148-e3be6c30e623}">
          <xlrd:rvb i="1564"/>
        </ext>
      </extLst>
    </bk>
    <bk>
      <extLst>
        <ext uri="{3e2802c4-a4d2-4d8b-9148-e3be6c30e623}">
          <xlrd:rvb i="1567"/>
        </ext>
      </extLst>
    </bk>
    <bk>
      <extLst>
        <ext uri="{3e2802c4-a4d2-4d8b-9148-e3be6c30e623}">
          <xlrd:rvb i="1568"/>
        </ext>
      </extLst>
    </bk>
    <bk>
      <extLst>
        <ext uri="{3e2802c4-a4d2-4d8b-9148-e3be6c30e623}">
          <xlrd:rvb i="1571"/>
        </ext>
      </extLst>
    </bk>
    <bk>
      <extLst>
        <ext uri="{3e2802c4-a4d2-4d8b-9148-e3be6c30e623}">
          <xlrd:rvb i="1572"/>
        </ext>
      </extLst>
    </bk>
    <bk>
      <extLst>
        <ext uri="{3e2802c4-a4d2-4d8b-9148-e3be6c30e623}">
          <xlrd:rvb i="1575"/>
        </ext>
      </extLst>
    </bk>
    <bk>
      <extLst>
        <ext uri="{3e2802c4-a4d2-4d8b-9148-e3be6c30e623}">
          <xlrd:rvb i="1576"/>
        </ext>
      </extLst>
    </bk>
    <bk>
      <extLst>
        <ext uri="{3e2802c4-a4d2-4d8b-9148-e3be6c30e623}">
          <xlrd:rvb i="1579"/>
        </ext>
      </extLst>
    </bk>
    <bk>
      <extLst>
        <ext uri="{3e2802c4-a4d2-4d8b-9148-e3be6c30e623}">
          <xlrd:rvb i="1580"/>
        </ext>
      </extLst>
    </bk>
    <bk>
      <extLst>
        <ext uri="{3e2802c4-a4d2-4d8b-9148-e3be6c30e623}">
          <xlrd:rvb i="1583"/>
        </ext>
      </extLst>
    </bk>
    <bk>
      <extLst>
        <ext uri="{3e2802c4-a4d2-4d8b-9148-e3be6c30e623}">
          <xlrd:rvb i="1584"/>
        </ext>
      </extLst>
    </bk>
    <bk>
      <extLst>
        <ext uri="{3e2802c4-a4d2-4d8b-9148-e3be6c30e623}">
          <xlrd:rvb i="1587"/>
        </ext>
      </extLst>
    </bk>
    <bk>
      <extLst>
        <ext uri="{3e2802c4-a4d2-4d8b-9148-e3be6c30e623}">
          <xlrd:rvb i="1588"/>
        </ext>
      </extLst>
    </bk>
    <bk>
      <extLst>
        <ext uri="{3e2802c4-a4d2-4d8b-9148-e3be6c30e623}">
          <xlrd:rvb i="1591"/>
        </ext>
      </extLst>
    </bk>
    <bk>
      <extLst>
        <ext uri="{3e2802c4-a4d2-4d8b-9148-e3be6c30e623}">
          <xlrd:rvb i="1592"/>
        </ext>
      </extLst>
    </bk>
    <bk>
      <extLst>
        <ext uri="{3e2802c4-a4d2-4d8b-9148-e3be6c30e623}">
          <xlrd:rvb i="1595"/>
        </ext>
      </extLst>
    </bk>
    <bk>
      <extLst>
        <ext uri="{3e2802c4-a4d2-4d8b-9148-e3be6c30e623}">
          <xlrd:rvb i="1596"/>
        </ext>
      </extLst>
    </bk>
    <bk>
      <extLst>
        <ext uri="{3e2802c4-a4d2-4d8b-9148-e3be6c30e623}">
          <xlrd:rvb i="1602"/>
        </ext>
      </extLst>
    </bk>
    <bk>
      <extLst>
        <ext uri="{3e2802c4-a4d2-4d8b-9148-e3be6c30e623}">
          <xlrd:rvb i="1603"/>
        </ext>
      </extLst>
    </bk>
    <bk>
      <extLst>
        <ext uri="{3e2802c4-a4d2-4d8b-9148-e3be6c30e623}">
          <xlrd:rvb i="1606"/>
        </ext>
      </extLst>
    </bk>
    <bk>
      <extLst>
        <ext uri="{3e2802c4-a4d2-4d8b-9148-e3be6c30e623}">
          <xlrd:rvb i="1607"/>
        </ext>
      </extLst>
    </bk>
    <bk>
      <extLst>
        <ext uri="{3e2802c4-a4d2-4d8b-9148-e3be6c30e623}">
          <xlrd:rvb i="1613"/>
        </ext>
      </extLst>
    </bk>
    <bk>
      <extLst>
        <ext uri="{3e2802c4-a4d2-4d8b-9148-e3be6c30e623}">
          <xlrd:rvb i="1614"/>
        </ext>
      </extLst>
    </bk>
    <bk>
      <extLst>
        <ext uri="{3e2802c4-a4d2-4d8b-9148-e3be6c30e623}">
          <xlrd:rvb i="1617"/>
        </ext>
      </extLst>
    </bk>
    <bk>
      <extLst>
        <ext uri="{3e2802c4-a4d2-4d8b-9148-e3be6c30e623}">
          <xlrd:rvb i="1618"/>
        </ext>
      </extLst>
    </bk>
    <bk>
      <extLst>
        <ext uri="{3e2802c4-a4d2-4d8b-9148-e3be6c30e623}">
          <xlrd:rvb i="1621"/>
        </ext>
      </extLst>
    </bk>
    <bk>
      <extLst>
        <ext uri="{3e2802c4-a4d2-4d8b-9148-e3be6c30e623}">
          <xlrd:rvb i="1622"/>
        </ext>
      </extLst>
    </bk>
    <bk>
      <extLst>
        <ext uri="{3e2802c4-a4d2-4d8b-9148-e3be6c30e623}">
          <xlrd:rvb i="1625"/>
        </ext>
      </extLst>
    </bk>
    <bk>
      <extLst>
        <ext uri="{3e2802c4-a4d2-4d8b-9148-e3be6c30e623}">
          <xlrd:rvb i="1626"/>
        </ext>
      </extLst>
    </bk>
    <bk>
      <extLst>
        <ext uri="{3e2802c4-a4d2-4d8b-9148-e3be6c30e623}">
          <xlrd:rvb i="1629"/>
        </ext>
      </extLst>
    </bk>
    <bk>
      <extLst>
        <ext uri="{3e2802c4-a4d2-4d8b-9148-e3be6c30e623}">
          <xlrd:rvb i="1630"/>
        </ext>
      </extLst>
    </bk>
    <bk>
      <extLst>
        <ext uri="{3e2802c4-a4d2-4d8b-9148-e3be6c30e623}">
          <xlrd:rvb i="1633"/>
        </ext>
      </extLst>
    </bk>
    <bk>
      <extLst>
        <ext uri="{3e2802c4-a4d2-4d8b-9148-e3be6c30e623}">
          <xlrd:rvb i="1634"/>
        </ext>
      </extLst>
    </bk>
    <bk>
      <extLst>
        <ext uri="{3e2802c4-a4d2-4d8b-9148-e3be6c30e623}">
          <xlrd:rvb i="1637"/>
        </ext>
      </extLst>
    </bk>
    <bk>
      <extLst>
        <ext uri="{3e2802c4-a4d2-4d8b-9148-e3be6c30e623}">
          <xlrd:rvb i="1638"/>
        </ext>
      </extLst>
    </bk>
    <bk>
      <extLst>
        <ext uri="{3e2802c4-a4d2-4d8b-9148-e3be6c30e623}">
          <xlrd:rvb i="1641"/>
        </ext>
      </extLst>
    </bk>
    <bk>
      <extLst>
        <ext uri="{3e2802c4-a4d2-4d8b-9148-e3be6c30e623}">
          <xlrd:rvb i="1642"/>
        </ext>
      </extLst>
    </bk>
    <bk>
      <extLst>
        <ext uri="{3e2802c4-a4d2-4d8b-9148-e3be6c30e623}">
          <xlrd:rvb i="1645"/>
        </ext>
      </extLst>
    </bk>
    <bk>
      <extLst>
        <ext uri="{3e2802c4-a4d2-4d8b-9148-e3be6c30e623}">
          <xlrd:rvb i="1646"/>
        </ext>
      </extLst>
    </bk>
    <bk>
      <extLst>
        <ext uri="{3e2802c4-a4d2-4d8b-9148-e3be6c30e623}">
          <xlrd:rvb i="1649"/>
        </ext>
      </extLst>
    </bk>
    <bk>
      <extLst>
        <ext uri="{3e2802c4-a4d2-4d8b-9148-e3be6c30e623}">
          <xlrd:rvb i="1650"/>
        </ext>
      </extLst>
    </bk>
    <bk>
      <extLst>
        <ext uri="{3e2802c4-a4d2-4d8b-9148-e3be6c30e623}">
          <xlrd:rvb i="1653"/>
        </ext>
      </extLst>
    </bk>
    <bk>
      <extLst>
        <ext uri="{3e2802c4-a4d2-4d8b-9148-e3be6c30e623}">
          <xlrd:rvb i="1654"/>
        </ext>
      </extLst>
    </bk>
    <bk>
      <extLst>
        <ext uri="{3e2802c4-a4d2-4d8b-9148-e3be6c30e623}">
          <xlrd:rvb i="1657"/>
        </ext>
      </extLst>
    </bk>
    <bk>
      <extLst>
        <ext uri="{3e2802c4-a4d2-4d8b-9148-e3be6c30e623}">
          <xlrd:rvb i="1658"/>
        </ext>
      </extLst>
    </bk>
    <bk>
      <extLst>
        <ext uri="{3e2802c4-a4d2-4d8b-9148-e3be6c30e623}">
          <xlrd:rvb i="1661"/>
        </ext>
      </extLst>
    </bk>
    <bk>
      <extLst>
        <ext uri="{3e2802c4-a4d2-4d8b-9148-e3be6c30e623}">
          <xlrd:rvb i="1662"/>
        </ext>
      </extLst>
    </bk>
    <bk>
      <extLst>
        <ext uri="{3e2802c4-a4d2-4d8b-9148-e3be6c30e623}">
          <xlrd:rvb i="1665"/>
        </ext>
      </extLst>
    </bk>
    <bk>
      <extLst>
        <ext uri="{3e2802c4-a4d2-4d8b-9148-e3be6c30e623}">
          <xlrd:rvb i="1666"/>
        </ext>
      </extLst>
    </bk>
    <bk>
      <extLst>
        <ext uri="{3e2802c4-a4d2-4d8b-9148-e3be6c30e623}">
          <xlrd:rvb i="1669"/>
        </ext>
      </extLst>
    </bk>
    <bk>
      <extLst>
        <ext uri="{3e2802c4-a4d2-4d8b-9148-e3be6c30e623}">
          <xlrd:rvb i="1670"/>
        </ext>
      </extLst>
    </bk>
    <bk>
      <extLst>
        <ext uri="{3e2802c4-a4d2-4d8b-9148-e3be6c30e623}">
          <xlrd:rvb i="1673"/>
        </ext>
      </extLst>
    </bk>
    <bk>
      <extLst>
        <ext uri="{3e2802c4-a4d2-4d8b-9148-e3be6c30e623}">
          <xlrd:rvb i="1674"/>
        </ext>
      </extLst>
    </bk>
    <bk>
      <extLst>
        <ext uri="{3e2802c4-a4d2-4d8b-9148-e3be6c30e623}">
          <xlrd:rvb i="1677"/>
        </ext>
      </extLst>
    </bk>
    <bk>
      <extLst>
        <ext uri="{3e2802c4-a4d2-4d8b-9148-e3be6c30e623}">
          <xlrd:rvb i="1678"/>
        </ext>
      </extLst>
    </bk>
    <bk>
      <extLst>
        <ext uri="{3e2802c4-a4d2-4d8b-9148-e3be6c30e623}">
          <xlrd:rvb i="1681"/>
        </ext>
      </extLst>
    </bk>
    <bk>
      <extLst>
        <ext uri="{3e2802c4-a4d2-4d8b-9148-e3be6c30e623}">
          <xlrd:rvb i="1682"/>
        </ext>
      </extLst>
    </bk>
    <bk>
      <extLst>
        <ext uri="{3e2802c4-a4d2-4d8b-9148-e3be6c30e623}">
          <xlrd:rvb i="1685"/>
        </ext>
      </extLst>
    </bk>
    <bk>
      <extLst>
        <ext uri="{3e2802c4-a4d2-4d8b-9148-e3be6c30e623}">
          <xlrd:rvb i="1686"/>
        </ext>
      </extLst>
    </bk>
    <bk>
      <extLst>
        <ext uri="{3e2802c4-a4d2-4d8b-9148-e3be6c30e623}">
          <xlrd:rvb i="1688"/>
        </ext>
      </extLst>
    </bk>
    <bk>
      <extLst>
        <ext uri="{3e2802c4-a4d2-4d8b-9148-e3be6c30e623}">
          <xlrd:rvb i="1689"/>
        </ext>
      </extLst>
    </bk>
    <bk>
      <extLst>
        <ext uri="{3e2802c4-a4d2-4d8b-9148-e3be6c30e623}">
          <xlrd:rvb i="1692"/>
        </ext>
      </extLst>
    </bk>
    <bk>
      <extLst>
        <ext uri="{3e2802c4-a4d2-4d8b-9148-e3be6c30e623}">
          <xlrd:rvb i="1693"/>
        </ext>
      </extLst>
    </bk>
    <bk>
      <extLst>
        <ext uri="{3e2802c4-a4d2-4d8b-9148-e3be6c30e623}">
          <xlrd:rvb i="1696"/>
        </ext>
      </extLst>
    </bk>
    <bk>
      <extLst>
        <ext uri="{3e2802c4-a4d2-4d8b-9148-e3be6c30e623}">
          <xlrd:rvb i="1697"/>
        </ext>
      </extLst>
    </bk>
    <bk>
      <extLst>
        <ext uri="{3e2802c4-a4d2-4d8b-9148-e3be6c30e623}">
          <xlrd:rvb i="1700"/>
        </ext>
      </extLst>
    </bk>
    <bk>
      <extLst>
        <ext uri="{3e2802c4-a4d2-4d8b-9148-e3be6c30e623}">
          <xlrd:rvb i="1701"/>
        </ext>
      </extLst>
    </bk>
    <bk>
      <extLst>
        <ext uri="{3e2802c4-a4d2-4d8b-9148-e3be6c30e623}">
          <xlrd:rvb i="1707"/>
        </ext>
      </extLst>
    </bk>
    <bk>
      <extLst>
        <ext uri="{3e2802c4-a4d2-4d8b-9148-e3be6c30e623}">
          <xlrd:rvb i="1708"/>
        </ext>
      </extLst>
    </bk>
    <bk>
      <extLst>
        <ext uri="{3e2802c4-a4d2-4d8b-9148-e3be6c30e623}">
          <xlrd:rvb i="1711"/>
        </ext>
      </extLst>
    </bk>
    <bk>
      <extLst>
        <ext uri="{3e2802c4-a4d2-4d8b-9148-e3be6c30e623}">
          <xlrd:rvb i="1712"/>
        </ext>
      </extLst>
    </bk>
    <bk>
      <extLst>
        <ext uri="{3e2802c4-a4d2-4d8b-9148-e3be6c30e623}">
          <xlrd:rvb i="1715"/>
        </ext>
      </extLst>
    </bk>
    <bk>
      <extLst>
        <ext uri="{3e2802c4-a4d2-4d8b-9148-e3be6c30e623}">
          <xlrd:rvb i="1716"/>
        </ext>
      </extLst>
    </bk>
    <bk>
      <extLst>
        <ext uri="{3e2802c4-a4d2-4d8b-9148-e3be6c30e623}">
          <xlrd:rvb i="1719"/>
        </ext>
      </extLst>
    </bk>
    <bk>
      <extLst>
        <ext uri="{3e2802c4-a4d2-4d8b-9148-e3be6c30e623}">
          <xlrd:rvb i="1720"/>
        </ext>
      </extLst>
    </bk>
    <bk>
      <extLst>
        <ext uri="{3e2802c4-a4d2-4d8b-9148-e3be6c30e623}">
          <xlrd:rvb i="1723"/>
        </ext>
      </extLst>
    </bk>
    <bk>
      <extLst>
        <ext uri="{3e2802c4-a4d2-4d8b-9148-e3be6c30e623}">
          <xlrd:rvb i="1724"/>
        </ext>
      </extLst>
    </bk>
    <bk>
      <extLst>
        <ext uri="{3e2802c4-a4d2-4d8b-9148-e3be6c30e623}">
          <xlrd:rvb i="1727"/>
        </ext>
      </extLst>
    </bk>
    <bk>
      <extLst>
        <ext uri="{3e2802c4-a4d2-4d8b-9148-e3be6c30e623}">
          <xlrd:rvb i="1728"/>
        </ext>
      </extLst>
    </bk>
    <bk>
      <extLst>
        <ext uri="{3e2802c4-a4d2-4d8b-9148-e3be6c30e623}">
          <xlrd:rvb i="1731"/>
        </ext>
      </extLst>
    </bk>
    <bk>
      <extLst>
        <ext uri="{3e2802c4-a4d2-4d8b-9148-e3be6c30e623}">
          <xlrd:rvb i="1732"/>
        </ext>
      </extLst>
    </bk>
    <bk>
      <extLst>
        <ext uri="{3e2802c4-a4d2-4d8b-9148-e3be6c30e623}">
          <xlrd:rvb i="1735"/>
        </ext>
      </extLst>
    </bk>
    <bk>
      <extLst>
        <ext uri="{3e2802c4-a4d2-4d8b-9148-e3be6c30e623}">
          <xlrd:rvb i="1736"/>
        </ext>
      </extLst>
    </bk>
    <bk>
      <extLst>
        <ext uri="{3e2802c4-a4d2-4d8b-9148-e3be6c30e623}">
          <xlrd:rvb i="1739"/>
        </ext>
      </extLst>
    </bk>
    <bk>
      <extLst>
        <ext uri="{3e2802c4-a4d2-4d8b-9148-e3be6c30e623}">
          <xlrd:rvb i="1740"/>
        </ext>
      </extLst>
    </bk>
    <bk>
      <extLst>
        <ext uri="{3e2802c4-a4d2-4d8b-9148-e3be6c30e623}">
          <xlrd:rvb i="1743"/>
        </ext>
      </extLst>
    </bk>
    <bk>
      <extLst>
        <ext uri="{3e2802c4-a4d2-4d8b-9148-e3be6c30e623}">
          <xlrd:rvb i="1744"/>
        </ext>
      </extLst>
    </bk>
    <bk>
      <extLst>
        <ext uri="{3e2802c4-a4d2-4d8b-9148-e3be6c30e623}">
          <xlrd:rvb i="1747"/>
        </ext>
      </extLst>
    </bk>
    <bk>
      <extLst>
        <ext uri="{3e2802c4-a4d2-4d8b-9148-e3be6c30e623}">
          <xlrd:rvb i="1748"/>
        </ext>
      </extLst>
    </bk>
    <bk>
      <extLst>
        <ext uri="{3e2802c4-a4d2-4d8b-9148-e3be6c30e623}">
          <xlrd:rvb i="1751"/>
        </ext>
      </extLst>
    </bk>
    <bk>
      <extLst>
        <ext uri="{3e2802c4-a4d2-4d8b-9148-e3be6c30e623}">
          <xlrd:rvb i="1752"/>
        </ext>
      </extLst>
    </bk>
    <bk>
      <extLst>
        <ext uri="{3e2802c4-a4d2-4d8b-9148-e3be6c30e623}">
          <xlrd:rvb i="1755"/>
        </ext>
      </extLst>
    </bk>
    <bk>
      <extLst>
        <ext uri="{3e2802c4-a4d2-4d8b-9148-e3be6c30e623}">
          <xlrd:rvb i="1756"/>
        </ext>
      </extLst>
    </bk>
    <bk>
      <extLst>
        <ext uri="{3e2802c4-a4d2-4d8b-9148-e3be6c30e623}">
          <xlrd:rvb i="1759"/>
        </ext>
      </extLst>
    </bk>
    <bk>
      <extLst>
        <ext uri="{3e2802c4-a4d2-4d8b-9148-e3be6c30e623}">
          <xlrd:rvb i="1760"/>
        </ext>
      </extLst>
    </bk>
    <bk>
      <extLst>
        <ext uri="{3e2802c4-a4d2-4d8b-9148-e3be6c30e623}">
          <xlrd:rvb i="1763"/>
        </ext>
      </extLst>
    </bk>
    <bk>
      <extLst>
        <ext uri="{3e2802c4-a4d2-4d8b-9148-e3be6c30e623}">
          <xlrd:rvb i="1764"/>
        </ext>
      </extLst>
    </bk>
    <bk>
      <extLst>
        <ext uri="{3e2802c4-a4d2-4d8b-9148-e3be6c30e623}">
          <xlrd:rvb i="1767"/>
        </ext>
      </extLst>
    </bk>
    <bk>
      <extLst>
        <ext uri="{3e2802c4-a4d2-4d8b-9148-e3be6c30e623}">
          <xlrd:rvb i="1768"/>
        </ext>
      </extLst>
    </bk>
    <bk>
      <extLst>
        <ext uri="{3e2802c4-a4d2-4d8b-9148-e3be6c30e623}">
          <xlrd:rvb i="1771"/>
        </ext>
      </extLst>
    </bk>
    <bk>
      <extLst>
        <ext uri="{3e2802c4-a4d2-4d8b-9148-e3be6c30e623}">
          <xlrd:rvb i="1772"/>
        </ext>
      </extLst>
    </bk>
    <bk>
      <extLst>
        <ext uri="{3e2802c4-a4d2-4d8b-9148-e3be6c30e623}">
          <xlrd:rvb i="1775"/>
        </ext>
      </extLst>
    </bk>
    <bk>
      <extLst>
        <ext uri="{3e2802c4-a4d2-4d8b-9148-e3be6c30e623}">
          <xlrd:rvb i="1776"/>
        </ext>
      </extLst>
    </bk>
    <bk>
      <extLst>
        <ext uri="{3e2802c4-a4d2-4d8b-9148-e3be6c30e623}">
          <xlrd:rvb i="1782"/>
        </ext>
      </extLst>
    </bk>
    <bk>
      <extLst>
        <ext uri="{3e2802c4-a4d2-4d8b-9148-e3be6c30e623}">
          <xlrd:rvb i="1783"/>
        </ext>
      </extLst>
    </bk>
    <bk>
      <extLst>
        <ext uri="{3e2802c4-a4d2-4d8b-9148-e3be6c30e623}">
          <xlrd:rvb i="1786"/>
        </ext>
      </extLst>
    </bk>
    <bk>
      <extLst>
        <ext uri="{3e2802c4-a4d2-4d8b-9148-e3be6c30e623}">
          <xlrd:rvb i="1787"/>
        </ext>
      </extLst>
    </bk>
    <bk>
      <extLst>
        <ext uri="{3e2802c4-a4d2-4d8b-9148-e3be6c30e623}">
          <xlrd:rvb i="1790"/>
        </ext>
      </extLst>
    </bk>
    <bk>
      <extLst>
        <ext uri="{3e2802c4-a4d2-4d8b-9148-e3be6c30e623}">
          <xlrd:rvb i="1791"/>
        </ext>
      </extLst>
    </bk>
    <bk>
      <extLst>
        <ext uri="{3e2802c4-a4d2-4d8b-9148-e3be6c30e623}">
          <xlrd:rvb i="1794"/>
        </ext>
      </extLst>
    </bk>
    <bk>
      <extLst>
        <ext uri="{3e2802c4-a4d2-4d8b-9148-e3be6c30e623}">
          <xlrd:rvb i="1795"/>
        </ext>
      </extLst>
    </bk>
    <bk>
      <extLst>
        <ext uri="{3e2802c4-a4d2-4d8b-9148-e3be6c30e623}">
          <xlrd:rvb i="1798"/>
        </ext>
      </extLst>
    </bk>
    <bk>
      <extLst>
        <ext uri="{3e2802c4-a4d2-4d8b-9148-e3be6c30e623}">
          <xlrd:rvb i="1799"/>
        </ext>
      </extLst>
    </bk>
    <bk>
      <extLst>
        <ext uri="{3e2802c4-a4d2-4d8b-9148-e3be6c30e623}">
          <xlrd:rvb i="1802"/>
        </ext>
      </extLst>
    </bk>
    <bk>
      <extLst>
        <ext uri="{3e2802c4-a4d2-4d8b-9148-e3be6c30e623}">
          <xlrd:rvb i="1803"/>
        </ext>
      </extLst>
    </bk>
    <bk>
      <extLst>
        <ext uri="{3e2802c4-a4d2-4d8b-9148-e3be6c30e623}">
          <xlrd:rvb i="1806"/>
        </ext>
      </extLst>
    </bk>
    <bk>
      <extLst>
        <ext uri="{3e2802c4-a4d2-4d8b-9148-e3be6c30e623}">
          <xlrd:rvb i="1807"/>
        </ext>
      </extLst>
    </bk>
    <bk>
      <extLst>
        <ext uri="{3e2802c4-a4d2-4d8b-9148-e3be6c30e623}">
          <xlrd:rvb i="1810"/>
        </ext>
      </extLst>
    </bk>
    <bk>
      <extLst>
        <ext uri="{3e2802c4-a4d2-4d8b-9148-e3be6c30e623}">
          <xlrd:rvb i="1811"/>
        </ext>
      </extLst>
    </bk>
    <bk>
      <extLst>
        <ext uri="{3e2802c4-a4d2-4d8b-9148-e3be6c30e623}">
          <xlrd:rvb i="1814"/>
        </ext>
      </extLst>
    </bk>
    <bk>
      <extLst>
        <ext uri="{3e2802c4-a4d2-4d8b-9148-e3be6c30e623}">
          <xlrd:rvb i="1815"/>
        </ext>
      </extLst>
    </bk>
    <bk>
      <extLst>
        <ext uri="{3e2802c4-a4d2-4d8b-9148-e3be6c30e623}">
          <xlrd:rvb i="1818"/>
        </ext>
      </extLst>
    </bk>
    <bk>
      <extLst>
        <ext uri="{3e2802c4-a4d2-4d8b-9148-e3be6c30e623}">
          <xlrd:rvb i="1819"/>
        </ext>
      </extLst>
    </bk>
    <bk>
      <extLst>
        <ext uri="{3e2802c4-a4d2-4d8b-9148-e3be6c30e623}">
          <xlrd:rvb i="1822"/>
        </ext>
      </extLst>
    </bk>
    <bk>
      <extLst>
        <ext uri="{3e2802c4-a4d2-4d8b-9148-e3be6c30e623}">
          <xlrd:rvb i="1823"/>
        </ext>
      </extLst>
    </bk>
    <bk>
      <extLst>
        <ext uri="{3e2802c4-a4d2-4d8b-9148-e3be6c30e623}">
          <xlrd:rvb i="1829"/>
        </ext>
      </extLst>
    </bk>
    <bk>
      <extLst>
        <ext uri="{3e2802c4-a4d2-4d8b-9148-e3be6c30e623}">
          <xlrd:rvb i="1830"/>
        </ext>
      </extLst>
    </bk>
    <bk>
      <extLst>
        <ext uri="{3e2802c4-a4d2-4d8b-9148-e3be6c30e623}">
          <xlrd:rvb i="1833"/>
        </ext>
      </extLst>
    </bk>
    <bk>
      <extLst>
        <ext uri="{3e2802c4-a4d2-4d8b-9148-e3be6c30e623}">
          <xlrd:rvb i="1834"/>
        </ext>
      </extLst>
    </bk>
    <bk>
      <extLst>
        <ext uri="{3e2802c4-a4d2-4d8b-9148-e3be6c30e623}">
          <xlrd:rvb i="1837"/>
        </ext>
      </extLst>
    </bk>
    <bk>
      <extLst>
        <ext uri="{3e2802c4-a4d2-4d8b-9148-e3be6c30e623}">
          <xlrd:rvb i="1838"/>
        </ext>
      </extLst>
    </bk>
    <bk>
      <extLst>
        <ext uri="{3e2802c4-a4d2-4d8b-9148-e3be6c30e623}">
          <xlrd:rvb i="1841"/>
        </ext>
      </extLst>
    </bk>
    <bk>
      <extLst>
        <ext uri="{3e2802c4-a4d2-4d8b-9148-e3be6c30e623}">
          <xlrd:rvb i="1842"/>
        </ext>
      </extLst>
    </bk>
    <bk>
      <extLst>
        <ext uri="{3e2802c4-a4d2-4d8b-9148-e3be6c30e623}">
          <xlrd:rvb i="1845"/>
        </ext>
      </extLst>
    </bk>
    <bk>
      <extLst>
        <ext uri="{3e2802c4-a4d2-4d8b-9148-e3be6c30e623}">
          <xlrd:rvb i="1846"/>
        </ext>
      </extLst>
    </bk>
    <bk>
      <extLst>
        <ext uri="{3e2802c4-a4d2-4d8b-9148-e3be6c30e623}">
          <xlrd:rvb i="1849"/>
        </ext>
      </extLst>
    </bk>
    <bk>
      <extLst>
        <ext uri="{3e2802c4-a4d2-4d8b-9148-e3be6c30e623}">
          <xlrd:rvb i="1850"/>
        </ext>
      </extLst>
    </bk>
    <bk>
      <extLst>
        <ext uri="{3e2802c4-a4d2-4d8b-9148-e3be6c30e623}">
          <xlrd:rvb i="1853"/>
        </ext>
      </extLst>
    </bk>
    <bk>
      <extLst>
        <ext uri="{3e2802c4-a4d2-4d8b-9148-e3be6c30e623}">
          <xlrd:rvb i="1854"/>
        </ext>
      </extLst>
    </bk>
    <bk>
      <extLst>
        <ext uri="{3e2802c4-a4d2-4d8b-9148-e3be6c30e623}">
          <xlrd:rvb i="1857"/>
        </ext>
      </extLst>
    </bk>
    <bk>
      <extLst>
        <ext uri="{3e2802c4-a4d2-4d8b-9148-e3be6c30e623}">
          <xlrd:rvb i="1858"/>
        </ext>
      </extLst>
    </bk>
    <bk>
      <extLst>
        <ext uri="{3e2802c4-a4d2-4d8b-9148-e3be6c30e623}">
          <xlrd:rvb i="1864"/>
        </ext>
      </extLst>
    </bk>
    <bk>
      <extLst>
        <ext uri="{3e2802c4-a4d2-4d8b-9148-e3be6c30e623}">
          <xlrd:rvb i="1865"/>
        </ext>
      </extLst>
    </bk>
    <bk>
      <extLst>
        <ext uri="{3e2802c4-a4d2-4d8b-9148-e3be6c30e623}">
          <xlrd:rvb i="1868"/>
        </ext>
      </extLst>
    </bk>
    <bk>
      <extLst>
        <ext uri="{3e2802c4-a4d2-4d8b-9148-e3be6c30e623}">
          <xlrd:rvb i="1869"/>
        </ext>
      </extLst>
    </bk>
    <bk>
      <extLst>
        <ext uri="{3e2802c4-a4d2-4d8b-9148-e3be6c30e623}">
          <xlrd:rvb i="1872"/>
        </ext>
      </extLst>
    </bk>
    <bk>
      <extLst>
        <ext uri="{3e2802c4-a4d2-4d8b-9148-e3be6c30e623}">
          <xlrd:rvb i="1873"/>
        </ext>
      </extLst>
    </bk>
    <bk>
      <extLst>
        <ext uri="{3e2802c4-a4d2-4d8b-9148-e3be6c30e623}">
          <xlrd:rvb i="1876"/>
        </ext>
      </extLst>
    </bk>
    <bk>
      <extLst>
        <ext uri="{3e2802c4-a4d2-4d8b-9148-e3be6c30e623}">
          <xlrd:rvb i="1877"/>
        </ext>
      </extLst>
    </bk>
    <bk>
      <extLst>
        <ext uri="{3e2802c4-a4d2-4d8b-9148-e3be6c30e623}">
          <xlrd:rvb i="1880"/>
        </ext>
      </extLst>
    </bk>
    <bk>
      <extLst>
        <ext uri="{3e2802c4-a4d2-4d8b-9148-e3be6c30e623}">
          <xlrd:rvb i="1881"/>
        </ext>
      </extLst>
    </bk>
    <bk>
      <extLst>
        <ext uri="{3e2802c4-a4d2-4d8b-9148-e3be6c30e623}">
          <xlrd:rvb i="1887"/>
        </ext>
      </extLst>
    </bk>
    <bk>
      <extLst>
        <ext uri="{3e2802c4-a4d2-4d8b-9148-e3be6c30e623}">
          <xlrd:rvb i="1888"/>
        </ext>
      </extLst>
    </bk>
    <bk>
      <extLst>
        <ext uri="{3e2802c4-a4d2-4d8b-9148-e3be6c30e623}">
          <xlrd:rvb i="1891"/>
        </ext>
      </extLst>
    </bk>
    <bk>
      <extLst>
        <ext uri="{3e2802c4-a4d2-4d8b-9148-e3be6c30e623}">
          <xlrd:rvb i="1892"/>
        </ext>
      </extLst>
    </bk>
    <bk>
      <extLst>
        <ext uri="{3e2802c4-a4d2-4d8b-9148-e3be6c30e623}">
          <xlrd:rvb i="1895"/>
        </ext>
      </extLst>
    </bk>
    <bk>
      <extLst>
        <ext uri="{3e2802c4-a4d2-4d8b-9148-e3be6c30e623}">
          <xlrd:rvb i="1896"/>
        </ext>
      </extLst>
    </bk>
    <bk>
      <extLst>
        <ext uri="{3e2802c4-a4d2-4d8b-9148-e3be6c30e623}">
          <xlrd:rvb i="1899"/>
        </ext>
      </extLst>
    </bk>
    <bk>
      <extLst>
        <ext uri="{3e2802c4-a4d2-4d8b-9148-e3be6c30e623}">
          <xlrd:rvb i="1900"/>
        </ext>
      </extLst>
    </bk>
    <bk>
      <extLst>
        <ext uri="{3e2802c4-a4d2-4d8b-9148-e3be6c30e623}">
          <xlrd:rvb i="1903"/>
        </ext>
      </extLst>
    </bk>
    <bk>
      <extLst>
        <ext uri="{3e2802c4-a4d2-4d8b-9148-e3be6c30e623}">
          <xlrd:rvb i="1904"/>
        </ext>
      </extLst>
    </bk>
    <bk>
      <extLst>
        <ext uri="{3e2802c4-a4d2-4d8b-9148-e3be6c30e623}">
          <xlrd:rvb i="1907"/>
        </ext>
      </extLst>
    </bk>
    <bk>
      <extLst>
        <ext uri="{3e2802c4-a4d2-4d8b-9148-e3be6c30e623}">
          <xlrd:rvb i="1908"/>
        </ext>
      </extLst>
    </bk>
    <bk>
      <extLst>
        <ext uri="{3e2802c4-a4d2-4d8b-9148-e3be6c30e623}">
          <xlrd:rvb i="1911"/>
        </ext>
      </extLst>
    </bk>
    <bk>
      <extLst>
        <ext uri="{3e2802c4-a4d2-4d8b-9148-e3be6c30e623}">
          <xlrd:rvb i="1912"/>
        </ext>
      </extLst>
    </bk>
    <bk>
      <extLst>
        <ext uri="{3e2802c4-a4d2-4d8b-9148-e3be6c30e623}">
          <xlrd:rvb i="1918"/>
        </ext>
      </extLst>
    </bk>
    <bk>
      <extLst>
        <ext uri="{3e2802c4-a4d2-4d8b-9148-e3be6c30e623}">
          <xlrd:rvb i="1919"/>
        </ext>
      </extLst>
    </bk>
    <bk>
      <extLst>
        <ext uri="{3e2802c4-a4d2-4d8b-9148-e3be6c30e623}">
          <xlrd:rvb i="1922"/>
        </ext>
      </extLst>
    </bk>
    <bk>
      <extLst>
        <ext uri="{3e2802c4-a4d2-4d8b-9148-e3be6c30e623}">
          <xlrd:rvb i="1923"/>
        </ext>
      </extLst>
    </bk>
    <bk>
      <extLst>
        <ext uri="{3e2802c4-a4d2-4d8b-9148-e3be6c30e623}">
          <xlrd:rvb i="1926"/>
        </ext>
      </extLst>
    </bk>
    <bk>
      <extLst>
        <ext uri="{3e2802c4-a4d2-4d8b-9148-e3be6c30e623}">
          <xlrd:rvb i="1927"/>
        </ext>
      </extLst>
    </bk>
    <bk>
      <extLst>
        <ext uri="{3e2802c4-a4d2-4d8b-9148-e3be6c30e623}">
          <xlrd:rvb i="1930"/>
        </ext>
      </extLst>
    </bk>
    <bk>
      <extLst>
        <ext uri="{3e2802c4-a4d2-4d8b-9148-e3be6c30e623}">
          <xlrd:rvb i="1931"/>
        </ext>
      </extLst>
    </bk>
    <bk>
      <extLst>
        <ext uri="{3e2802c4-a4d2-4d8b-9148-e3be6c30e623}">
          <xlrd:rvb i="1934"/>
        </ext>
      </extLst>
    </bk>
    <bk>
      <extLst>
        <ext uri="{3e2802c4-a4d2-4d8b-9148-e3be6c30e623}">
          <xlrd:rvb i="1935"/>
        </ext>
      </extLst>
    </bk>
    <bk>
      <extLst>
        <ext uri="{3e2802c4-a4d2-4d8b-9148-e3be6c30e623}">
          <xlrd:rvb i="1938"/>
        </ext>
      </extLst>
    </bk>
    <bk>
      <extLst>
        <ext uri="{3e2802c4-a4d2-4d8b-9148-e3be6c30e623}">
          <xlrd:rvb i="1939"/>
        </ext>
      </extLst>
    </bk>
    <bk>
      <extLst>
        <ext uri="{3e2802c4-a4d2-4d8b-9148-e3be6c30e623}">
          <xlrd:rvb i="1942"/>
        </ext>
      </extLst>
    </bk>
    <bk>
      <extLst>
        <ext uri="{3e2802c4-a4d2-4d8b-9148-e3be6c30e623}">
          <xlrd:rvb i="1943"/>
        </ext>
      </extLst>
    </bk>
    <bk>
      <extLst>
        <ext uri="{3e2802c4-a4d2-4d8b-9148-e3be6c30e623}">
          <xlrd:rvb i="1946"/>
        </ext>
      </extLst>
    </bk>
    <bk>
      <extLst>
        <ext uri="{3e2802c4-a4d2-4d8b-9148-e3be6c30e623}">
          <xlrd:rvb i="1947"/>
        </ext>
      </extLst>
    </bk>
    <bk>
      <extLst>
        <ext uri="{3e2802c4-a4d2-4d8b-9148-e3be6c30e623}">
          <xlrd:rvb i="1950"/>
        </ext>
      </extLst>
    </bk>
    <bk>
      <extLst>
        <ext uri="{3e2802c4-a4d2-4d8b-9148-e3be6c30e623}">
          <xlrd:rvb i="1951"/>
        </ext>
      </extLst>
    </bk>
    <bk>
      <extLst>
        <ext uri="{3e2802c4-a4d2-4d8b-9148-e3be6c30e623}">
          <xlrd:rvb i="1954"/>
        </ext>
      </extLst>
    </bk>
    <bk>
      <extLst>
        <ext uri="{3e2802c4-a4d2-4d8b-9148-e3be6c30e623}">
          <xlrd:rvb i="1955"/>
        </ext>
      </extLst>
    </bk>
    <bk>
      <extLst>
        <ext uri="{3e2802c4-a4d2-4d8b-9148-e3be6c30e623}">
          <xlrd:rvb i="1958"/>
        </ext>
      </extLst>
    </bk>
    <bk>
      <extLst>
        <ext uri="{3e2802c4-a4d2-4d8b-9148-e3be6c30e623}">
          <xlrd:rvb i="1959"/>
        </ext>
      </extLst>
    </bk>
    <bk>
      <extLst>
        <ext uri="{3e2802c4-a4d2-4d8b-9148-e3be6c30e623}">
          <xlrd:rvb i="1962"/>
        </ext>
      </extLst>
    </bk>
    <bk>
      <extLst>
        <ext uri="{3e2802c4-a4d2-4d8b-9148-e3be6c30e623}">
          <xlrd:rvb i="1963"/>
        </ext>
      </extLst>
    </bk>
    <bk>
      <extLst>
        <ext uri="{3e2802c4-a4d2-4d8b-9148-e3be6c30e623}">
          <xlrd:rvb i="1966"/>
        </ext>
      </extLst>
    </bk>
    <bk>
      <extLst>
        <ext uri="{3e2802c4-a4d2-4d8b-9148-e3be6c30e623}">
          <xlrd:rvb i="1967"/>
        </ext>
      </extLst>
    </bk>
    <bk>
      <extLst>
        <ext uri="{3e2802c4-a4d2-4d8b-9148-e3be6c30e623}">
          <xlrd:rvb i="1970"/>
        </ext>
      </extLst>
    </bk>
    <bk>
      <extLst>
        <ext uri="{3e2802c4-a4d2-4d8b-9148-e3be6c30e623}">
          <xlrd:rvb i="1971"/>
        </ext>
      </extLst>
    </bk>
    <bk>
      <extLst>
        <ext uri="{3e2802c4-a4d2-4d8b-9148-e3be6c30e623}">
          <xlrd:rvb i="1977"/>
        </ext>
      </extLst>
    </bk>
    <bk>
      <extLst>
        <ext uri="{3e2802c4-a4d2-4d8b-9148-e3be6c30e623}">
          <xlrd:rvb i="1978"/>
        </ext>
      </extLst>
    </bk>
    <bk>
      <extLst>
        <ext uri="{3e2802c4-a4d2-4d8b-9148-e3be6c30e623}">
          <xlrd:rvb i="1981"/>
        </ext>
      </extLst>
    </bk>
    <bk>
      <extLst>
        <ext uri="{3e2802c4-a4d2-4d8b-9148-e3be6c30e623}">
          <xlrd:rvb i="1982"/>
        </ext>
      </extLst>
    </bk>
    <bk>
      <extLst>
        <ext uri="{3e2802c4-a4d2-4d8b-9148-e3be6c30e623}">
          <xlrd:rvb i="1985"/>
        </ext>
      </extLst>
    </bk>
    <bk>
      <extLst>
        <ext uri="{3e2802c4-a4d2-4d8b-9148-e3be6c30e623}">
          <xlrd:rvb i="1986"/>
        </ext>
      </extLst>
    </bk>
    <bk>
      <extLst>
        <ext uri="{3e2802c4-a4d2-4d8b-9148-e3be6c30e623}">
          <xlrd:rvb i="1989"/>
        </ext>
      </extLst>
    </bk>
    <bk>
      <extLst>
        <ext uri="{3e2802c4-a4d2-4d8b-9148-e3be6c30e623}">
          <xlrd:rvb i="1990"/>
        </ext>
      </extLst>
    </bk>
    <bk>
      <extLst>
        <ext uri="{3e2802c4-a4d2-4d8b-9148-e3be6c30e623}">
          <xlrd:rvb i="1993"/>
        </ext>
      </extLst>
    </bk>
    <bk>
      <extLst>
        <ext uri="{3e2802c4-a4d2-4d8b-9148-e3be6c30e623}">
          <xlrd:rvb i="1994"/>
        </ext>
      </extLst>
    </bk>
    <bk>
      <extLst>
        <ext uri="{3e2802c4-a4d2-4d8b-9148-e3be6c30e623}">
          <xlrd:rvb i="1997"/>
        </ext>
      </extLst>
    </bk>
    <bk>
      <extLst>
        <ext uri="{3e2802c4-a4d2-4d8b-9148-e3be6c30e623}">
          <xlrd:rvb i="1998"/>
        </ext>
      </extLst>
    </bk>
    <bk>
      <extLst>
        <ext uri="{3e2802c4-a4d2-4d8b-9148-e3be6c30e623}">
          <xlrd:rvb i="2001"/>
        </ext>
      </extLst>
    </bk>
    <bk>
      <extLst>
        <ext uri="{3e2802c4-a4d2-4d8b-9148-e3be6c30e623}">
          <xlrd:rvb i="2002"/>
        </ext>
      </extLst>
    </bk>
    <bk>
      <extLst>
        <ext uri="{3e2802c4-a4d2-4d8b-9148-e3be6c30e623}">
          <xlrd:rvb i="2005"/>
        </ext>
      </extLst>
    </bk>
    <bk>
      <extLst>
        <ext uri="{3e2802c4-a4d2-4d8b-9148-e3be6c30e623}">
          <xlrd:rvb i="2006"/>
        </ext>
      </extLst>
    </bk>
    <bk>
      <extLst>
        <ext uri="{3e2802c4-a4d2-4d8b-9148-e3be6c30e623}">
          <xlrd:rvb i="2009"/>
        </ext>
      </extLst>
    </bk>
    <bk>
      <extLst>
        <ext uri="{3e2802c4-a4d2-4d8b-9148-e3be6c30e623}">
          <xlrd:rvb i="2010"/>
        </ext>
      </extLst>
    </bk>
    <bk>
      <extLst>
        <ext uri="{3e2802c4-a4d2-4d8b-9148-e3be6c30e623}">
          <xlrd:rvb i="2012"/>
        </ext>
      </extLst>
    </bk>
    <bk>
      <extLst>
        <ext uri="{3e2802c4-a4d2-4d8b-9148-e3be6c30e623}">
          <xlrd:rvb i="2013"/>
        </ext>
      </extLst>
    </bk>
  </futureMetadata>
  <cellMetadata count="1">
    <bk>
      <rc t="1" v="0"/>
    </bk>
  </cellMetadata>
  <valueMetadata count="977">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bk>
      <rc t="2" v="486"/>
    </bk>
    <bk>
      <rc t="2" v="487"/>
    </bk>
    <bk>
      <rc t="2" v="488"/>
    </bk>
    <bk>
      <rc t="2" v="489"/>
    </bk>
    <bk>
      <rc t="2" v="490"/>
    </bk>
    <bk>
      <rc t="2" v="491"/>
    </bk>
    <bk>
      <rc t="2" v="492"/>
    </bk>
    <bk>
      <rc t="2" v="493"/>
    </bk>
    <bk>
      <rc t="2" v="494"/>
    </bk>
    <bk>
      <rc t="2" v="495"/>
    </bk>
    <bk>
      <rc t="2" v="496"/>
    </bk>
    <bk>
      <rc t="2" v="497"/>
    </bk>
    <bk>
      <rc t="2" v="498"/>
    </bk>
    <bk>
      <rc t="2" v="499"/>
    </bk>
    <bk>
      <rc t="2" v="500"/>
    </bk>
    <bk>
      <rc t="2" v="501"/>
    </bk>
    <bk>
      <rc t="2" v="502"/>
    </bk>
    <bk>
      <rc t="2" v="503"/>
    </bk>
    <bk>
      <rc t="2" v="504"/>
    </bk>
    <bk>
      <rc t="2" v="505"/>
    </bk>
    <bk>
      <rc t="2" v="506"/>
    </bk>
    <bk>
      <rc t="2" v="507"/>
    </bk>
    <bk>
      <rc t="2" v="508"/>
    </bk>
    <bk>
      <rc t="2" v="509"/>
    </bk>
    <bk>
      <rc t="2" v="510"/>
    </bk>
    <bk>
      <rc t="2" v="511"/>
    </bk>
    <bk>
      <rc t="2" v="512"/>
    </bk>
    <bk>
      <rc t="2" v="513"/>
    </bk>
    <bk>
      <rc t="2" v="514"/>
    </bk>
    <bk>
      <rc t="2" v="515"/>
    </bk>
    <bk>
      <rc t="2" v="516"/>
    </bk>
    <bk>
      <rc t="2" v="517"/>
    </bk>
    <bk>
      <rc t="2" v="518"/>
    </bk>
    <bk>
      <rc t="2" v="519"/>
    </bk>
    <bk>
      <rc t="2" v="520"/>
    </bk>
    <bk>
      <rc t="2" v="521"/>
    </bk>
    <bk>
      <rc t="2" v="522"/>
    </bk>
    <bk>
      <rc t="2" v="523"/>
    </bk>
    <bk>
      <rc t="2" v="524"/>
    </bk>
    <bk>
      <rc t="2" v="525"/>
    </bk>
    <bk>
      <rc t="2" v="526"/>
    </bk>
    <bk>
      <rc t="2" v="527"/>
    </bk>
    <bk>
      <rc t="2" v="528"/>
    </bk>
    <bk>
      <rc t="2" v="529"/>
    </bk>
    <bk>
      <rc t="2" v="530"/>
    </bk>
    <bk>
      <rc t="2" v="531"/>
    </bk>
    <bk>
      <rc t="2" v="532"/>
    </bk>
    <bk>
      <rc t="2" v="533"/>
    </bk>
    <bk>
      <rc t="2" v="534"/>
    </bk>
    <bk>
      <rc t="2" v="535"/>
    </bk>
    <bk>
      <rc t="2" v="536"/>
    </bk>
    <bk>
      <rc t="2" v="537"/>
    </bk>
    <bk>
      <rc t="2" v="538"/>
    </bk>
    <bk>
      <rc t="2" v="539"/>
    </bk>
    <bk>
      <rc t="2" v="540"/>
    </bk>
    <bk>
      <rc t="2" v="541"/>
    </bk>
    <bk>
      <rc t="2" v="542"/>
    </bk>
    <bk>
      <rc t="2" v="543"/>
    </bk>
    <bk>
      <rc t="2" v="544"/>
    </bk>
    <bk>
      <rc t="2" v="545"/>
    </bk>
    <bk>
      <rc t="2" v="546"/>
    </bk>
    <bk>
      <rc t="2" v="547"/>
    </bk>
    <bk>
      <rc t="2" v="548"/>
    </bk>
    <bk>
      <rc t="2" v="549"/>
    </bk>
    <bk>
      <rc t="2" v="550"/>
    </bk>
    <bk>
      <rc t="2" v="551"/>
    </bk>
    <bk>
      <rc t="2" v="552"/>
    </bk>
    <bk>
      <rc t="2" v="553"/>
    </bk>
    <bk>
      <rc t="2" v="554"/>
    </bk>
    <bk>
      <rc t="2" v="555"/>
    </bk>
    <bk>
      <rc t="2" v="556"/>
    </bk>
    <bk>
      <rc t="2" v="557"/>
    </bk>
    <bk>
      <rc t="2" v="558"/>
    </bk>
    <bk>
      <rc t="2" v="559"/>
    </bk>
    <bk>
      <rc t="2" v="560"/>
    </bk>
    <bk>
      <rc t="2" v="561"/>
    </bk>
    <bk>
      <rc t="2" v="562"/>
    </bk>
    <bk>
      <rc t="2" v="563"/>
    </bk>
    <bk>
      <rc t="2" v="564"/>
    </bk>
    <bk>
      <rc t="2" v="565"/>
    </bk>
    <bk>
      <rc t="2" v="566"/>
    </bk>
    <bk>
      <rc t="2" v="567"/>
    </bk>
    <bk>
      <rc t="2" v="568"/>
    </bk>
    <bk>
      <rc t="2" v="569"/>
    </bk>
    <bk>
      <rc t="2" v="570"/>
    </bk>
    <bk>
      <rc t="2" v="571"/>
    </bk>
    <bk>
      <rc t="2" v="572"/>
    </bk>
    <bk>
      <rc t="2" v="573"/>
    </bk>
    <bk>
      <rc t="2" v="574"/>
    </bk>
    <bk>
      <rc t="2" v="575"/>
    </bk>
    <bk>
      <rc t="2" v="576"/>
    </bk>
    <bk>
      <rc t="2" v="577"/>
    </bk>
    <bk>
      <rc t="2" v="578"/>
    </bk>
    <bk>
      <rc t="2" v="579"/>
    </bk>
    <bk>
      <rc t="2" v="580"/>
    </bk>
    <bk>
      <rc t="2" v="581"/>
    </bk>
    <bk>
      <rc t="2" v="582"/>
    </bk>
    <bk>
      <rc t="2" v="583"/>
    </bk>
    <bk>
      <rc t="2" v="584"/>
    </bk>
    <bk>
      <rc t="2" v="585"/>
    </bk>
    <bk>
      <rc t="2" v="586"/>
    </bk>
    <bk>
      <rc t="2" v="587"/>
    </bk>
    <bk>
      <rc t="2" v="588"/>
    </bk>
    <bk>
      <rc t="2" v="589"/>
    </bk>
    <bk>
      <rc t="2" v="590"/>
    </bk>
    <bk>
      <rc t="2" v="591"/>
    </bk>
    <bk>
      <rc t="2" v="592"/>
    </bk>
    <bk>
      <rc t="2" v="593"/>
    </bk>
    <bk>
      <rc t="2" v="594"/>
    </bk>
    <bk>
      <rc t="2" v="595"/>
    </bk>
    <bk>
      <rc t="2" v="596"/>
    </bk>
    <bk>
      <rc t="2" v="597"/>
    </bk>
    <bk>
      <rc t="2" v="598"/>
    </bk>
    <bk>
      <rc t="2" v="599"/>
    </bk>
    <bk>
      <rc t="2" v="600"/>
    </bk>
    <bk>
      <rc t="2" v="601"/>
    </bk>
    <bk>
      <rc t="2" v="602"/>
    </bk>
    <bk>
      <rc t="2" v="603"/>
    </bk>
    <bk>
      <rc t="2" v="604"/>
    </bk>
    <bk>
      <rc t="2" v="605"/>
    </bk>
    <bk>
      <rc t="2" v="606"/>
    </bk>
    <bk>
      <rc t="2" v="607"/>
    </bk>
    <bk>
      <rc t="2" v="608"/>
    </bk>
    <bk>
      <rc t="2" v="609"/>
    </bk>
    <bk>
      <rc t="2" v="610"/>
    </bk>
    <bk>
      <rc t="2" v="611"/>
    </bk>
    <bk>
      <rc t="2" v="612"/>
    </bk>
    <bk>
      <rc t="2" v="613"/>
    </bk>
    <bk>
      <rc t="2" v="614"/>
    </bk>
    <bk>
      <rc t="2" v="615"/>
    </bk>
    <bk>
      <rc t="2" v="616"/>
    </bk>
    <bk>
      <rc t="2" v="617"/>
    </bk>
    <bk>
      <rc t="2" v="618"/>
    </bk>
    <bk>
      <rc t="2" v="619"/>
    </bk>
    <bk>
      <rc t="2" v="620"/>
    </bk>
    <bk>
      <rc t="2" v="621"/>
    </bk>
    <bk>
      <rc t="2" v="622"/>
    </bk>
    <bk>
      <rc t="2" v="623"/>
    </bk>
    <bk>
      <rc t="2" v="624"/>
    </bk>
    <bk>
      <rc t="2" v="625"/>
    </bk>
    <bk>
      <rc t="2" v="626"/>
    </bk>
    <bk>
      <rc t="2" v="627"/>
    </bk>
    <bk>
      <rc t="2" v="628"/>
    </bk>
    <bk>
      <rc t="2" v="629"/>
    </bk>
    <bk>
      <rc t="2" v="630"/>
    </bk>
    <bk>
      <rc t="2" v="631"/>
    </bk>
    <bk>
      <rc t="2" v="632"/>
    </bk>
    <bk>
      <rc t="2" v="633"/>
    </bk>
    <bk>
      <rc t="2" v="634"/>
    </bk>
    <bk>
      <rc t="2" v="635"/>
    </bk>
    <bk>
      <rc t="2" v="636"/>
    </bk>
    <bk>
      <rc t="2" v="637"/>
    </bk>
    <bk>
      <rc t="2" v="638"/>
    </bk>
    <bk>
      <rc t="2" v="639"/>
    </bk>
    <bk>
      <rc t="2" v="640"/>
    </bk>
    <bk>
      <rc t="2" v="641"/>
    </bk>
    <bk>
      <rc t="2" v="642"/>
    </bk>
    <bk>
      <rc t="2" v="643"/>
    </bk>
    <bk>
      <rc t="2" v="644"/>
    </bk>
    <bk>
      <rc t="2" v="645"/>
    </bk>
    <bk>
      <rc t="2" v="646"/>
    </bk>
    <bk>
      <rc t="2" v="647"/>
    </bk>
    <bk>
      <rc t="2" v="648"/>
    </bk>
    <bk>
      <rc t="2" v="649"/>
    </bk>
    <bk>
      <rc t="2" v="650"/>
    </bk>
    <bk>
      <rc t="2" v="651"/>
    </bk>
    <bk>
      <rc t="2" v="652"/>
    </bk>
    <bk>
      <rc t="2" v="653"/>
    </bk>
    <bk>
      <rc t="2" v="654"/>
    </bk>
    <bk>
      <rc t="2" v="655"/>
    </bk>
    <bk>
      <rc t="2" v="656"/>
    </bk>
    <bk>
      <rc t="2" v="657"/>
    </bk>
    <bk>
      <rc t="2" v="658"/>
    </bk>
    <bk>
      <rc t="2" v="659"/>
    </bk>
    <bk>
      <rc t="2" v="660"/>
    </bk>
    <bk>
      <rc t="2" v="661"/>
    </bk>
    <bk>
      <rc t="2" v="662"/>
    </bk>
    <bk>
      <rc t="2" v="663"/>
    </bk>
    <bk>
      <rc t="2" v="664"/>
    </bk>
    <bk>
      <rc t="2" v="665"/>
    </bk>
    <bk>
      <rc t="2" v="666"/>
    </bk>
    <bk>
      <rc t="2" v="667"/>
    </bk>
    <bk>
      <rc t="2" v="668"/>
    </bk>
    <bk>
      <rc t="2" v="669"/>
    </bk>
    <bk>
      <rc t="2" v="670"/>
    </bk>
    <bk>
      <rc t="2" v="671"/>
    </bk>
    <bk>
      <rc t="2" v="672"/>
    </bk>
    <bk>
      <rc t="2" v="673"/>
    </bk>
    <bk>
      <rc t="2" v="674"/>
    </bk>
    <bk>
      <rc t="2" v="675"/>
    </bk>
    <bk>
      <rc t="2" v="676"/>
    </bk>
    <bk>
      <rc t="2" v="677"/>
    </bk>
    <bk>
      <rc t="2" v="678"/>
    </bk>
    <bk>
      <rc t="2" v="679"/>
    </bk>
    <bk>
      <rc t="2" v="680"/>
    </bk>
    <bk>
      <rc t="2" v="681"/>
    </bk>
    <bk>
      <rc t="2" v="682"/>
    </bk>
    <bk>
      <rc t="2" v="683"/>
    </bk>
    <bk>
      <rc t="2" v="684"/>
    </bk>
    <bk>
      <rc t="2" v="685"/>
    </bk>
    <bk>
      <rc t="2" v="686"/>
    </bk>
    <bk>
      <rc t="2" v="687"/>
    </bk>
    <bk>
      <rc t="2" v="688"/>
    </bk>
    <bk>
      <rc t="2" v="689"/>
    </bk>
    <bk>
      <rc t="2" v="690"/>
    </bk>
    <bk>
      <rc t="2" v="691"/>
    </bk>
    <bk>
      <rc t="2" v="692"/>
    </bk>
    <bk>
      <rc t="2" v="693"/>
    </bk>
    <bk>
      <rc t="2" v="694"/>
    </bk>
    <bk>
      <rc t="2" v="695"/>
    </bk>
    <bk>
      <rc t="2" v="696"/>
    </bk>
    <bk>
      <rc t="2" v="697"/>
    </bk>
    <bk>
      <rc t="2" v="698"/>
    </bk>
    <bk>
      <rc t="2" v="699"/>
    </bk>
    <bk>
      <rc t="2" v="700"/>
    </bk>
    <bk>
      <rc t="2" v="701"/>
    </bk>
    <bk>
      <rc t="2" v="702"/>
    </bk>
    <bk>
      <rc t="2" v="703"/>
    </bk>
    <bk>
      <rc t="2" v="704"/>
    </bk>
    <bk>
      <rc t="2" v="705"/>
    </bk>
    <bk>
      <rc t="2" v="706"/>
    </bk>
    <bk>
      <rc t="2" v="707"/>
    </bk>
    <bk>
      <rc t="2" v="708"/>
    </bk>
    <bk>
      <rc t="2" v="709"/>
    </bk>
    <bk>
      <rc t="2" v="710"/>
    </bk>
    <bk>
      <rc t="2" v="711"/>
    </bk>
    <bk>
      <rc t="2" v="712"/>
    </bk>
    <bk>
      <rc t="2" v="713"/>
    </bk>
    <bk>
      <rc t="2" v="714"/>
    </bk>
    <bk>
      <rc t="2" v="715"/>
    </bk>
    <bk>
      <rc t="2" v="716"/>
    </bk>
    <bk>
      <rc t="2" v="717"/>
    </bk>
    <bk>
      <rc t="2" v="718"/>
    </bk>
    <bk>
      <rc t="2" v="719"/>
    </bk>
    <bk>
      <rc t="2" v="720"/>
    </bk>
    <bk>
      <rc t="2" v="721"/>
    </bk>
    <bk>
      <rc t="2" v="722"/>
    </bk>
    <bk>
      <rc t="2" v="723"/>
    </bk>
    <bk>
      <rc t="2" v="724"/>
    </bk>
    <bk>
      <rc t="2" v="725"/>
    </bk>
    <bk>
      <rc t="2" v="726"/>
    </bk>
    <bk>
      <rc t="2" v="727"/>
    </bk>
    <bk>
      <rc t="2" v="728"/>
    </bk>
    <bk>
      <rc t="2" v="729"/>
    </bk>
    <bk>
      <rc t="2" v="730"/>
    </bk>
    <bk>
      <rc t="2" v="731"/>
    </bk>
    <bk>
      <rc t="2" v="732"/>
    </bk>
    <bk>
      <rc t="2" v="733"/>
    </bk>
    <bk>
      <rc t="2" v="734"/>
    </bk>
    <bk>
      <rc t="2" v="735"/>
    </bk>
    <bk>
      <rc t="2" v="736"/>
    </bk>
    <bk>
      <rc t="2" v="737"/>
    </bk>
    <bk>
      <rc t="2" v="738"/>
    </bk>
    <bk>
      <rc t="2" v="739"/>
    </bk>
    <bk>
      <rc t="2" v="740"/>
    </bk>
    <bk>
      <rc t="2" v="741"/>
    </bk>
    <bk>
      <rc t="2" v="742"/>
    </bk>
    <bk>
      <rc t="2" v="743"/>
    </bk>
    <bk>
      <rc t="2" v="744"/>
    </bk>
    <bk>
      <rc t="2" v="745"/>
    </bk>
    <bk>
      <rc t="2" v="746"/>
    </bk>
    <bk>
      <rc t="2" v="747"/>
    </bk>
    <bk>
      <rc t="2" v="748"/>
    </bk>
    <bk>
      <rc t="2" v="749"/>
    </bk>
    <bk>
      <rc t="2" v="750"/>
    </bk>
    <bk>
      <rc t="2" v="751"/>
    </bk>
    <bk>
      <rc t="2" v="752"/>
    </bk>
    <bk>
      <rc t="2" v="753"/>
    </bk>
    <bk>
      <rc t="2" v="754"/>
    </bk>
    <bk>
      <rc t="2" v="755"/>
    </bk>
    <bk>
      <rc t="2" v="756"/>
    </bk>
    <bk>
      <rc t="2" v="757"/>
    </bk>
    <bk>
      <rc t="2" v="758"/>
    </bk>
    <bk>
      <rc t="2" v="759"/>
    </bk>
    <bk>
      <rc t="2" v="760"/>
    </bk>
    <bk>
      <rc t="2" v="761"/>
    </bk>
    <bk>
      <rc t="2" v="762"/>
    </bk>
    <bk>
      <rc t="2" v="763"/>
    </bk>
    <bk>
      <rc t="2" v="764"/>
    </bk>
    <bk>
      <rc t="2" v="765"/>
    </bk>
    <bk>
      <rc t="2" v="766"/>
    </bk>
    <bk>
      <rc t="2" v="767"/>
    </bk>
    <bk>
      <rc t="2" v="768"/>
    </bk>
    <bk>
      <rc t="2" v="769"/>
    </bk>
    <bk>
      <rc t="2" v="770"/>
    </bk>
    <bk>
      <rc t="2" v="771"/>
    </bk>
    <bk>
      <rc t="2" v="772"/>
    </bk>
    <bk>
      <rc t="2" v="773"/>
    </bk>
    <bk>
      <rc t="2" v="774"/>
    </bk>
    <bk>
      <rc t="2" v="775"/>
    </bk>
    <bk>
      <rc t="2" v="776"/>
    </bk>
    <bk>
      <rc t="2" v="777"/>
    </bk>
    <bk>
      <rc t="2" v="778"/>
    </bk>
    <bk>
      <rc t="2" v="779"/>
    </bk>
    <bk>
      <rc t="2" v="780"/>
    </bk>
    <bk>
      <rc t="2" v="781"/>
    </bk>
    <bk>
      <rc t="2" v="782"/>
    </bk>
    <bk>
      <rc t="2" v="783"/>
    </bk>
    <bk>
      <rc t="2" v="784"/>
    </bk>
    <bk>
      <rc t="2" v="785"/>
    </bk>
    <bk>
      <rc t="2" v="786"/>
    </bk>
    <bk>
      <rc t="2" v="787"/>
    </bk>
    <bk>
      <rc t="2" v="788"/>
    </bk>
    <bk>
      <rc t="2" v="789"/>
    </bk>
    <bk>
      <rc t="2" v="790"/>
    </bk>
    <bk>
      <rc t="2" v="791"/>
    </bk>
    <bk>
      <rc t="2" v="792"/>
    </bk>
    <bk>
      <rc t="2" v="793"/>
    </bk>
    <bk>
      <rc t="2" v="794"/>
    </bk>
    <bk>
      <rc t="2" v="795"/>
    </bk>
    <bk>
      <rc t="2" v="796"/>
    </bk>
    <bk>
      <rc t="2" v="797"/>
    </bk>
    <bk>
      <rc t="2" v="798"/>
    </bk>
    <bk>
      <rc t="2" v="799"/>
    </bk>
    <bk>
      <rc t="2" v="800"/>
    </bk>
    <bk>
      <rc t="2" v="801"/>
    </bk>
    <bk>
      <rc t="2" v="802"/>
    </bk>
    <bk>
      <rc t="2" v="803"/>
    </bk>
    <bk>
      <rc t="2" v="804"/>
    </bk>
    <bk>
      <rc t="2" v="805"/>
    </bk>
    <bk>
      <rc t="2" v="806"/>
    </bk>
    <bk>
      <rc t="2" v="807"/>
    </bk>
    <bk>
      <rc t="2" v="808"/>
    </bk>
    <bk>
      <rc t="2" v="809"/>
    </bk>
    <bk>
      <rc t="2" v="810"/>
    </bk>
    <bk>
      <rc t="2" v="811"/>
    </bk>
    <bk>
      <rc t="2" v="812"/>
    </bk>
    <bk>
      <rc t="2" v="813"/>
    </bk>
    <bk>
      <rc t="2" v="814"/>
    </bk>
    <bk>
      <rc t="2" v="815"/>
    </bk>
    <bk>
      <rc t="2" v="816"/>
    </bk>
    <bk>
      <rc t="2" v="817"/>
    </bk>
    <bk>
      <rc t="2" v="818"/>
    </bk>
    <bk>
      <rc t="2" v="819"/>
    </bk>
    <bk>
      <rc t="2" v="820"/>
    </bk>
    <bk>
      <rc t="2" v="821"/>
    </bk>
    <bk>
      <rc t="2" v="822"/>
    </bk>
    <bk>
      <rc t="2" v="823"/>
    </bk>
    <bk>
      <rc t="2" v="824"/>
    </bk>
    <bk>
      <rc t="2" v="825"/>
    </bk>
    <bk>
      <rc t="2" v="826"/>
    </bk>
    <bk>
      <rc t="2" v="827"/>
    </bk>
    <bk>
      <rc t="2" v="828"/>
    </bk>
    <bk>
      <rc t="2" v="829"/>
    </bk>
    <bk>
      <rc t="2" v="830"/>
    </bk>
    <bk>
      <rc t="2" v="831"/>
    </bk>
    <bk>
      <rc t="2" v="832"/>
    </bk>
    <bk>
      <rc t="2" v="833"/>
    </bk>
    <bk>
      <rc t="2" v="834"/>
    </bk>
    <bk>
      <rc t="2" v="835"/>
    </bk>
    <bk>
      <rc t="2" v="836"/>
    </bk>
    <bk>
      <rc t="2" v="837"/>
    </bk>
    <bk>
      <rc t="2" v="838"/>
    </bk>
    <bk>
      <rc t="2" v="839"/>
    </bk>
    <bk>
      <rc t="2" v="840"/>
    </bk>
    <bk>
      <rc t="2" v="841"/>
    </bk>
    <bk>
      <rc t="2" v="842"/>
    </bk>
    <bk>
      <rc t="2" v="843"/>
    </bk>
    <bk>
      <rc t="2" v="844"/>
    </bk>
    <bk>
      <rc t="2" v="845"/>
    </bk>
    <bk>
      <rc t="2" v="846"/>
    </bk>
    <bk>
      <rc t="2" v="847"/>
    </bk>
    <bk>
      <rc t="2" v="848"/>
    </bk>
    <bk>
      <rc t="2" v="849"/>
    </bk>
    <bk>
      <rc t="2" v="850"/>
    </bk>
    <bk>
      <rc t="2" v="851"/>
    </bk>
    <bk>
      <rc t="2" v="852"/>
    </bk>
    <bk>
      <rc t="2" v="853"/>
    </bk>
    <bk>
      <rc t="2" v="854"/>
    </bk>
    <bk>
      <rc t="2" v="855"/>
    </bk>
    <bk>
      <rc t="2" v="856"/>
    </bk>
    <bk>
      <rc t="2" v="857"/>
    </bk>
    <bk>
      <rc t="2" v="858"/>
    </bk>
    <bk>
      <rc t="2" v="859"/>
    </bk>
    <bk>
      <rc t="2" v="860"/>
    </bk>
    <bk>
      <rc t="2" v="861"/>
    </bk>
    <bk>
      <rc t="2" v="862"/>
    </bk>
    <bk>
      <rc t="2" v="863"/>
    </bk>
    <bk>
      <rc t="2" v="864"/>
    </bk>
    <bk>
      <rc t="2" v="865"/>
    </bk>
    <bk>
      <rc t="2" v="866"/>
    </bk>
    <bk>
      <rc t="2" v="867"/>
    </bk>
    <bk>
      <rc t="2" v="868"/>
    </bk>
    <bk>
      <rc t="2" v="869"/>
    </bk>
    <bk>
      <rc t="2" v="870"/>
    </bk>
    <bk>
      <rc t="2" v="871"/>
    </bk>
    <bk>
      <rc t="2" v="872"/>
    </bk>
    <bk>
      <rc t="2" v="873"/>
    </bk>
    <bk>
      <rc t="2" v="874"/>
    </bk>
    <bk>
      <rc t="2" v="875"/>
    </bk>
    <bk>
      <rc t="2" v="876"/>
    </bk>
    <bk>
      <rc t="2" v="877"/>
    </bk>
    <bk>
      <rc t="2" v="878"/>
    </bk>
    <bk>
      <rc t="2" v="879"/>
    </bk>
    <bk>
      <rc t="2" v="880"/>
    </bk>
    <bk>
      <rc t="2" v="881"/>
    </bk>
    <bk>
      <rc t="2" v="882"/>
    </bk>
    <bk>
      <rc t="2" v="883"/>
    </bk>
    <bk>
      <rc t="2" v="884"/>
    </bk>
    <bk>
      <rc t="2" v="885"/>
    </bk>
    <bk>
      <rc t="2" v="886"/>
    </bk>
    <bk>
      <rc t="2" v="887"/>
    </bk>
    <bk>
      <rc t="2" v="888"/>
    </bk>
    <bk>
      <rc t="2" v="889"/>
    </bk>
    <bk>
      <rc t="2" v="890"/>
    </bk>
    <bk>
      <rc t="2" v="891"/>
    </bk>
    <bk>
      <rc t="2" v="892"/>
    </bk>
    <bk>
      <rc t="2" v="893"/>
    </bk>
    <bk>
      <rc t="2" v="894"/>
    </bk>
    <bk>
      <rc t="2" v="895"/>
    </bk>
    <bk>
      <rc t="2" v="896"/>
    </bk>
    <bk>
      <rc t="2" v="897"/>
    </bk>
    <bk>
      <rc t="2" v="898"/>
    </bk>
    <bk>
      <rc t="2" v="899"/>
    </bk>
    <bk>
      <rc t="2" v="900"/>
    </bk>
    <bk>
      <rc t="2" v="901"/>
    </bk>
    <bk>
      <rc t="2" v="902"/>
    </bk>
    <bk>
      <rc t="2" v="903"/>
    </bk>
    <bk>
      <rc t="2" v="904"/>
    </bk>
    <bk>
      <rc t="2" v="905"/>
    </bk>
    <bk>
      <rc t="2" v="906"/>
    </bk>
    <bk>
      <rc t="2" v="907"/>
    </bk>
    <bk>
      <rc t="2" v="908"/>
    </bk>
    <bk>
      <rc t="2" v="909"/>
    </bk>
    <bk>
      <rc t="2" v="910"/>
    </bk>
    <bk>
      <rc t="2" v="911"/>
    </bk>
    <bk>
      <rc t="2" v="912"/>
    </bk>
    <bk>
      <rc t="2" v="913"/>
    </bk>
    <bk>
      <rc t="2" v="914"/>
    </bk>
    <bk>
      <rc t="2" v="915"/>
    </bk>
    <bk>
      <rc t="2" v="916"/>
    </bk>
    <bk>
      <rc t="2" v="917"/>
    </bk>
    <bk>
      <rc t="2" v="918"/>
    </bk>
    <bk>
      <rc t="2" v="919"/>
    </bk>
    <bk>
      <rc t="2" v="920"/>
    </bk>
    <bk>
      <rc t="2" v="921"/>
    </bk>
    <bk>
      <rc t="2" v="922"/>
    </bk>
    <bk>
      <rc t="2" v="923"/>
    </bk>
    <bk>
      <rc t="2" v="924"/>
    </bk>
    <bk>
      <rc t="2" v="925"/>
    </bk>
    <bk>
      <rc t="2" v="926"/>
    </bk>
    <bk>
      <rc t="2" v="927"/>
    </bk>
    <bk>
      <rc t="2" v="928"/>
    </bk>
    <bk>
      <rc t="2" v="929"/>
    </bk>
    <bk>
      <rc t="2" v="930"/>
    </bk>
    <bk>
      <rc t="2" v="931"/>
    </bk>
    <bk>
      <rc t="2" v="932"/>
    </bk>
    <bk>
      <rc t="2" v="933"/>
    </bk>
    <bk>
      <rc t="2" v="934"/>
    </bk>
    <bk>
      <rc t="2" v="935"/>
    </bk>
    <bk>
      <rc t="2" v="936"/>
    </bk>
    <bk>
      <rc t="2" v="937"/>
    </bk>
    <bk>
      <rc t="2" v="938"/>
    </bk>
    <bk>
      <rc t="2" v="939"/>
    </bk>
    <bk>
      <rc t="2" v="940"/>
    </bk>
    <bk>
      <rc t="2" v="941"/>
    </bk>
    <bk>
      <rc t="2" v="942"/>
    </bk>
    <bk>
      <rc t="2" v="943"/>
    </bk>
    <bk>
      <rc t="2" v="944"/>
    </bk>
    <bk>
      <rc t="2" v="945"/>
    </bk>
    <bk>
      <rc t="2" v="946"/>
    </bk>
    <bk>
      <rc t="2" v="947"/>
    </bk>
    <bk>
      <rc t="2" v="948"/>
    </bk>
    <bk>
      <rc t="2" v="949"/>
    </bk>
    <bk>
      <rc t="2" v="950"/>
    </bk>
    <bk>
      <rc t="2" v="951"/>
    </bk>
    <bk>
      <rc t="2" v="952"/>
    </bk>
    <bk>
      <rc t="2" v="953"/>
    </bk>
    <bk>
      <rc t="2" v="954"/>
    </bk>
    <bk>
      <rc t="2" v="955"/>
    </bk>
    <bk>
      <rc t="2" v="956"/>
    </bk>
    <bk>
      <rc t="2" v="957"/>
    </bk>
    <bk>
      <rc t="2" v="958"/>
    </bk>
    <bk>
      <rc t="2" v="959"/>
    </bk>
    <bk>
      <rc t="2" v="960"/>
    </bk>
    <bk>
      <rc t="2" v="961"/>
    </bk>
    <bk>
      <rc t="2" v="962"/>
    </bk>
    <bk>
      <rc t="2" v="963"/>
    </bk>
    <bk>
      <rc t="2" v="964"/>
    </bk>
    <bk>
      <rc t="2" v="965"/>
    </bk>
    <bk>
      <rc t="2" v="966"/>
    </bk>
    <bk>
      <rc t="2" v="967"/>
    </bk>
    <bk>
      <rc t="2" v="968"/>
    </bk>
    <bk>
      <rc t="2" v="969"/>
    </bk>
    <bk>
      <rc t="2" v="970"/>
    </bk>
    <bk>
      <rc t="2" v="971"/>
    </bk>
    <bk>
      <rc t="2" v="972"/>
    </bk>
    <bk>
      <rc t="2" v="973"/>
    </bk>
    <bk>
      <rc t="2" v="974"/>
    </bk>
    <bk>
      <rc t="2" v="975"/>
    </bk>
    <bk>
      <rc t="2" v="976"/>
    </bk>
  </valueMetadata>
</metadata>
</file>

<file path=xl/sharedStrings.xml><?xml version="1.0" encoding="utf-8"?>
<sst xmlns="http://schemas.openxmlformats.org/spreadsheetml/2006/main" count="63" uniqueCount="27">
  <si>
    <t>Ticker</t>
  </si>
  <si>
    <t>Aktueller Kurs</t>
  </si>
  <si>
    <t>SMA 26 Wochen</t>
  </si>
  <si>
    <t>RSL</t>
  </si>
  <si>
    <t>Branche</t>
  </si>
  <si>
    <t>Portfolio-Tracker</t>
  </si>
  <si>
    <t>WDC</t>
  </si>
  <si>
    <t>MU</t>
  </si>
  <si>
    <t>ALB</t>
  </si>
  <si>
    <t>GOOGL</t>
  </si>
  <si>
    <t>Kaufkurs</t>
  </si>
  <si>
    <t>Stück</t>
  </si>
  <si>
    <t>Investment</t>
  </si>
  <si>
    <t>LVS</t>
  </si>
  <si>
    <t>Wert gesamt</t>
  </si>
  <si>
    <t>Stichtag</t>
  </si>
  <si>
    <t>Verkaufkurs</t>
  </si>
  <si>
    <t>Erlös</t>
  </si>
  <si>
    <t>CNC</t>
  </si>
  <si>
    <t>GLW</t>
  </si>
  <si>
    <t>CAT</t>
  </si>
  <si>
    <t>Aktuelle Bewertung per 31.03.2026</t>
  </si>
  <si>
    <t>Bewertung</t>
  </si>
  <si>
    <t>Rendite</t>
  </si>
  <si>
    <t>S&amp;P 500 Stand</t>
  </si>
  <si>
    <t>Benchmark</t>
  </si>
  <si>
    <t>P&amp;L realisiert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</si>
</sst>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409]* #,##0.00_);_([$$-409]* \(#,##0.00\);_([$$-409]* &quot;-&quot;??_);_(@_)"/>
    <numFmt numFmtId="165" formatCode="#,##0.00_ ;\-#,##0.00\ "/>
    <numFmt numFmtId="166" formatCode="#,##0.00\ &quot;€&quot;"/>
    <numFmt numFmtId="167" formatCode="_-[$$-409]* #,##0.00_ ;_-[$$-409]* \-#,##0.00\ ;_-[$$-409]* &quot;-&quot;??_ ;_-@_ "/>
  </numFmts>
  <fonts count="7" x14ac:knownFonts="1">
    <font>
      <sz val="12"/>
      <color theme="1"/>
      <name val="Aptos Narrow"/>
      <family val="2"/>
      <scheme val="minor"/>
    </font>
    <font>
      <b/>
      <sz val="12"/>
      <color theme="1"/>
      <name val="Aptos Narrow"/>
      <scheme val="minor"/>
    </font>
    <font>
      <sz val="12"/>
      <color rgb="FF0000FF"/>
      <name val="Aptos Narrow"/>
      <family val="2"/>
      <scheme val="minor"/>
    </font>
    <font>
      <sz val="12"/>
      <color theme="1"/>
      <name val="Aptos Narrow"/>
      <family val="2"/>
      <scheme val="minor"/>
    </font>
    <font>
      <b/>
      <sz val="12"/>
      <color rgb="FF0000FF"/>
      <name val="Aptos Narrow"/>
      <scheme val="minor"/>
    </font>
    <font>
      <b/>
      <sz val="12"/>
      <color rgb="FF00B050"/>
      <name val="Aptos Narrow"/>
      <scheme val="minor"/>
    </font>
    <font>
      <b/>
      <sz val="12"/>
      <color rgb="FFFF0000"/>
      <name val="Aptos Narrow"/>
      <scheme val="minor"/>
    </font>
  </fonts>
  <fills count="8">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C000"/>
        <bgColor indexed="64"/>
      </patternFill>
    </fill>
    <fill>
      <patternFill patternType="solid">
        <fgColor theme="3" tint="0.749992370372631"/>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24">
    <xf numFmtId="0" fontId="0" fillId="0" borderId="0" xfId="0"/>
    <xf numFmtId="164" fontId="0" fillId="0" borderId="0" xfId="0" applyNumberFormat="1"/>
    <xf numFmtId="165" fontId="0" fillId="0" borderId="0" xfId="0" applyNumberFormat="1"/>
    <xf numFmtId="0" fontId="1" fillId="0" borderId="0" xfId="0" applyFont="1"/>
    <xf numFmtId="0" fontId="0" fillId="2" borderId="0" xfId="0" applyFill="1"/>
    <xf numFmtId="0" fontId="0" fillId="3" borderId="0" xfId="0" applyFill="1"/>
    <xf numFmtId="166" fontId="0" fillId="0" borderId="0" xfId="0" applyNumberFormat="1"/>
    <xf numFmtId="14" fontId="0" fillId="0" borderId="0" xfId="0" applyNumberFormat="1"/>
    <xf numFmtId="14" fontId="1" fillId="4" borderId="0" xfId="0" applyNumberFormat="1" applyFont="1" applyFill="1" applyAlignment="1">
      <alignment horizontal="left"/>
    </xf>
    <xf numFmtId="0" fontId="1" fillId="0" borderId="0" xfId="0" applyFont="1" applyAlignment="1">
      <alignment horizontal="right"/>
    </xf>
    <xf numFmtId="166" fontId="2" fillId="0" borderId="0" xfId="0" applyNumberFormat="1" applyFont="1"/>
    <xf numFmtId="1" fontId="2" fillId="0" borderId="0" xfId="0" applyNumberFormat="1" applyFont="1"/>
    <xf numFmtId="0" fontId="1" fillId="5" borderId="0" xfId="0" applyFont="1" applyFill="1"/>
    <xf numFmtId="166" fontId="4" fillId="5" borderId="0" xfId="0" applyNumberFormat="1" applyFont="1" applyFill="1"/>
    <xf numFmtId="166" fontId="1" fillId="5" borderId="0" xfId="0" applyNumberFormat="1" applyFont="1" applyFill="1"/>
    <xf numFmtId="167" fontId="1" fillId="5" borderId="0" xfId="0" applyNumberFormat="1" applyFont="1" applyFill="1"/>
    <xf numFmtId="166" fontId="1" fillId="0" borderId="0" xfId="0" applyNumberFormat="1" applyFont="1"/>
    <xf numFmtId="14" fontId="4" fillId="6" borderId="0" xfId="0" applyNumberFormat="1" applyFont="1" applyFill="1"/>
    <xf numFmtId="0" fontId="5" fillId="0" borderId="0" xfId="0" applyFont="1"/>
    <xf numFmtId="0" fontId="6" fillId="0" borderId="0" xfId="0" applyFont="1"/>
    <xf numFmtId="1" fontId="0" fillId="0" borderId="0" xfId="0" applyNumberFormat="1"/>
    <xf numFmtId="9" fontId="0" fillId="0" borderId="0" xfId="1" applyFont="1"/>
    <xf numFmtId="0" fontId="2" fillId="0" borderId="0" xfId="0" applyFont="1"/>
    <xf numFmtId="0" fontId="0" fillId="7" borderId="0" xfId="0" applyFill="1"/>
  </cellXfs>
  <cellStyles count="2">
    <cellStyle name="Prozent" xfId="1" builtinId="5"/>
    <cellStyle name="Standard"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Array" Target="richData/rdarray.xml"/><Relationship Id="rId13" Type="http://schemas.openxmlformats.org/officeDocument/2006/relationships/calcChain" Target="calcChain.xml"/><Relationship Id="rId3" Type="http://schemas.openxmlformats.org/officeDocument/2006/relationships/styles" Target="styles.xml"/><Relationship Id="rId7" Type="http://schemas.microsoft.com/office/2017/06/relationships/rdRichValueStructure" Target="richData/rdrichvaluestructure.xml"/><Relationship Id="rId12" Type="http://schemas.microsoft.com/office/2017/06/relationships/rdRichValueTypes" Target="richData/rdRichValueTyp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11" Type="http://schemas.microsoft.com/office/2017/06/relationships/rdSupportingPropertyBag" Target="richData/rdsupportingpropertybag.xml"/><Relationship Id="rId5" Type="http://schemas.openxmlformats.org/officeDocument/2006/relationships/sheetMetadata" Target="metadata.xml"/><Relationship Id="rId10" Type="http://schemas.microsoft.com/office/2017/06/relationships/rdSupportingPropertyBagStructure" Target="richData/rdsupportingpropertybagstructure.xml"/><Relationship Id="rId4" Type="http://schemas.openxmlformats.org/officeDocument/2006/relationships/sharedStrings" Target="sharedStrings.xml"/><Relationship Id="rId9" Type="http://schemas.microsoft.com/office/2017/06/relationships/richStyles" Target="richData/richStyles.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982">
  <a r="1" c="27">
    <v t="i">1</v>
    <v t="i">8</v>
    <v t="i">15</v>
    <v t="i">22</v>
    <v t="i">29</v>
    <v t="i">36</v>
    <v t="i">43</v>
    <v t="i">50</v>
    <v t="i">57</v>
    <v t="i">64</v>
    <v t="i">71</v>
    <v t="i">78</v>
    <v t="i">85</v>
    <v t="i">92</v>
    <v t="i">99</v>
    <v t="i">106</v>
    <v t="i">113</v>
    <v t="i">121</v>
    <v t="i">127</v>
    <v t="i">134</v>
    <v t="i">141</v>
    <v t="i">149</v>
    <v t="i">155</v>
    <v t="i">162</v>
    <v t="i">169</v>
    <v t="i">176</v>
    <v t="i">183</v>
  </a>
  <a r="1" c="27">
    <v>65.459999999999994</v>
    <v>66.3</v>
    <v>67.78</v>
    <v>68.989999999999995</v>
    <v>67.11</v>
    <v>63.63</v>
    <v>64.91</v>
    <v>66.709999999999994</v>
    <v>66.06</v>
    <v>67.28</v>
    <v>62.71</v>
    <v>63.19</v>
    <v>62.41</v>
    <v>63.25</v>
    <v>62.96</v>
    <v>59.51</v>
    <v>63.19</v>
    <v>64.25</v>
    <v>62.85</v>
    <v>67.5</v>
    <v>71.25</v>
    <v>66.36</v>
    <v>68.239999999999995</v>
    <v>74.11</v>
    <v>75.599999999999994</v>
    <v>73.2</v>
    <v>73.22</v>
  </a>
  <a r="1">
    <v t="i">0</v>
  </a>
  <a r="1">
    <v>243.48</v>
  </a>
  <a r="1" c="27">
    <v>30.62</v>
    <v>28.57</v>
    <v>27.69</v>
    <v>28.31</v>
    <v>29.4</v>
    <v>28.83</v>
    <v>26.73</v>
    <v>26.02</v>
    <v>26.56</v>
    <v>25.78</v>
    <v>25.87</v>
    <v>27.62</v>
    <v>31.12</v>
    <v>30.7</v>
    <v>30.92</v>
    <v>32.130000000000003</v>
    <v>28.92</v>
    <v>28.55</v>
    <v>30.02</v>
    <v>33.99</v>
    <v>31.77</v>
    <v>31.99</v>
    <v>31.55</v>
    <v>25.79</v>
    <v>23.99</v>
    <v>24.12</v>
    <v>24.19</v>
  </a>
  <a r="1">
    <v>261.45999999999998</v>
  </a>
  <a r="1" c="27">
    <v>487.44</v>
    <v>504.49</v>
    <v>505.05</v>
    <v>495.15</v>
    <v>485.41</v>
    <v>491.88</v>
    <v>458.35</v>
    <v>465.77</v>
    <v>460.78</v>
    <v>457.86</v>
    <v>452.2</v>
    <v>480.25</v>
    <v>474.13</v>
    <v>483.03</v>
    <v>497.07</v>
    <v>542.91999999999996</v>
    <v>582.42999999999995</v>
    <v>590.82000000000005</v>
    <v>634.22</v>
    <v>623.58000000000004</v>
    <v>652.58000000000004</v>
    <v>658.26</v>
    <v>658.08</v>
    <v>671.77</v>
    <v>646</v>
    <v>627.42999999999995</v>
    <v>615.84</v>
  </a>
  <a r="1" c="27">
    <v>79.510000000000005</v>
    <v>77.099999999999994</v>
    <v>69.16</v>
    <v>75.319999999999993</v>
    <v>74.040000000000006</v>
    <v>77.72</v>
    <v>69.58</v>
    <v>66.599999999999994</v>
    <v>62.61</v>
    <v>65.95</v>
    <v>69.319999999999993</v>
    <v>66.97</v>
    <v>64.680000000000007</v>
    <v>64.209999999999994</v>
    <v>64.394999999999996</v>
    <v>60.17</v>
    <v>57.77</v>
    <v>58.96</v>
    <v>55.76</v>
    <v>62.1</v>
    <v>62.1</v>
    <v>60.05</v>
    <v>59.58</v>
    <v>54.81</v>
    <v>54.74</v>
    <v>54.44</v>
    <v>53.65</v>
  </a>
  <a r="1">
    <v>72.23</v>
  </a>
  <a r="1" c="27">
    <v>307</v>
    <v>302.76</v>
    <v>318</v>
    <v>324.69</v>
    <v>332.71</v>
    <v>337.81</v>
    <v>360.7</v>
    <v>361.94</v>
    <v>365.68</v>
    <v>368.93</v>
    <v>339.66</v>
    <v>346</v>
    <v>340.93</v>
    <v>341.05</v>
    <v>338.87</v>
    <v>335.69</v>
    <v>354.85</v>
    <v>353.48</v>
    <v>359.22</v>
    <v>359.25</v>
    <v>360.83</v>
    <v>361.08</v>
    <v>372.14</v>
    <v>358.46</v>
    <v>349.95</v>
    <v>326.91000000000003</v>
    <v>312.45</v>
  </a>
  <a r="1" c="27">
    <v>959.73</v>
    <v>956.59</v>
    <v>947.56</v>
    <v>954.99</v>
    <v>968.41</v>
    <v>979</v>
    <v>955.04</v>
    <v>926.21</v>
    <v>952.15</v>
    <v>948.63</v>
    <v>975.54</v>
    <v>1022.54</v>
    <v>1025.02</v>
    <v>1024.28</v>
    <v>1003.81</v>
    <v>1029.82</v>
    <v>1068.72</v>
    <v>1057.8599999999999</v>
    <v>1079.94</v>
    <v>1197.6500000000001</v>
    <v>1131.42</v>
    <v>1127.07</v>
    <v>1144.73</v>
    <v>1112.79</v>
    <v>1073.94</v>
    <v>1041.95</v>
    <v>1057.07</v>
  </a>
  <a r="1">
    <v>136.86000000000001</v>
  </a>
  <a r="1">
    <v>380.47</v>
  </a>
  <a r="1" c="27">
    <v>106.99</v>
    <v>113.58</v>
    <v>111.1</v>
    <v>116.35</v>
    <v>129.34</v>
    <v>131.96</v>
    <v>154.51</v>
    <v>139.33000000000001</v>
    <v>139.51</v>
    <v>164.26</v>
    <v>181.79</v>
    <v>178.34</v>
    <v>185.83</v>
    <v>191.72</v>
    <v>194.33</v>
    <v>178.06</v>
    <v>191.04</v>
    <v>196.94</v>
    <v>212.18</v>
    <v>227.68</v>
    <v>217.23</v>
    <v>248.18</v>
    <v>258.93</v>
    <v>235.72</v>
    <v>242.76</v>
    <v>253.63</v>
    <v>243.48</v>
  </a>
  <a r="1" c="27">
    <v>156.9</v>
    <v>163.29</v>
    <v>158.97</v>
    <v>153.02000000000001</v>
    <v>156.66999999999999</v>
    <v>154.59</v>
    <v>164.64</v>
    <v>163.9</v>
    <v>166.02</v>
    <v>167.59</v>
    <v>162.30000000000001</v>
    <v>165.86</v>
    <v>167.29</v>
    <v>164.79</v>
    <v>161.49</v>
    <v>162.99</v>
    <v>162.18</v>
    <v>157.03</v>
    <v>160.88999999999999</v>
    <v>172.65</v>
    <v>162.77000000000001</v>
    <v>163</v>
    <v>163.98</v>
    <v>165.39</v>
    <v>163.82</v>
    <v>158.43</v>
    <v>153.68</v>
  </a>
  <a r="1" c="27">
    <v>64.239999999999995</v>
    <v>66.709999999999994</v>
    <v>66.87</v>
    <v>66.849999999999994</v>
    <v>67.790000000000006</v>
    <v>62.52</v>
    <v>64.78</v>
    <v>64.239999999999995</v>
    <v>64.069999999999993</v>
    <v>65.77</v>
    <v>66.66</v>
    <v>67.11</v>
    <v>66.05</v>
    <v>67.19</v>
    <v>65.62</v>
    <v>66.84</v>
    <v>63.35</v>
    <v>60.5</v>
    <v>55.25</v>
    <v>51.93</v>
    <v>46.8</v>
    <v>49.13</v>
    <v>50.96</v>
    <v>51.49</v>
    <v>49.7</v>
    <v>49.79</v>
    <v>46.89</v>
  </a>
  <a r="1" c="27">
    <v>123.02</v>
    <v>123.54</v>
    <v>127.02</v>
    <v>128.53</v>
    <v>127.37</v>
    <v>124.3</v>
    <v>123.66</v>
    <v>122.71</v>
    <v>122.8</v>
    <v>123.94</v>
    <v>116.52</v>
    <v>115.3</v>
    <v>115.56</v>
    <v>117.18</v>
    <v>117.44</v>
    <v>116.8</v>
    <v>119.22</v>
    <v>117.43</v>
    <v>121.35</v>
    <v>121.86</v>
    <v>128.19999999999999</v>
    <v>126.78</v>
    <v>130.85</v>
    <v>132.5</v>
    <v>133.15</v>
    <v>126.81</v>
    <v>129.99</v>
  </a>
  <a r="1" c="27">
    <v>69</v>
    <v>69.760000000000005</v>
    <v>67.73</v>
    <v>70.62</v>
    <v>70.39</v>
    <v>73.790000000000006</v>
    <v>76.069999999999993</v>
    <v>78</v>
    <v>79.239999999999995</v>
    <v>80.63</v>
    <v>80.61</v>
    <v>77.86</v>
    <v>79.099999999999994</v>
    <v>79.62</v>
    <v>77.33</v>
    <v>74.900000000000006</v>
    <v>78.45</v>
    <v>76.989999999999995</v>
    <v>77.67</v>
    <v>82.55</v>
    <v>85.24</v>
    <v>85.94</v>
    <v>86.16</v>
    <v>84.87</v>
    <v>86.56</v>
    <v>82.5</v>
    <v>81.91</v>
  </a>
  <a r="1" c="27">
    <v>49.48</v>
    <v>50.25</v>
    <v>47.09</v>
    <v>48.33</v>
    <v>49.83</v>
    <v>47</v>
    <v>48.98</v>
    <v>47.6</v>
    <v>49.87</v>
    <v>49.53</v>
    <v>49.03</v>
    <v>50.91</v>
    <v>52.03</v>
    <v>52.66</v>
    <v>53.35</v>
    <v>55.62</v>
    <v>56.08</v>
    <v>57.36</v>
    <v>56.87</v>
    <v>66.47</v>
    <v>67.290000000000006</v>
    <v>66.53</v>
    <v>67.13</v>
    <v>62.53</v>
    <v>62.19</v>
    <v>57.06</v>
    <v>59.27</v>
  </a>
  <a r="1" c="27">
    <v>322.88</v>
    <v>318.89999999999998</v>
    <v>303.5</v>
    <v>303.66000000000003</v>
    <v>312.88</v>
    <v>301.33999999999997</v>
    <v>297.18</v>
    <v>299.39</v>
    <v>290.8</v>
    <v>303.33999999999997</v>
    <v>306.74</v>
    <v>297.64</v>
    <v>300.08</v>
    <v>300.70999999999998</v>
    <v>286.73</v>
    <v>276.02</v>
    <v>265.69</v>
    <v>270</v>
    <v>252.87</v>
    <v>240.4</v>
    <v>231.22</v>
    <v>226.98</v>
    <v>245.87</v>
    <v>260.99</v>
    <v>251.17</v>
    <v>247.99</v>
    <v>229.84</v>
  </a>
  <a r="1" c="27">
    <v>113.47</v>
    <v>112.47</v>
    <v>109.19</v>
    <v>110.67</v>
    <v>111.68</v>
    <v>112.62</v>
    <v>110.74</v>
    <v>105.8</v>
    <v>104.28</v>
    <v>104.47</v>
    <v>105.3</v>
    <v>111.6</v>
    <v>111.24</v>
    <v>113.56</v>
    <v>111.85</v>
    <v>115.88</v>
    <v>111.2</v>
    <v>110.98</v>
    <v>112.8</v>
    <v>108.7</v>
    <v>105.45</v>
    <v>105.58</v>
    <v>106.04</v>
    <v>101.54</v>
    <v>99.29</v>
    <v>99.51</v>
    <v>92.42</v>
  </a>
  <a r="1">
    <v>146.6</v>
  </a>
  <a r="1" c="27">
    <v>99.52</v>
    <v>99.41</v>
    <v>95.58</v>
    <v>98.94</v>
    <v>101.3</v>
    <v>96.19</v>
    <v>97.34</v>
    <v>97.03</v>
    <v>97.97</v>
    <v>98.73</v>
    <v>97.2</v>
    <v>99.58</v>
    <v>101.37</v>
    <v>102.35</v>
    <v>99.03</v>
    <v>101.64</v>
    <v>103.67</v>
    <v>101.77</v>
    <v>101.16</v>
    <v>105.76</v>
    <v>104.8</v>
    <v>107.45</v>
    <v>108.77</v>
    <v>107.55</v>
    <v>104.49</v>
    <v>103.15</v>
    <v>102.87</v>
  </a>
  <a r="1">
    <v>3316.71</v>
  </a>
  <a r="1" c="27">
    <v>215.62</v>
    <v>220</v>
    <v>217.37</v>
    <v>209.11</v>
    <v>211.86</v>
    <v>211.72</v>
    <v>224.32</v>
    <v>228.59</v>
    <v>226.82</v>
    <v>228.16</v>
    <v>222.87</v>
    <v>229.3</v>
    <v>239.02</v>
    <v>240.13</v>
    <v>237.72</v>
    <v>238</v>
    <v>234</v>
    <v>233.39</v>
    <v>238.13</v>
    <v>243.31</v>
    <v>217.48</v>
    <v>224.31</v>
    <v>229.59</v>
    <v>222.91</v>
    <v>218.53</v>
    <v>212.81</v>
    <v>213.28</v>
  </a>
  <a r="1">
    <v>80.709999999999994</v>
  </a>
  <a r="1" c="27">
    <v>109.53</v>
    <v>106.6</v>
    <v>104.54</v>
    <v>105.98</v>
    <v>107.99</v>
    <v>107.93</v>
    <v>109.64</v>
    <v>110.48</v>
    <v>106.43</v>
    <v>112.1</v>
    <v>114.02</v>
    <v>117.03</v>
    <v>115.84</v>
    <v>117.47</v>
    <v>117.04</v>
    <v>119.04</v>
    <v>121.33</v>
    <v>117.61</v>
    <v>119.92</v>
    <v>124.32</v>
    <v>117.74</v>
    <v>118.19</v>
    <v>119.1</v>
    <v>115.23</v>
    <v>116.17</v>
    <v>114.94</v>
    <v>114.66</v>
  </a>
  <a r="1">
    <v>73.22</v>
  </a>
  <a r="1" c="27">
    <v>218.69</v>
    <v>219.76</v>
    <v>219.25</v>
    <v>215.48</v>
    <v>214.66</v>
    <v>199.77</v>
    <v>201.92</v>
    <v>209.17</v>
    <v>216.62</v>
    <v>217.87</v>
    <v>213.58</v>
    <v>215.61</v>
    <v>216.34</v>
    <v>221.1</v>
    <v>218.4</v>
    <v>220.91</v>
    <v>221.23</v>
    <v>229.23</v>
    <v>222.24</v>
    <v>226.79</v>
    <v>234.52</v>
    <v>230.31</v>
    <v>240.84</v>
    <v>246.05</v>
    <v>238.53</v>
    <v>231.24</v>
    <v>225.06</v>
  </a>
  <a r="1" c="27">
    <v>160.75</v>
    <v>163.44</v>
    <v>158.66999999999999</v>
    <v>159.44</v>
    <v>181.59</v>
    <v>174.89</v>
    <v>174.07</v>
    <v>172.91</v>
    <v>170.46</v>
    <v>172.37</v>
    <v>179.33</v>
    <v>182.6</v>
    <v>181.15</v>
    <v>182.54</v>
    <v>182.44</v>
    <v>188.4</v>
    <v>188.65</v>
    <v>187.43</v>
    <v>185.51</v>
    <v>191.51</v>
    <v>195.8</v>
    <v>196.92</v>
    <v>196.35</v>
    <v>179.64</v>
    <v>170.77</v>
    <v>161.16</v>
    <v>167.78</v>
  </a>
  <a r="1" c="27">
    <v>350.11</v>
    <v>347.27</v>
    <v>327</v>
    <v>326.12</v>
    <v>345.1</v>
    <v>338.69</v>
    <v>325.05</v>
    <v>314.93</v>
    <v>300.58</v>
    <v>311.83999999999997</v>
    <v>337.53</v>
    <v>323.22000000000003</v>
    <v>314.91000000000003</v>
    <v>318.89</v>
    <v>310.39999999999998</v>
    <v>327.31</v>
    <v>317.45</v>
    <v>318.32</v>
    <v>296.36</v>
    <v>283.52</v>
    <v>299.45999999999998</v>
    <v>296.27999999999997</v>
    <v>301.39999999999998</v>
    <v>296.94</v>
    <v>287.02999999999997</v>
    <v>283.89999999999998</v>
    <v>271.77</v>
  </a>
  <a r="1" c="27">
    <v>35.520000000000003</v>
    <v>34.26</v>
    <v>31.72</v>
    <v>32.630000000000003</v>
    <v>35.83</v>
    <v>36.06</v>
    <v>36.659999999999997</v>
    <v>36.94</v>
    <v>36.19</v>
    <v>36.24</v>
    <v>38.46</v>
    <v>39.450000000000003</v>
    <v>38.08</v>
    <v>37.79</v>
    <v>40.200000000000003</v>
    <v>45.2</v>
    <v>46.73</v>
    <v>49.15</v>
    <v>48.38</v>
    <v>50.7</v>
    <v>50.39</v>
    <v>50.85</v>
    <v>51.34</v>
    <v>46.9</v>
    <v>44.72</v>
    <v>46.63</v>
    <v>53.5</v>
  </a>
  <a r="1" c="27">
    <v>1295.72</v>
    <v>1288.83</v>
    <v>1277.99</v>
    <v>1265.8800000000001</v>
    <v>1359.3</v>
    <v>1308.51</v>
    <v>1284.76</v>
    <v>1340.6</v>
    <v>1347.22</v>
    <v>1360.17</v>
    <v>1346.86</v>
    <v>1294.6500000000001</v>
    <v>1276.83</v>
    <v>1309.24</v>
    <v>1358.55</v>
    <v>1392.09</v>
    <v>1450</v>
    <v>1419.19</v>
    <v>1427.54</v>
    <v>1285.53</v>
    <v>1286.67</v>
    <v>1338.98</v>
    <v>1302.79</v>
    <v>1294.53</v>
    <v>1214.6600000000001</v>
    <v>1177.3900000000001</v>
    <v>1140.03</v>
  </a>
  <a r="1" c="27">
    <v>499.29</v>
    <v>492</v>
    <v>479.43</v>
    <v>470.25</v>
    <v>479.18</v>
    <v>452.77</v>
    <v>461.43</v>
    <v>458</v>
    <v>447.56</v>
    <v>455.74</v>
    <v>477.06</v>
    <v>493.63</v>
    <v>489.17</v>
    <v>501.83</v>
    <v>493.77</v>
    <v>507.76</v>
    <v>509.32</v>
    <v>496.6</v>
    <v>527.19000000000005</v>
    <v>542.99</v>
    <v>473.67</v>
    <v>471.69</v>
    <v>470.12</v>
    <v>464.89</v>
    <v>442.08</v>
    <v>438.94</v>
    <v>436.81</v>
  </a>
  <a r="1">
    <v>51.37</v>
  </a>
  <a r="1">
    <v>92.42</v>
  </a>
  <a r="1" c="27">
    <v>167.73</v>
    <v>162.62</v>
    <v>157.5</v>
    <v>153.6</v>
    <v>157.65</v>
    <v>146.29</v>
    <v>149</v>
    <v>152.07</v>
    <v>154.43</v>
    <v>157.30000000000001</v>
    <v>157.82</v>
    <v>163.21</v>
    <v>160.30000000000001</v>
    <v>163.52000000000001</v>
    <v>159.99</v>
    <v>165.98</v>
    <v>173.98</v>
    <v>172.93</v>
    <v>173.78</v>
    <v>169</v>
    <v>152.28</v>
    <v>154.01</v>
    <v>164.13</v>
    <v>166.19</v>
    <v>159.19999999999999</v>
    <v>158.43</v>
    <v>152.66999999999999</v>
  </a>
  <a r="1" c="27">
    <v>60.32</v>
    <v>60.4</v>
    <v>58.26</v>
    <v>59.94</v>
    <v>59.99</v>
    <v>57.98</v>
    <v>56.87</v>
    <v>56.8</v>
    <v>56.67</v>
    <v>57.61</v>
    <v>58.48</v>
    <v>57.72</v>
    <v>56.33</v>
    <v>56.69</v>
    <v>57.31</v>
    <v>58.17</v>
    <v>61.42</v>
    <v>60.74</v>
    <v>61.16</v>
    <v>63.23</v>
    <v>65.66</v>
    <v>66.14</v>
    <v>67</v>
    <v>65</v>
    <v>64.44</v>
    <v>60.95</v>
    <v>60.69</v>
  </a>
  <a r="1" c="27">
    <v>222.87</v>
    <v>219.23</v>
    <v>210.33</v>
    <v>214.76</v>
    <v>218.85</v>
    <v>220</v>
    <v>258.25</v>
    <v>264.66000000000003</v>
    <v>247.49</v>
    <v>255.69</v>
    <v>263.43</v>
    <v>274.20999999999998</v>
    <v>289.25</v>
    <v>287.56</v>
    <v>282.94</v>
    <v>296.33</v>
    <v>285.11</v>
    <v>271.14</v>
    <v>264.83999999999997</v>
    <v>236.85</v>
    <v>212.67</v>
    <v>203.48</v>
    <v>215.69</v>
    <v>249.62</v>
    <v>228.37</v>
    <v>235.18</v>
    <v>225.81</v>
  </a>
  <a r="1">
    <v>26.61</v>
  </a>
  <a r="1" c="27">
    <v>151.52000000000001</v>
    <v>152.63999999999999</v>
    <v>147.71</v>
    <v>156.31</v>
    <v>156.75</v>
    <v>158.91999999999999</v>
    <v>161.08000000000001</v>
    <v>160.58000000000001</v>
    <v>174</v>
    <v>176.36</v>
    <v>177.87</v>
    <v>182.09</v>
    <v>182.41</v>
    <v>181.14</v>
    <v>182.74</v>
    <v>191.44</v>
    <v>192.36</v>
    <v>188.55</v>
    <v>188.65</v>
    <v>190.74</v>
    <v>196.54</v>
    <v>201.45</v>
    <v>205.64</v>
    <v>211.75</v>
    <v>206.28</v>
    <v>211.19</v>
    <v>211.69</v>
  </a>
  <a r="1" c="27">
    <v>58.43</v>
    <v>58.71</v>
    <v>57</v>
    <v>55.82</v>
    <v>56.6</v>
    <v>57.61</v>
    <v>58.61</v>
    <v>58.22</v>
    <v>60.31</v>
    <v>61.48</v>
    <v>61.4</v>
    <v>60.05</v>
    <v>60.06</v>
    <v>60.6</v>
    <v>59.01</v>
    <v>60.68</v>
    <v>62.73</v>
    <v>62.91</v>
    <v>63.34</v>
    <v>64.84</v>
    <v>58.06</v>
    <v>61.35</v>
    <v>60.89</v>
    <v>58.28</v>
    <v>55.13</v>
    <v>53.26</v>
    <v>52.46</v>
  </a>
  <a r="1" c="27">
    <v>246.54</v>
    <v>245.35</v>
    <v>236.57</v>
    <v>253.3</v>
    <v>259.92</v>
    <v>281.19</v>
    <v>278.83</v>
    <v>276.41000000000003</v>
    <v>299.66000000000003</v>
    <v>320.18</v>
    <v>321.27</v>
    <v>309.29000000000002</v>
    <v>307.16000000000003</v>
    <v>313.51</v>
    <v>315.14999999999998</v>
    <v>328.57</v>
    <v>330</v>
    <v>327.93</v>
    <v>338</v>
    <v>322.86</v>
    <v>305.72000000000003</v>
    <v>314.98</v>
    <v>311.76</v>
    <v>298.52</v>
    <v>302.27999999999997</v>
    <v>301</v>
    <v>274.33999999999997</v>
  </a>
  <a r="1" c="27">
    <v>130.76</v>
    <v>140.74</v>
    <v>150.57</v>
    <v>149.59</v>
    <v>158.63999999999999</v>
    <v>162.01</v>
    <v>146.69999999999999</v>
    <v>133.76</v>
    <v>122.51</v>
    <v>133.35</v>
    <v>138.91</v>
    <v>129.97999999999999</v>
    <v>126.42</v>
    <v>129.24</v>
    <v>127.8</v>
    <v>120.62</v>
    <v>120.53</v>
    <v>115.43</v>
    <v>114.44</v>
    <v>121.05</v>
    <v>117.49</v>
    <v>122.27</v>
    <v>148.08000000000001</v>
    <v>146.47999999999999</v>
    <v>151.62</v>
    <v>157.66999999999999</v>
    <v>171.81</v>
  </a>
  <a r="1" c="27">
    <v>341.89</v>
    <v>347.14</v>
    <v>336.99</v>
    <v>330.15</v>
    <v>328.34</v>
    <v>313.10000000000002</v>
    <v>326.05</v>
    <v>322.13</v>
    <v>315.05</v>
    <v>321</v>
    <v>320.7</v>
    <v>326.93</v>
    <v>332.56</v>
    <v>334.6</v>
    <v>326.27</v>
    <v>330.26</v>
    <v>329.41</v>
    <v>322.81</v>
    <v>317.47000000000003</v>
    <v>330.04</v>
    <v>287.74</v>
    <v>301.81</v>
    <v>305.17</v>
    <v>302.94</v>
    <v>289.54000000000002</v>
    <v>291.25</v>
    <v>282.18</v>
  </a>
  <a r="1" c="27">
    <v>14.97</v>
    <v>15.9</v>
    <v>15.86</v>
    <v>16.420000000000002</v>
    <v>16.399999999999999</v>
    <v>15.96</v>
    <v>16.510000000000002</v>
    <v>16.489999999999998</v>
    <v>15.67</v>
    <v>16.12</v>
    <v>15.16</v>
    <v>15.16</v>
    <v>15.73</v>
    <v>15.77</v>
    <v>16.27</v>
    <v>15.85</v>
    <v>15.61</v>
    <v>14.95</v>
    <v>15.42</v>
    <v>16.399999999999999</v>
    <v>18.16</v>
    <v>18.36</v>
    <v>19</v>
    <v>18.18</v>
    <v>18.14</v>
    <v>17.32</v>
    <v>17.170000000000002</v>
  </a>
  <a r="1" c="27">
    <v>168.27</v>
    <v>165.67</v>
    <v>170.08</v>
    <v>190.49</v>
    <v>191.95</v>
    <v>168.02</v>
    <v>155.29</v>
    <v>151.21</v>
    <v>146.04</v>
    <v>151.63</v>
    <v>162.33000000000001</v>
    <v>160.75</v>
    <v>138.94</v>
    <v>140.56</v>
    <v>141.1</v>
    <v>152.78</v>
    <v>160.85</v>
    <v>173.01</v>
    <v>168.04</v>
    <v>183.53</v>
    <v>224.45</v>
    <v>229.19</v>
    <v>225.37</v>
    <v>204.02</v>
    <v>200.53</v>
    <v>199.31</v>
    <v>194.4</v>
  </a>
  <a r="1" c="27">
    <v>266.77999999999997</v>
    <v>271.47000000000003</v>
    <v>257.08</v>
    <v>253.2</v>
    <v>254.91</v>
    <v>242.59</v>
    <v>259.74</v>
    <v>259.33999999999997</v>
    <v>257.37</v>
    <v>261.05</v>
    <v>260.69</v>
    <v>243</v>
    <v>239.96</v>
    <v>247.42</v>
    <v>250.47</v>
    <v>263.72000000000003</v>
    <v>267.52999999999997</v>
    <v>261.35000000000002</v>
    <v>272.5</v>
    <v>283.12</v>
    <v>279.74</v>
    <v>281.18</v>
    <v>275.67</v>
    <v>272.18</v>
    <v>287.98</v>
    <v>281.01</v>
    <v>292.19</v>
  </a>
  <a r="1">
    <v>436.81</v>
  </a>
  <a r="1" c="27">
    <v>254.27</v>
    <v>236.67</v>
    <v>230.3</v>
    <v>226.91</v>
    <v>233.8</v>
    <v>211.1</v>
    <v>207.59</v>
    <v>207.15</v>
    <v>213.73</v>
    <v>212.37</v>
    <v>211.51</v>
    <v>220.83</v>
    <v>219.16</v>
    <v>222.06</v>
    <v>214.03</v>
    <v>226.96</v>
    <v>219.57</v>
    <v>209.74</v>
    <v>201.4</v>
    <v>195.62</v>
    <v>192.8</v>
    <v>197.46</v>
    <v>208.96</v>
    <v>207.83</v>
    <v>184.28</v>
    <v>178.02</v>
    <v>171.85</v>
  </a>
  <a r="1">
    <v>170.97</v>
  </a>
  <a r="1" c="27">
    <v>54.19</v>
    <v>54.69</v>
    <v>52.1</v>
    <v>52.48</v>
    <v>51.38</v>
    <v>51.41</v>
    <v>52.68</v>
    <v>53.98</v>
    <v>53.67</v>
    <v>58.05</v>
    <v>56.92</v>
    <v>59.91</v>
    <v>58.47</v>
    <v>58.56</v>
    <v>58.04</v>
    <v>58.03</v>
    <v>60.07</v>
    <v>61.66</v>
    <v>65.33</v>
    <v>65.260000000000005</v>
    <v>63.94</v>
    <v>63.86</v>
    <v>64.989999999999995</v>
    <v>61.43</v>
    <v>60.32</v>
    <v>58.18</v>
    <v>63.92</v>
  </a>
  <a r="1" c="27">
    <v>237.82</v>
    <v>244.61</v>
    <v>224.63</v>
    <v>237.8</v>
    <v>241.15</v>
    <v>253.82</v>
    <v>262.08999999999997</v>
    <v>267.56</v>
    <v>269.43</v>
    <v>275.68</v>
    <v>274.29000000000002</v>
    <v>284.33999999999997</v>
    <v>288.77999999999997</v>
    <v>296.33</v>
    <v>293.13</v>
    <v>312.36</v>
    <v>308.18</v>
    <v>304.20999999999998</v>
    <v>322.25</v>
    <v>369.23</v>
    <v>374.72</v>
    <v>388.48</v>
    <v>387</v>
    <v>359.1</v>
    <v>351.68</v>
    <v>358.85</v>
    <v>343.97</v>
  </a>
  <a r="1">
    <v>64.42</v>
  </a>
  <a r="1" c="27">
    <v>167.2</v>
    <v>174.95</v>
    <v>151.58000000000001</v>
    <v>153.69</v>
    <v>157.94999999999999</v>
    <v>149.08000000000001</v>
    <v>144.77000000000001</v>
    <v>142.43</v>
    <v>146.71</v>
    <v>159.01</v>
    <v>158.62</v>
    <v>156.44999999999999</v>
    <v>147.18</v>
    <v>146.32</v>
    <v>145.72</v>
    <v>157.28</v>
    <v>155.96</v>
    <v>150.51</v>
    <v>148.84</v>
    <v>156.27000000000001</v>
    <v>167.78</v>
    <v>164.12</v>
    <v>160.38999999999999</v>
    <v>147.26</v>
    <v>140.49</v>
    <v>133.12</v>
    <v>134.19</v>
  </a>
  <a r="1" c="27">
    <v>71.52</v>
    <v>71.680000000000007</v>
    <v>70.37</v>
    <v>72.239999999999995</v>
    <v>72.64</v>
    <v>68.95</v>
    <v>69.77</v>
    <v>69.59</v>
    <v>70.87</v>
    <v>71.16</v>
    <v>68.7</v>
    <v>67.760000000000005</v>
    <v>68.55</v>
    <v>69.55</v>
    <v>67.959999999999994</v>
    <v>69.72</v>
    <v>71.47</v>
    <v>71.135000000000005</v>
    <v>72.87</v>
    <v>75.22</v>
    <v>76.180000000000007</v>
    <v>76.849999999999994</v>
    <v>79</v>
    <v>78.66</v>
    <v>76.58</v>
    <v>74.87</v>
    <v>74.3</v>
  </a>
  <a r="1">
    <v>44.39</v>
  </a>
  <a r="1" c="27">
    <v>202.96</v>
    <v>203</v>
    <v>196.9</v>
    <v>202.86</v>
    <v>204.81</v>
    <v>198.54</v>
    <v>176.11</v>
    <v>179.61</v>
    <v>172.12</v>
    <v>175.43</v>
    <v>173.52</v>
    <v>176</v>
    <v>178.17</v>
    <v>176.59</v>
    <v>170.1</v>
    <v>171.52</v>
    <v>166.75</v>
    <v>162.13999999999999</v>
    <v>156.13</v>
    <v>155.72</v>
    <v>156.77000000000001</v>
    <v>155.16</v>
    <v>156.59</v>
    <v>162.71</v>
    <v>155.88999999999999</v>
    <v>149.81</v>
    <v>137.61000000000001</v>
  </a>
  <a r="1" c="27">
    <v>160.16</v>
    <v>153.55000000000001</v>
    <v>148.9</v>
    <v>153.08000000000001</v>
    <v>155.56</v>
    <v>157.72</v>
    <v>155.02000000000001</v>
    <v>157.62</v>
    <v>149.97999999999999</v>
    <v>151.13</v>
    <v>150</v>
    <v>149.99</v>
    <v>147.75</v>
    <v>150.02000000000001</v>
    <v>155.9</v>
    <v>162.11000000000001</v>
    <v>166.26</v>
    <v>166.72</v>
    <v>176.9</v>
    <v>180.86</v>
    <v>183.74</v>
    <v>183.93</v>
    <v>186.76</v>
    <v>189.94</v>
    <v>196.82</v>
    <v>201.73</v>
    <v>211.15</v>
  </a>
  <a r="1" c="27">
    <v>18.89</v>
    <v>18.63</v>
    <v>17.2</v>
    <v>16.96</v>
    <v>17.82</v>
    <v>17.59</v>
    <v>18.079999999999998</v>
    <v>17.62</v>
    <v>17.82</v>
    <v>18.38</v>
    <v>19.260000000000002</v>
    <v>20.66</v>
    <v>20.98</v>
    <v>21.19</v>
    <v>20.98</v>
    <v>21.19</v>
    <v>21.17</v>
    <v>21.1</v>
    <v>21.52</v>
    <v>23.21</v>
    <v>21.7</v>
    <v>22.2</v>
    <v>20.74</v>
    <v>19.86</v>
    <v>18.899999999999999</v>
    <v>19.41</v>
    <v>19.45</v>
  </a>
  <a r="1" c="27">
    <v>28.31</v>
    <v>27.06</v>
    <v>25.87</v>
    <v>26.34</v>
    <v>25.14</v>
    <v>24.75</v>
    <v>24.83</v>
    <v>25.59</v>
    <v>25.93</v>
    <v>26.02</v>
    <v>25.28</v>
    <v>24.58</v>
    <v>24.15</v>
    <v>24.65</v>
    <v>24.56</v>
    <v>23.99</v>
    <v>23.49</v>
    <v>23.59</v>
    <v>26.21</v>
    <v>27.13</v>
    <v>28.69</v>
    <v>27.98</v>
    <v>28.01</v>
    <v>28.64</v>
    <v>27.72</v>
    <v>28.31</v>
    <v>29.1</v>
  </a>
  <a r="1" c="27">
    <v>194.86</v>
    <v>190.69</v>
    <v>184.53</v>
    <v>187.02</v>
    <v>189.43</v>
    <v>173.92</v>
    <v>177.38</v>
    <v>177.7</v>
    <v>180.68</v>
    <v>181.94</v>
    <v>178.02</v>
    <v>176.9</v>
    <v>179.13</v>
    <v>183.21</v>
    <v>180.48</v>
    <v>179.37</v>
    <v>182.42</v>
    <v>178.77</v>
    <v>177.67</v>
    <v>173.83</v>
    <v>176.19</v>
    <v>177.4</v>
    <v>177.23</v>
    <v>177.89</v>
    <v>168.96</v>
    <v>161.37</v>
    <v>160.81</v>
  </a>
  <a r="1" c="27">
    <v>37.18</v>
    <v>36.380000000000003</v>
    <v>35.71</v>
    <v>36.090000000000003</v>
    <v>36.24</v>
    <v>33.69</v>
    <v>34.47</v>
    <v>34.68</v>
    <v>35.590000000000003</v>
    <v>36.42</v>
    <v>35.200000000000003</v>
    <v>35.53</v>
    <v>35.65</v>
    <v>36.51</v>
    <v>36.69</v>
    <v>36.82</v>
    <v>37.64</v>
    <v>37.72</v>
    <v>37.15</v>
    <v>37.549999999999997</v>
    <v>38.090000000000003</v>
    <v>37.17</v>
    <v>37.5</v>
    <v>37.25</v>
    <v>35.409999999999997</v>
    <v>34.11</v>
    <v>33.58</v>
  </a>
  <a r="1">
    <v>406.24</v>
  </a>
  <a r="1" c="27">
    <v>243.48</v>
    <v>245.7</v>
    <v>240</v>
    <v>225.61</v>
    <v>219.09</v>
    <v>206</v>
    <v>217.27</v>
    <v>225.18</v>
    <v>226.91</v>
    <v>228.79</v>
    <v>222.89</v>
    <v>234.85</v>
    <v>224.28</v>
    <v>227.13</v>
    <v>212.12</v>
    <v>215.16</v>
    <v>202.37</v>
    <v>206.03</v>
    <v>208</v>
    <v>202.29</v>
    <v>204.53</v>
    <v>204.08</v>
    <v>213.66</v>
    <v>210.6</v>
    <v>205.17</v>
    <v>206</v>
    <v>198.84</v>
  </a>
  <a r="1" c="27">
    <v>60.6</v>
    <v>61.04</v>
    <v>60.84</v>
    <v>63.33</v>
    <v>63.33</v>
    <v>60.53</v>
    <v>56.98</v>
    <v>58.61</v>
    <v>58.63</v>
    <v>60.74</v>
    <v>59.01</v>
    <v>60.01</v>
    <v>58.24</v>
    <v>57.91</v>
    <v>59.05</v>
    <v>61.94</v>
    <v>65.180000000000007</v>
    <v>67.510000000000005</v>
    <v>67.31</v>
    <v>66.33</v>
    <v>69.510000000000005</v>
    <v>67.88</v>
    <v>69.040000000000006</v>
    <v>67.44</v>
    <v>71.98</v>
    <v>66.17</v>
    <v>72.23</v>
  </a>
  <a r="1">
    <v>219.14</v>
  </a>
  <a r="1">
    <v>105.02</v>
  </a>
  <a r="1" c="27">
    <v>129.56</v>
    <v>127.56</v>
    <v>122.63</v>
    <v>121.65</v>
    <v>125.17</v>
    <v>66.69</v>
    <v>63.7</v>
    <v>63.42</v>
    <v>60.84</v>
    <v>61.47</v>
    <v>66.28</v>
    <v>68.75</v>
    <v>67.94</v>
    <v>67.5</v>
    <v>65.59</v>
    <v>69.849999999999994</v>
    <v>66.290000000000006</v>
    <v>67.56</v>
    <v>63.73</v>
    <v>60</v>
    <v>59.36</v>
    <v>61.47</v>
    <v>62.29</v>
    <v>63.1</v>
    <v>56.74</v>
    <v>57.07</v>
    <v>53.9</v>
  </a>
  <a r="1" c="27">
    <v>74.540000000000006</v>
    <v>71.23</v>
    <v>68.02</v>
    <v>71.510000000000005</v>
    <v>74.84</v>
    <v>74.38</v>
    <v>73.19</v>
    <v>73.09</v>
    <v>74.62</v>
    <v>77.36</v>
    <v>80.36</v>
    <v>84.22</v>
    <v>84.68</v>
    <v>86.01</v>
    <v>84.65</v>
    <v>86.89</v>
    <v>80.19</v>
    <v>76.61</v>
    <v>72.63</v>
    <v>75.16</v>
    <v>71.38</v>
    <v>73.37</v>
    <v>69.11</v>
    <v>66.67</v>
    <v>63.78</v>
    <v>66.19</v>
    <v>65.36</v>
  </a>
  <a r="1">
    <v>860.16</v>
  </a>
  <a r="1" c="27">
    <v>58.84</v>
    <v>59.65</v>
    <v>56.66</v>
    <v>56.2</v>
    <v>57.84</v>
    <v>59.49</v>
    <v>57.51</v>
    <v>54.1</v>
    <v>52.41</v>
    <v>54.88</v>
    <v>54.29</v>
    <v>52.94</v>
    <v>53.77</v>
    <v>53.59</v>
    <v>53.52</v>
    <v>56.25</v>
    <v>56.19</v>
    <v>57.3</v>
    <v>59.58</v>
    <v>63.92</v>
    <v>65.400000000000006</v>
    <v>64.14</v>
    <v>64.400000000000006</v>
    <v>58.35</v>
    <v>55.65</v>
    <v>58.07</v>
    <v>54.25</v>
  </a>
  <a r="1">
    <v>55.98</v>
  </a>
  <a r="1">
    <v>65.319999999999993</v>
  </a>
  <a r="1">
    <v>50.31</v>
  </a>
  <a r="1">
    <v>104.56</v>
  </a>
  <a r="1">
    <v>59.11</v>
  </a>
  <a r="1" c="27">
    <v>337.37</v>
    <v>349.84</v>
    <v>343.65</v>
    <v>341.89</v>
    <v>347.38</v>
    <v>340.74</v>
    <v>336.02</v>
    <v>330.02</v>
    <v>327.98</v>
    <v>334.44</v>
    <v>331.24</v>
    <v>347.83</v>
    <v>349.25</v>
    <v>355</v>
    <v>346.48</v>
    <v>349.77</v>
    <v>328.3</v>
    <v>326.18</v>
    <v>321.83</v>
    <v>331.58</v>
    <v>314.08</v>
    <v>320.95</v>
    <v>320.14</v>
    <v>317.36</v>
    <v>307.14</v>
    <v>301.62</v>
    <v>295.52</v>
  </a>
  <a r="1" c="27">
    <v>139.57</v>
    <v>136.69999999999999</v>
    <v>134.55000000000001</v>
    <v>132.69999999999999</v>
    <v>133.99</v>
    <v>128.22999999999999</v>
    <v>129.65</v>
    <v>130.94</v>
    <v>133.61000000000001</v>
    <v>135.88999999999999</v>
    <v>131.66999999999999</v>
    <v>132.11000000000001</v>
    <v>134.22999999999999</v>
    <v>137.80000000000001</v>
    <v>139.13</v>
    <v>135.9</v>
    <v>137.09</v>
    <v>135.79</v>
    <v>134.30000000000001</v>
    <v>132.13</v>
    <v>135.55000000000001</v>
    <v>133.47</v>
    <v>133.86000000000001</v>
    <v>132.79</v>
    <v>126.32</v>
    <v>121.79</v>
    <v>120.57</v>
  </a>
  <a r="1" c="27">
    <v>36.24</v>
    <v>34.32</v>
    <v>31.45</v>
    <v>32.43</v>
    <v>32.619999999999997</v>
    <v>32.340000000000003</v>
    <v>32.869999999999997</v>
    <v>32.28</v>
    <v>32.270000000000003</v>
    <v>33.31</v>
    <v>34.520000000000003</v>
    <v>33.19</v>
    <v>33.020000000000003</v>
    <v>32.54</v>
    <v>31.74</v>
    <v>32.22</v>
    <v>31.335000000000001</v>
    <v>31.08</v>
    <v>31.15</v>
    <v>31.63</v>
    <v>30.5</v>
    <v>31.83</v>
    <v>31.6</v>
    <v>30.47</v>
    <v>30.79</v>
    <v>31.06</v>
    <v>29.74</v>
  </a>
  <a r="1" c="27">
    <v>171.46</v>
    <v>176.35</v>
    <v>168.49</v>
    <v>172.73</v>
    <v>179.28</v>
    <v>170.41</v>
    <v>169.89</v>
    <v>158.18</v>
    <v>157.18</v>
    <v>160.12</v>
    <v>164.73</v>
    <v>153.63</v>
    <v>149.99</v>
    <v>155.01</v>
    <v>155.03</v>
    <v>158.55000000000001</v>
    <v>163.6</v>
    <v>159.16</v>
    <v>165.95</v>
    <v>171.62</v>
    <v>180.97</v>
    <v>175.68</v>
    <v>177.2</v>
    <v>176.19</v>
    <v>179.61</v>
    <v>173.3</v>
    <v>175.42</v>
  </a>
  <a r="1" c="27">
    <v>86.7</v>
    <v>87.9</v>
    <v>87.7</v>
    <v>88.48</v>
    <v>85.89</v>
    <v>87.69</v>
    <v>86.86</v>
    <v>84.1</v>
    <v>84.02</v>
    <v>85.16</v>
    <v>84.52</v>
    <v>84.61</v>
    <v>85.08</v>
    <v>85.39</v>
    <v>82.64</v>
    <v>85.78</v>
    <v>90.61</v>
    <v>92.43</v>
    <v>96.25</v>
    <v>100.53</v>
    <v>101.45</v>
    <v>103.08</v>
    <v>104.86</v>
    <v>100.7</v>
    <v>97.75</v>
    <v>94.69</v>
    <v>94.69</v>
  </a>
  <a r="1" c="27">
    <v>121.78</v>
    <v>148.66999999999999</v>
    <v>138.96</v>
    <v>129.91</v>
    <v>139.79</v>
    <v>146.78</v>
    <v>130.36000000000001</v>
    <v>122.5</v>
    <v>107.3</v>
    <v>128.49</v>
    <v>131.94999999999999</v>
    <v>119.5</v>
    <v>121.35</v>
    <v>118.13</v>
    <v>115.21</v>
    <v>115.27</v>
    <v>108.74</v>
    <v>106.99</v>
    <v>99.48</v>
    <v>82.82</v>
    <v>75.97</v>
    <v>76.11</v>
    <v>75.849999999999994</v>
    <v>77.09</v>
    <v>73.39</v>
    <v>70.89</v>
    <v>66.02</v>
  </a>
  <a r="1">
    <v>201.25</v>
  </a>
  <a r="1">
    <v>225.81</v>
  </a>
  <a r="1" c="27">
    <v>142.5</v>
    <v>145.5</v>
    <v>154.1</v>
    <v>143.1</v>
    <v>153.82</v>
    <v>157.69</v>
    <v>134.65</v>
    <v>131.37</v>
    <v>117.43</v>
    <v>130.68</v>
    <v>128.59</v>
    <v>124.76</v>
    <v>131.12</v>
    <v>131.84</v>
    <v>133.6</v>
    <v>122.89</v>
    <v>129.83000000000001</v>
    <v>136.34</v>
    <v>141.74</v>
    <v>137.49</v>
    <v>141.59</v>
    <v>132.79</v>
    <v>133.5</v>
    <v>132.88999999999999</v>
    <v>133.57</v>
    <v>131.22</v>
    <v>120.77</v>
  </a>
  <a r="1">
    <v>732.89</v>
  </a>
  <a r="1" c="27">
    <v>177.57</v>
    <v>173.07</v>
    <v>175.44</v>
    <v>178.15</v>
    <v>184.63</v>
    <v>200.47</v>
    <v>177.93</v>
    <v>174.01</v>
    <v>154.85</v>
    <v>168.45</v>
    <v>181.76</v>
    <v>183.57</v>
    <v>193.38</v>
    <v>188.71</v>
    <v>167.86</v>
    <v>177.49</v>
    <v>170.96</v>
    <v>169.6</v>
    <v>146.59</v>
    <v>135.9</v>
    <v>131.41</v>
    <v>135.24</v>
    <v>137.19</v>
    <v>157.16</v>
    <v>150.94999999999999</v>
    <v>150.68</v>
    <v>143.06</v>
  </a>
  <a r="1" c="27">
    <v>247.07</v>
    <v>249.04</v>
    <v>243.06</v>
    <v>232.34</v>
    <v>234.94</v>
    <v>218.76</v>
    <v>214.66</v>
    <v>215.84</v>
    <v>223.16</v>
    <v>225.07</v>
    <v>221.24</v>
    <v>217.14</v>
    <v>218.03</v>
    <v>220.34</v>
    <v>221.02</v>
    <v>224.87</v>
    <v>220.41</v>
    <v>218.04</v>
    <v>217.46</v>
    <v>179.1</v>
    <v>181.21</v>
    <v>182.5</v>
    <v>207.57</v>
    <v>214.84</v>
    <v>201.22</v>
    <v>201.75</v>
    <v>182.75</v>
  </a>
  <a r="1">
    <v>424.84</v>
  </a>
  <a r="1" c="27">
    <v>131.81</v>
    <v>135.4</v>
    <v>125.31</v>
    <v>127.39</v>
    <v>126.06</v>
    <v>153.99</v>
    <v>149.44</v>
    <v>152.80000000000001</v>
    <v>151.68</v>
    <v>158.87</v>
    <v>157.22</v>
    <v>157.09</v>
    <v>166.46</v>
    <v>164.625</v>
    <v>163.72</v>
    <v>170.77</v>
    <v>175.77</v>
    <v>176.66</v>
    <v>194.95</v>
    <v>200.59</v>
    <v>176.01</v>
    <v>190.06</v>
    <v>185.25</v>
    <v>179.64</v>
    <v>169.39</v>
    <v>168.88</v>
    <v>161.57</v>
  </a>
  <a r="1">
    <v>357.22</v>
  </a>
  <a r="1">
    <v>429.94</v>
  </a>
  <a r="1" c="27">
    <v>104.41</v>
    <v>104.02</v>
    <v>99.13</v>
    <v>100.67</v>
    <v>102.18</v>
    <v>104</v>
    <v>106.29</v>
    <v>107.16</v>
    <v>106.75</v>
    <v>108.25</v>
    <v>111.68</v>
    <v>116.96</v>
    <v>114.99</v>
    <v>113.97</v>
    <v>113.87</v>
    <v>118.08</v>
    <v>111.69</v>
    <v>107.69</v>
    <v>111.11</v>
    <v>102.8</v>
    <v>104.61</v>
    <v>103.44</v>
    <v>98.38</v>
    <v>97.12</v>
    <v>92</v>
    <v>93.03</v>
    <v>93.29</v>
  </a>
  <a r="1">
    <v>802.89</v>
  </a>
  <a r="1" c="27">
    <v>24</v>
    <v>24.43</v>
    <v>24.4</v>
    <v>22.96</v>
    <v>23.5</v>
    <v>24.42</v>
    <v>23.45</v>
    <v>22.83</v>
    <v>20.52</v>
    <v>21.87</v>
    <v>23.33</v>
    <v>23.87</v>
    <v>24.43</v>
    <v>24.49</v>
    <v>24.17</v>
    <v>22.17</v>
    <v>21.44</v>
    <v>21.05</v>
    <v>21.52</v>
    <v>23.61</v>
    <v>22.69</v>
    <v>21.37</v>
    <v>21.47</v>
    <v>21.13</v>
    <v>21.58</v>
    <v>21.69</v>
    <v>23.94</v>
  </a>
  <a r="1" c="27">
    <v>132.49</v>
    <v>142.19999999999999</v>
    <v>141.33000000000001</v>
    <v>140.41</v>
    <v>139.62</v>
    <v>131.38</v>
    <v>127.65</v>
    <v>129.16</v>
    <v>133.66</v>
    <v>136.38</v>
    <v>142.37</v>
    <v>147.41999999999999</v>
    <v>135.01</v>
    <v>139.41</v>
    <v>141.16999999999999</v>
    <v>147</v>
    <v>156.63999999999999</v>
    <v>158.78</v>
    <v>156.69999999999999</v>
    <v>164.33</v>
    <v>149.30000000000001</v>
    <v>156.41</v>
    <v>157.86000000000001</v>
    <v>146.47</v>
    <v>150.13999999999999</v>
    <v>149.62</v>
    <v>151.4</v>
  </a>
  <a r="1" c="27">
    <v>271</v>
    <v>276.58999999999997</v>
    <v>272.08</v>
    <v>276.75</v>
    <v>277.23</v>
    <v>256.39999999999998</v>
    <v>256.13</v>
    <v>258.58</v>
    <v>267.07</v>
    <v>275.16000000000003</v>
    <v>259.69</v>
    <v>263.60000000000002</v>
    <v>263.58999999999997</v>
    <v>265.75</v>
    <v>262.64</v>
    <v>271.73</v>
    <v>277.07</v>
    <v>281.89999999999998</v>
    <v>281.99</v>
    <v>290.33</v>
    <v>299.17</v>
    <v>304.16000000000003</v>
    <v>308.35000000000002</v>
    <v>282.69</v>
    <v>274.18</v>
    <v>256.48</v>
    <v>261.37</v>
  </a>
  <a r="1">
    <v>153.68</v>
  </a>
  <a r="1" c="27">
    <v>318.09019999999998</v>
    <v>315.29349999999999</v>
    <v>296.41370000000001</v>
    <v>312.99020000000002</v>
    <v>309.54020000000003</v>
    <v>314.45690000000002</v>
    <v>327.22669999999999</v>
    <v>340.87990000000002</v>
    <v>298.80700000000002</v>
    <v>288.09379999999999</v>
    <v>308.3569</v>
    <v>279.54390000000001</v>
    <v>299.61700000000002</v>
    <v>287.54000000000002</v>
    <v>297.97000000000003</v>
    <v>311.87</v>
    <v>337.48</v>
    <v>346.94</v>
    <v>348.36</v>
    <v>366.03</v>
    <v>432.31</v>
    <v>499.88</v>
    <v>524.29</v>
    <v>525.03</v>
    <v>531.13</v>
    <v>519.41</v>
    <v>511.75</v>
  </a>
  <a r="1" c="27">
    <v>247.56</v>
    <v>241.99</v>
    <v>225.32</v>
    <v>242.87</v>
    <v>238.01</v>
    <v>234.13</v>
    <v>228.48</v>
    <v>234.89</v>
    <v>232.32</v>
    <v>265.33999999999997</v>
    <v>281.29000000000002</v>
    <v>279.32</v>
    <v>274.44</v>
    <v>276.83999999999997</v>
    <v>273.74</v>
    <v>300.93</v>
    <v>300.25</v>
    <v>305.60000000000002</v>
    <v>310.88</v>
    <v>320.45</v>
    <v>337.1</v>
    <v>355.03</v>
    <v>355.79</v>
    <v>315.81</v>
    <v>306.07</v>
    <v>309.43</v>
    <v>307.44</v>
  </a>
  <a r="1">
    <v>192.49</v>
  </a>
  <a r="1" c="27">
    <v>121.06100000000001</v>
    <v>115.33199999999999</v>
    <v>122.008</v>
    <v>119.93600000000001</v>
    <v>109.46899999999999</v>
    <v>111.886</v>
    <v>110.366</v>
    <v>111.217</v>
    <v>104.31</v>
    <v>107.58</v>
    <v>100.24</v>
    <v>95.19</v>
    <v>94.39</v>
    <v>94.47</v>
    <v>90.99</v>
    <v>89.46</v>
    <v>88</v>
    <v>86.12</v>
    <v>83.49</v>
    <v>82.2</v>
    <v>76.87</v>
    <v>78.67</v>
    <v>96.24</v>
    <v>99.02</v>
    <v>95.31</v>
    <v>91.82</v>
    <v>93.43</v>
  </a>
  <a r="1" c="27">
    <v>291.54000000000002</v>
    <v>291.31</v>
    <v>285.19</v>
    <v>281.27</v>
    <v>280.94</v>
    <v>260.3</v>
    <v>254.16</v>
    <v>253.09</v>
    <v>253.12</v>
    <v>255.3</v>
    <v>261.63</v>
    <v>266.10000000000002</v>
    <v>257.94</v>
    <v>258.83999999999997</v>
    <v>252.88</v>
    <v>266.02</v>
    <v>260.44</v>
    <v>257.87</v>
    <v>246.82</v>
    <v>231.36</v>
    <v>212.11</v>
    <v>214.47</v>
    <v>214.36</v>
    <v>226.24</v>
    <v>208.52</v>
    <v>208.69</v>
    <v>201.25</v>
  </a>
  <a r="1">
    <v>94.69</v>
  </a>
  <a r="1">
    <v>129.99</v>
  </a>
  <a r="1" c="27">
    <v>790.34</v>
    <v>778.74</v>
    <v>800.6</v>
    <v>813.93</v>
    <v>839.49</v>
    <v>846.01</v>
    <v>824.75</v>
    <v>785.57</v>
    <v>754.68</v>
    <v>753.31</v>
    <v>741.58</v>
    <v>750.32</v>
    <v>758.51</v>
    <v>763.3</v>
    <v>764.11</v>
    <v>800.35</v>
    <v>801.78</v>
    <v>791.27</v>
    <v>820.93</v>
    <v>848.12</v>
    <v>956.19</v>
    <v>928.11</v>
    <v>974.26</v>
    <v>937.2</v>
    <v>969.9</v>
    <v>959.16</v>
    <v>963</v>
  </a>
  <a r="1" c="27">
    <v>55.22</v>
    <v>62.9</v>
    <v>63.75</v>
    <v>65.010000000000005</v>
    <v>66.38</v>
    <v>61.73</v>
    <v>62.42</v>
    <v>57.01</v>
    <v>57.68</v>
    <v>59.06</v>
    <v>59.7</v>
    <v>59.66</v>
    <v>43.94</v>
    <v>42.15</v>
    <v>42.29</v>
    <v>41.37</v>
    <v>43.33</v>
    <v>43.72</v>
    <v>45.93</v>
    <v>50.12</v>
    <v>49.82</v>
    <v>48.27</v>
    <v>48.19</v>
    <v>46.03</v>
    <v>40.549999999999997</v>
    <v>40</v>
    <v>41.6</v>
  </a>
  <a r="1" c="27">
    <v>54.06</v>
    <v>56.03</v>
    <v>53.12</v>
    <v>54.08</v>
    <v>53.7</v>
    <v>53.58</v>
    <v>57.97</v>
    <v>59.9</v>
    <v>57.03</v>
    <v>60.86</v>
    <v>60.68</v>
    <v>55.57</v>
    <v>53.87</v>
    <v>53.93</v>
    <v>53.46</v>
    <v>51.09</v>
    <v>50.54</v>
    <v>55.52</v>
    <v>57.73</v>
    <v>56.79</v>
    <v>58.7</v>
    <v>60.5</v>
    <v>61.42</v>
    <v>61.96</v>
    <v>64.37</v>
    <v>64.67</v>
    <v>67.55</v>
  </a>
  <a r="1">
    <v>344.42</v>
  </a>
  <a r="1" c="27">
    <v>270.27</v>
    <v>278.58999999999997</v>
    <v>272</v>
    <v>268.08999999999997</v>
    <v>259.49</v>
    <v>246.88</v>
    <v>251.49</v>
    <v>244.46</v>
    <v>250.75</v>
    <v>255.83</v>
    <v>256.55</v>
    <v>252.27</v>
    <v>244.94</v>
    <v>244.76</v>
    <v>244.81</v>
    <v>252.47</v>
    <v>257.58</v>
    <v>252.38</v>
    <v>258.31</v>
    <v>271.63</v>
    <v>252.55</v>
    <v>259.12</v>
    <v>256.26</v>
    <v>252.87</v>
    <v>230.84</v>
    <v>225.99</v>
    <v>220.47</v>
  </a>
  <a r="1">
    <v>72.099999999999994</v>
  </a>
  <a r="1" c="27">
    <v>947.27</v>
    <v>980.8</v>
    <v>950.03</v>
    <v>980.37</v>
    <v>913.33</v>
    <v>871.18</v>
    <v>848.25</v>
    <v>834.03</v>
    <v>800</v>
    <v>815.18</v>
    <v>796.91</v>
    <v>818.31</v>
    <v>812.42</v>
    <v>827.94</v>
    <v>845.06</v>
    <v>938.79</v>
    <v>921.24</v>
    <v>919.03</v>
    <v>782.06</v>
    <v>899.55</v>
    <v>869.57</v>
    <v>909.11</v>
    <v>840</v>
    <v>809.6</v>
    <v>737.22</v>
    <v>710.47</v>
    <v>734.3</v>
  </a>
  <a r="1" c="27">
    <v>50.52</v>
    <v>48.5</v>
    <v>45.04</v>
    <v>45.18</v>
    <v>47.3</v>
    <v>48.41</v>
    <v>47.87</v>
    <v>48.73</v>
    <v>48.88</v>
    <v>50.2</v>
    <v>49.2</v>
    <v>46.86</v>
    <v>44.71</v>
    <v>45.25</v>
    <v>47.14</v>
    <v>49.97</v>
    <v>51.75</v>
    <v>53.92</v>
    <v>56.04</v>
    <v>58.92</v>
    <v>61.2</v>
    <v>62.21</v>
    <v>65.260000000000005</v>
    <v>59.81</v>
    <v>54.26</v>
    <v>60.35</v>
    <v>63.22</v>
  </a>
  <a r="1">
    <v>149.56</v>
  </a>
  <a r="1">
    <v>45.97</v>
  </a>
  <a r="1" c="27">
    <v>605.16999999999996</v>
    <v>594.99</v>
    <v>604.55999999999995</v>
    <v>600</v>
    <v>584.39</v>
    <v>585.14</v>
    <v>575.13</v>
    <v>578.30999999999995</v>
    <v>555.84</v>
    <v>599.77</v>
    <v>631.32000000000005</v>
    <v>671.71</v>
    <v>658.28</v>
    <v>663.46</v>
    <v>679.55</v>
    <v>622.5</v>
    <v>681.55</v>
    <v>657.78</v>
    <v>726.37</v>
    <v>779.35</v>
    <v>802.13</v>
    <v>830.34</v>
    <v>873.6</v>
    <v>789.23</v>
    <v>805.02</v>
    <v>851.07</v>
    <v>853.16</v>
  </a>
  <a r="1" c="27">
    <v>344.08</v>
    <v>360.2</v>
    <v>354.5</v>
    <v>356.6</v>
    <v>362.5</v>
    <v>341.56</v>
    <v>324.20999999999998</v>
    <v>321.86</v>
    <v>319.97000000000003</v>
    <v>329.77</v>
    <v>330.91</v>
    <v>341.84</v>
    <v>327.42</v>
    <v>331.83</v>
    <v>336.4</v>
    <v>343.98</v>
    <v>331.02</v>
    <v>356.26</v>
    <v>286.93</v>
    <v>276.64999999999998</v>
    <v>293.19</v>
    <v>290</v>
    <v>293.27</v>
    <v>286.48</v>
    <v>282.08999999999997</v>
    <v>275.58999999999997</v>
    <v>259.02</v>
  </a>
  <a r="1" c="27">
    <v>135.31</v>
    <v>145.63999999999999</v>
    <v>132.08000000000001</v>
    <v>138.16</v>
    <v>144.28</v>
    <v>181.76</v>
    <v>182.28</v>
    <v>169.97</v>
    <v>158.91</v>
    <v>181.89</v>
    <v>200.77</v>
    <v>193.37</v>
    <v>195.18</v>
    <v>198.9</v>
    <v>207.56</v>
    <v>217.26</v>
    <v>228.14500000000001</v>
    <v>229.18</v>
    <v>241.05</v>
    <v>300.11</v>
    <v>314.66000000000003</v>
    <v>324.85000000000002</v>
    <v>320.02999999999997</v>
    <v>273.05</v>
    <v>286.42</v>
    <v>290.83</v>
    <v>295.61</v>
  </a>
  <a r="1">
    <v>88.45</v>
  </a>
  <a r="1">
    <v>200.93</v>
  </a>
  <a r="1" c="27">
    <v>217.51</v>
    <v>252.79</v>
    <v>214.38</v>
    <v>225.4</v>
    <v>234.12</v>
    <v>255.88</v>
    <v>279.35000000000002</v>
    <v>258.20999999999998</v>
    <v>237.49</v>
    <v>276.69</v>
    <v>278.79000000000002</v>
    <v>287.64</v>
    <v>296.36</v>
    <v>286.22000000000003</v>
    <v>287.54000000000002</v>
    <v>304.01</v>
    <v>326.23</v>
    <v>346.1</v>
    <v>407.69</v>
    <v>429.32</v>
    <v>425.99</v>
    <v>411.11</v>
    <v>407.84</v>
    <v>352.8</v>
    <v>383.71</v>
    <v>411.23</v>
    <v>380.07</v>
  </a>
  <a r="1" c="27">
    <v>191.98</v>
    <v>201.97</v>
    <v>194.05</v>
    <v>192.68</v>
    <v>163.32</v>
    <v>153.06</v>
    <v>152.06</v>
    <v>137.54</v>
    <v>141.56</v>
    <v>148.26</v>
    <v>151.86000000000001</v>
    <v>168.5</v>
    <v>163.69</v>
    <v>164.84</v>
    <v>178.46</v>
    <v>181.5</v>
    <v>191.4</v>
    <v>201.89</v>
    <v>179.59</v>
    <v>131.72</v>
    <v>135.35</v>
    <v>151</v>
    <v>154.05000000000001</v>
    <v>144.47</v>
    <v>149.19999999999999</v>
    <v>139.41</v>
    <v>134.03</v>
  </a>
  <a r="1" c="27">
    <v>123.7</v>
    <v>120.22</v>
    <v>118.19</v>
    <v>125.91</v>
    <v>127.99</v>
    <v>126.54</v>
    <v>120.88</v>
    <v>122.02</v>
    <v>114.26</v>
    <v>116.99</v>
    <v>124.32</v>
    <v>128.38999999999999</v>
    <v>135.28</v>
    <v>136.82</v>
    <v>133.01</v>
    <v>139.27000000000001</v>
    <v>130.66</v>
    <v>132.15</v>
    <v>129.37</v>
    <v>122.18</v>
    <v>121.35</v>
    <v>127.89</v>
    <v>135.11000000000001</v>
    <v>133.22999999999999</v>
    <v>126.3</v>
    <v>128.52000000000001</v>
    <v>122.87</v>
  </a>
  <a r="1">
    <v>44.54</v>
  </a>
  <a r="1" c="27">
    <v>106.88</v>
    <v>131.31</v>
    <v>115.42</v>
    <v>126.2</v>
    <v>129.43</v>
    <v>150.21</v>
    <v>162.95500000000001</v>
    <v>157.83000000000001</v>
    <v>139.19</v>
    <v>163.33000000000001</v>
    <v>168.89</v>
    <v>176.34</v>
    <v>181.08</v>
    <v>181.54</v>
    <v>187.7</v>
    <v>200.46</v>
    <v>221.51</v>
    <v>236.39</v>
    <v>250.23</v>
    <v>282.58</v>
    <v>281.58</v>
    <v>285.52</v>
    <v>279.7</v>
    <v>245.25</v>
    <v>272.29000000000002</v>
    <v>293.10000000000002</v>
    <v>275.33999999999997</v>
  </a>
  <a r="1">
    <v>17.170000000000002</v>
  </a>
  <a r="1">
    <v>39.67</v>
  </a>
  <a r="1" c="27">
    <v>243.52</v>
    <v>239.54</v>
    <v>244.71</v>
    <v>239.62</v>
    <v>238.75</v>
    <v>245.64</v>
    <v>256.62</v>
    <v>258.35000000000002</v>
    <v>252.6</v>
    <v>258.17</v>
    <v>252.76</v>
    <v>253.02</v>
    <v>247.27</v>
    <v>256.14999999999998</v>
    <v>248.11</v>
    <v>260.95</v>
    <v>273.55</v>
    <v>276.39</v>
    <v>265.06</v>
    <v>273.36</v>
    <v>275.11</v>
    <v>288.68</v>
    <v>299.72000000000003</v>
    <v>301.27</v>
    <v>289.89999999999998</v>
    <v>283.95</v>
    <v>273</v>
  </a>
  <a r="1">
    <v>261.37</v>
  </a>
  <a r="1">
    <v>211.41</v>
  </a>
  <a r="1" c="27">
    <v>66.06</v>
    <v>67.03</v>
    <v>63.17</v>
    <v>62.98</v>
    <v>63.84</v>
    <v>63.2</v>
    <v>71.900000000000006</v>
    <v>71.430000000000007</v>
    <v>73.400000000000006</v>
    <v>74.569999999999993</v>
    <v>73.62</v>
    <v>76.55</v>
    <v>77.349999999999994</v>
    <v>76.13</v>
    <v>76.819999999999993</v>
    <v>77.64</v>
    <v>79.98</v>
    <v>77.209999999999994</v>
    <v>75.48</v>
    <v>79.72</v>
    <v>78.19</v>
    <v>79.569999999999993</v>
    <v>82.39</v>
    <v>77.599999999999994</v>
    <v>75.569999999999993</v>
    <v>72.290000000000006</v>
    <v>72.099999999999994</v>
  </a>
  <a r="1" c="27">
    <v>136.36000000000001</v>
    <v>137.75</v>
    <v>142.97999999999999</v>
    <v>143.81</v>
    <v>141.59</v>
    <v>128.43</v>
    <v>130.84</v>
    <v>131.62</v>
    <v>132.74</v>
    <v>130.07</v>
    <v>129.5</v>
    <v>131.55000000000001</v>
    <v>130.25</v>
    <v>130.55000000000001</v>
    <v>130.32</v>
    <v>127.98</v>
    <v>133.34</v>
    <v>129.71</v>
    <v>129.13</v>
    <v>124.33</v>
    <v>133.5</v>
    <v>129.37</v>
    <v>136.03</v>
    <v>137.49</v>
    <v>139.69</v>
    <v>135.79</v>
    <v>136.86000000000001</v>
  </a>
  <a r="1" c="27">
    <v>175.32</v>
    <v>168.45</v>
    <v>153.77000000000001</v>
    <v>156.31</v>
    <v>154.6</v>
    <v>146.63999999999999</v>
    <v>145.94</v>
    <v>141.44</v>
    <v>142.66999999999999</v>
    <v>146.41999999999999</v>
    <v>152.15</v>
    <v>151.18</v>
    <v>151.59</v>
    <v>155.41</v>
    <v>158.80000000000001</v>
    <v>157.62</v>
    <v>163.5</v>
    <v>150.47999999999999</v>
    <v>142.41999999999999</v>
    <v>129.69</v>
    <v>129.86000000000001</v>
    <v>121.27</v>
    <v>113.37</v>
    <v>110.4</v>
    <v>106.78</v>
    <v>110.43</v>
    <v>108.07</v>
  </a>
  <a r="1" c="27">
    <v>8032.78</v>
    <v>8178</v>
    <v>7450.9</v>
    <v>7639.06</v>
    <v>7430.92</v>
    <v>7210.82</v>
    <v>7251.24</v>
    <v>7271.89</v>
    <v>7388.82</v>
    <v>7507.29</v>
    <v>7538.08</v>
    <v>7517.81</v>
    <v>7399.71</v>
    <v>7382.16</v>
    <v>7278.87</v>
    <v>7581.67</v>
    <v>7561.54</v>
    <v>7645.15</v>
    <v>7635.73</v>
    <v>8009.84</v>
    <v>7507.43</v>
    <v>7580.6</v>
    <v>7517.79</v>
    <v>6958.83</v>
    <v>6466.56</v>
    <v>6369.38</v>
    <v>6450.76</v>
  </a>
  <a r="1" c="27">
    <v>255.46</v>
    <v>258.02</v>
    <v>245.27</v>
    <v>252.29</v>
    <v>262.82</v>
    <v>270.37</v>
    <v>268.47000000000003</v>
    <v>272.41000000000003</v>
    <v>271.49</v>
    <v>278.85000000000002</v>
    <v>278.77999999999997</v>
    <v>278.27999999999997</v>
    <v>273.67</v>
    <v>273.39999999999998</v>
    <v>271.01</v>
    <v>259.37</v>
    <v>255.53</v>
    <v>248.04</v>
    <v>259.48</v>
    <v>278.12</v>
    <v>255.78</v>
    <v>264.58</v>
    <v>264.18</v>
    <v>257.45999999999998</v>
    <v>250.12</v>
    <v>247.99</v>
    <v>248.8</v>
  </a>
  <a r="1" c="27">
    <v>103.65</v>
    <v>104.43</v>
    <v>98.48</v>
    <v>101.57</v>
    <v>103.5</v>
    <v>97.75</v>
    <v>96.25</v>
    <v>97.03</v>
    <v>98.7</v>
    <v>100.04</v>
    <v>101.03</v>
    <v>103.54</v>
    <v>102.68</v>
    <v>104.32</v>
    <v>104.35</v>
    <v>107.41</v>
    <v>110.22</v>
    <v>112.29</v>
    <v>115.63</v>
    <v>126.51</v>
    <v>131.34</v>
    <v>126.53</v>
    <v>123.27</v>
    <v>106.7</v>
    <v>101.89</v>
    <v>97.22</v>
    <v>103.82</v>
  </a>
  <a r="1" c="27">
    <v>36.99</v>
    <v>34.56</v>
    <v>32.5</v>
    <v>31.74</v>
    <v>32.97</v>
    <v>32.49</v>
    <v>33.700000000000003</v>
    <v>35.840000000000003</v>
    <v>35.65</v>
    <v>37.06</v>
    <v>37.47</v>
    <v>37.520000000000003</v>
    <v>35.840000000000003</v>
    <v>35.67</v>
    <v>37.869999999999997</v>
    <v>35.76</v>
    <v>36.200000000000003</v>
    <v>38.64</v>
    <v>40.21</v>
    <v>43.81</v>
    <v>44.66</v>
    <v>44.39</v>
    <v>43.53</v>
    <v>44.48</v>
    <v>46.25</v>
    <v>48.66</v>
    <v>52.07</v>
  </a>
  <a r="1">
    <v>15.08</v>
  </a>
  <a r="1" c="27">
    <v>278.77</v>
    <v>284.24</v>
    <v>282.99</v>
    <v>280.02</v>
    <v>299.91000000000003</v>
    <v>322.02</v>
    <v>309.56</v>
    <v>313.97000000000003</v>
    <v>305.49</v>
    <v>313.62</v>
    <v>304.58</v>
    <v>326.92</v>
    <v>336.64</v>
    <v>351.13</v>
    <v>349.75</v>
    <v>386.99</v>
    <v>425.9</v>
    <v>418.58</v>
    <v>420.51</v>
    <v>397.77</v>
    <v>418.78</v>
    <v>437.57</v>
    <v>444.52</v>
    <v>429.11</v>
    <v>415.71</v>
    <v>407.98</v>
    <v>381.79</v>
  </a>
  <a r="1">
    <v>39.409999999999997</v>
  </a>
  <a r="1" c="27">
    <v>167.99</v>
    <v>166.61</v>
    <v>161.44999999999999</v>
    <v>166.5</v>
    <v>177.43</v>
    <v>181.46</v>
    <v>180.33</v>
    <v>183.12</v>
    <v>183.58</v>
    <v>185.28</v>
    <v>191.09</v>
    <v>199.12</v>
    <v>196.21</v>
    <v>200.15</v>
    <v>195.75</v>
    <v>201.89</v>
    <v>206.61</v>
    <v>206.71</v>
    <v>201.49</v>
    <v>223.66</v>
    <v>231.63</v>
    <v>233.31</v>
    <v>225.5</v>
    <v>208.42</v>
    <v>203.93</v>
    <v>209.37</v>
    <v>206.6</v>
  </a>
  <a r="1">
    <v>199.34</v>
  </a>
  <a r="1">
    <v>141.32</v>
  </a>
  <a r="1" c="27">
    <v>30.45</v>
    <v>28.38</v>
    <v>25.78</v>
    <v>26.02</v>
    <v>26.32</v>
    <v>26.5</v>
    <v>26.72</v>
    <v>26.15</v>
    <v>25.69</v>
    <v>25.68</v>
    <v>26.04</v>
    <v>26.22</v>
    <v>26.08</v>
    <v>26.22</v>
    <v>26.19</v>
    <v>26.47</v>
    <v>26.25</v>
    <v>26.83</v>
    <v>27.03</v>
    <v>22.5</v>
    <v>22.72</v>
    <v>23.65</v>
    <v>24.29</v>
    <v>24.62</v>
    <v>23.7</v>
    <v>24.05</v>
    <v>24.24</v>
  </a>
  <a r="1">
    <v>205.59</v>
  </a>
  <a r="1">
    <v>167.78</v>
  </a>
  <a r="1" c="27">
    <v>84.06</v>
    <v>94.05</v>
    <v>88.29</v>
    <v>93.42</v>
    <v>98.89</v>
    <v>93.59</v>
    <v>90.78</v>
    <v>92.73</v>
    <v>98.27</v>
    <v>104.41</v>
    <v>100.79</v>
    <v>100.49</v>
    <v>96.24</v>
    <v>96.75</v>
    <v>98.15</v>
    <v>104.43</v>
    <v>112.5</v>
    <v>116.73</v>
    <v>108.8</v>
    <v>101.59</v>
    <v>96.03</v>
    <v>100.33</v>
    <v>98.31</v>
    <v>91.34</v>
    <v>85.57</v>
    <v>85.94</v>
    <v>83.9</v>
  </a>
  <a r="1" c="27">
    <v>26.71</v>
    <v>26.64</v>
    <v>25.55</v>
    <v>27.37</v>
    <v>27.66</v>
    <v>27.67</v>
    <v>26.28</v>
    <v>24.53</v>
    <v>23.96</v>
    <v>24.42</v>
    <v>25.91</v>
    <v>24.74</v>
    <v>23.26</v>
    <v>23.26</v>
    <v>22.12</v>
    <v>21.47</v>
    <v>20.37</v>
    <v>19.43</v>
    <v>19.440000000000001</v>
    <v>19.649999999999999</v>
    <v>19.260000000000002</v>
    <v>18.59</v>
    <v>18.989999999999998</v>
    <v>19.46</v>
    <v>18.93</v>
    <v>18.27</v>
    <v>19.440000000000001</v>
  </a>
  <a r="1">
    <v>198.74</v>
  </a>
  <a r="1" c="27">
    <v>98.48</v>
    <v>94.16</v>
    <v>87.64</v>
    <v>86.48</v>
    <v>88.03</v>
    <v>88.86</v>
    <v>86.83</v>
    <v>91.37</v>
    <v>87.37</v>
    <v>88.69</v>
    <v>93.69</v>
    <v>95.54</v>
    <v>91.94</v>
    <v>91.54</v>
    <v>96.7</v>
    <v>97.51</v>
    <v>98.19</v>
    <v>98.35</v>
    <v>104.23</v>
    <v>107.62</v>
    <v>111.43</v>
    <v>110.53</v>
    <v>113.46</v>
    <v>117.07</v>
    <v>121.89</v>
    <v>126.92</v>
    <v>133.80000000000001</v>
  </a>
  <a r="1">
    <v>23.94</v>
  </a>
  <a r="1" c="27">
    <v>139.83000000000001</v>
    <v>142.82</v>
    <v>141.97999999999999</v>
    <v>151.54</v>
    <v>150.26</v>
    <v>133.54</v>
    <v>133.18</v>
    <v>132.91</v>
    <v>131.46</v>
    <v>133.16999999999999</v>
    <v>129.56</v>
    <v>134.47999999999999</v>
    <v>130.07</v>
    <v>130.79</v>
    <v>130.97</v>
    <v>139.19999999999999</v>
    <v>148.87</v>
    <v>141.52000000000001</v>
    <v>137.97</v>
    <v>140.01</v>
    <v>146.36000000000001</v>
    <v>152.75</v>
    <v>151.03</v>
    <v>146.62</v>
    <v>141.37</v>
    <v>130.26</v>
    <v>128.96</v>
  </a>
  <a r="1" c="27">
    <v>750.72</v>
    <v>763.23</v>
    <v>716.66</v>
    <v>733.59</v>
    <v>772</v>
    <v>772.83</v>
    <v>844.01</v>
    <v>831.95</v>
    <v>839.57</v>
    <v>861.7</v>
    <v>880</v>
    <v>884.87</v>
    <v>874.81</v>
    <v>888.08</v>
    <v>893.98</v>
    <v>920.99</v>
    <v>944.27</v>
    <v>927.99</v>
    <v>935.84</v>
    <v>976.49</v>
    <v>1001.75</v>
    <v>1022.23</v>
    <v>1009.18</v>
    <v>923.72</v>
    <v>889.86</v>
    <v>894.41</v>
    <v>888.44</v>
  </a>
  <a r="1" c="27">
    <v>256.12</v>
    <v>257.68</v>
    <v>251.97</v>
    <v>261.35000000000002</v>
    <v>255.12</v>
    <v>256.37</v>
    <v>232</v>
    <v>235.03</v>
    <v>235.47</v>
    <v>246.07</v>
    <v>247.88</v>
    <v>241.47</v>
    <v>247.4</v>
    <v>256.08999999999997</v>
    <v>251.6</v>
    <v>250.71</v>
    <v>240.14</v>
    <v>245.73</v>
    <v>220.3</v>
    <v>195.59</v>
    <v>193.67</v>
    <v>199.72</v>
    <v>211.48</v>
    <v>211.5</v>
    <v>208.58</v>
    <v>200.63</v>
    <v>189.69</v>
  </a>
  <a r="1" c="27">
    <v>640.57000000000005</v>
    <v>654.41</v>
    <v>663.74</v>
    <v>689.01</v>
    <v>748.24</v>
    <v>675.78</v>
    <v>649.34</v>
    <v>619.86</v>
    <v>581.58000000000004</v>
    <v>615.07000000000005</v>
    <v>623.62</v>
    <v>623.65</v>
    <v>611.41</v>
    <v>627.09</v>
    <v>638.65</v>
    <v>646.27</v>
    <v>698.69</v>
    <v>694.21</v>
    <v>720.73</v>
    <v>764.35</v>
    <v>800.82</v>
    <v>812.79</v>
    <v>724.62</v>
    <v>705.79</v>
    <v>709.91</v>
    <v>724.93</v>
    <v>732.89</v>
  </a>
  <a r="1">
    <v>62.76</v>
  </a>
  <a r="1">
    <v>468.49</v>
  </a>
  <a r="1" c="27">
    <v>43.61</v>
    <v>43.67</v>
    <v>39.85</v>
    <v>40.549999999999997</v>
    <v>38.82</v>
    <v>39.74</v>
    <v>40.03</v>
    <v>41.06</v>
    <v>41.23</v>
    <v>41.11</v>
    <v>41.69</v>
    <v>40.89</v>
    <v>39.82</v>
    <v>40.479999999999997</v>
    <v>40.520000000000003</v>
    <v>40.46</v>
    <v>38.909999999999997</v>
    <v>39.520000000000003</v>
    <v>44.52</v>
    <v>46.31</v>
    <v>49.01</v>
    <v>49.25</v>
    <v>50.14</v>
    <v>51.12</v>
    <v>51.38</v>
    <v>49.98</v>
    <v>50.31</v>
  </a>
  <a r="1" c="27">
    <v>326.89</v>
    <v>314.05</v>
    <v>304.62</v>
    <v>300.31</v>
    <v>316.45</v>
    <v>286.83</v>
    <v>256.01</v>
    <v>252.87</v>
    <v>264.08999999999997</v>
    <v>266.25</v>
    <v>257.66000000000003</v>
    <v>278.86</v>
    <v>293.58999999999997</v>
    <v>285.67</v>
    <v>283.26</v>
    <v>311.5</v>
    <v>276.01</v>
    <v>286.11</v>
    <v>324.64999999999998</v>
    <v>348</v>
    <v>319.61</v>
    <v>315.08999999999997</v>
    <v>310.95999999999998</v>
    <v>278.08</v>
    <v>272.54000000000002</v>
    <v>263.64999999999998</v>
    <v>261.8</v>
  </a>
  <a r="1" c="27">
    <v>249.08</v>
    <v>242.5</v>
    <v>235.83</v>
    <v>240.21</v>
    <v>240.76</v>
    <v>235.7</v>
    <v>263.77</v>
    <v>258.41000000000003</v>
    <v>263.29000000000002</v>
    <v>266.27999999999997</v>
    <v>263.27999999999997</v>
    <v>251.79</v>
    <v>254.34</v>
    <v>255.42</v>
    <v>250.04</v>
    <v>256.82</v>
    <v>268.64999999999998</v>
    <v>259.52</v>
    <v>262.60000000000002</v>
    <v>252.16</v>
    <v>248.35</v>
    <v>250.65</v>
    <v>252.35</v>
    <v>230.51</v>
    <v>214.57</v>
    <v>220.03</v>
    <v>219.4</v>
  </a>
  <a r="1" c="27">
    <v>270.27999999999997</v>
    <v>264.67</v>
    <v>271.45</v>
    <v>267.935</v>
    <v>269.54000000000002</v>
    <v>265.49</v>
    <v>276.5</v>
    <v>285.04000000000002</v>
    <v>273.08999999999997</v>
    <v>281.45999999999998</v>
    <v>270.87</v>
    <v>273.55</v>
    <v>269.08999999999997</v>
    <v>276.73</v>
    <v>269.68</v>
    <v>262.45</v>
    <v>279.5</v>
    <v>282.73500000000001</v>
    <v>289.06</v>
    <v>302.27</v>
    <v>303.07</v>
    <v>308.08999999999997</v>
    <v>319.5</v>
    <v>317.10000000000002</v>
    <v>311.39999999999998</v>
    <v>307.32</v>
    <v>293.77999999999997</v>
  </a>
  <a r="1" c="27">
    <v>76.25</v>
    <v>77.069999999999993</v>
    <v>73.94</v>
    <v>74.64</v>
    <v>76.099999999999994</v>
    <v>82.45</v>
    <v>83.39</v>
    <v>86.3</v>
    <v>85.13</v>
    <v>86.67</v>
    <v>86.19</v>
    <v>83.08</v>
    <v>85.66</v>
    <v>86.85</v>
    <v>85.33</v>
    <v>85.13</v>
    <v>84.35</v>
    <v>83.66</v>
    <v>81.36</v>
    <v>78.709999999999994</v>
    <v>75.87</v>
    <v>79.78</v>
    <v>86.47</v>
    <v>81.64</v>
    <v>81.81</v>
    <v>82.5</v>
    <v>79.34</v>
  </a>
  <a r="1" c="27">
    <v>164.89</v>
    <v>153.27000000000001</v>
    <v>160.47</v>
    <v>158.06</v>
    <v>157.62</v>
    <v>144.33000000000001</v>
    <v>153.38999999999999</v>
    <v>155.43</v>
    <v>155.24</v>
    <v>157.47999999999999</v>
    <v>147.81</v>
    <v>153.65</v>
    <v>156.84</v>
    <v>161.05000000000001</v>
    <v>160.30000000000001</v>
    <v>162.61000000000001</v>
    <v>173.62</v>
    <v>173.02</v>
    <v>179.44</v>
    <v>182.81</v>
    <v>187.51</v>
    <v>183.4</v>
    <v>186.83</v>
    <v>169.98</v>
    <v>174.66</v>
    <v>163.11000000000001</v>
    <v>163.54</v>
  </a>
  <a r="1" c="27">
    <v>90.88</v>
    <v>90.79</v>
    <v>92.47</v>
    <v>86.51</v>
    <v>87.15</v>
    <v>86.31</v>
    <v>89.57</v>
    <v>92.52</v>
    <v>92.46</v>
    <v>93.92</v>
    <v>91.72</v>
    <v>93.92</v>
    <v>96.2</v>
    <v>95.87</v>
    <v>93.86</v>
    <v>95.18</v>
    <v>90.65</v>
    <v>92.96</v>
    <v>96.04</v>
    <v>100.95</v>
    <v>98.38</v>
    <v>98.49</v>
    <v>100.15</v>
    <v>97.21</v>
    <v>93.47</v>
    <v>92.3</v>
    <v>93.42</v>
  </a>
  <a r="1">
    <v>102.1</v>
  </a>
  <a r="1" c="27">
    <v>29.18</v>
    <v>28.64</v>
    <v>27.94</v>
    <v>28.52</v>
    <v>28.87</v>
    <v>28.15</v>
    <v>28.01</v>
    <v>28.39</v>
    <v>28.19</v>
    <v>28.2</v>
    <v>27.14</v>
    <v>26.35</v>
    <v>27.05</v>
    <v>27.45</v>
    <v>27.72</v>
    <v>26.5</v>
    <v>27.65</v>
    <v>27.19</v>
    <v>26.73</v>
    <v>26.34</v>
    <v>26.99</v>
    <v>25.3</v>
    <v>26.34</v>
    <v>26.21</v>
    <v>24.99</v>
    <v>24.39</v>
    <v>24.47</v>
  </a>
  <a r="1" c="27">
    <v>334.53</v>
    <v>338.37</v>
    <v>324.63</v>
    <v>349.33</v>
    <v>354.13</v>
    <v>369.63</v>
    <v>349.43</v>
    <v>342.46</v>
    <v>340.2</v>
    <v>402.96</v>
    <v>390.24</v>
    <v>359.93</v>
    <v>340.36</v>
    <v>352.13</v>
    <v>347.62</v>
    <v>344.97</v>
    <v>351.71</v>
    <v>320.05</v>
    <v>331.3</v>
    <v>332.92</v>
    <v>325.17</v>
    <v>332.65</v>
    <v>319.55</v>
    <v>330.48</v>
    <v>322.16000000000003</v>
    <v>310.51</v>
    <v>300.68</v>
  </a>
  <a r="1">
    <v>60.69</v>
  </a>
  <a r="1" c="27">
    <v>69.31</v>
    <v>71.930000000000007</v>
    <v>65.22</v>
    <v>67.37</v>
    <v>69.11</v>
    <v>64.59</v>
    <v>61.09</v>
    <v>64.17</v>
    <v>62.8</v>
    <v>64.63</v>
    <v>65.86</v>
    <v>67.47</v>
    <v>58.71</v>
    <v>60.93</v>
    <v>63.28</v>
    <v>65.92</v>
    <v>64.38</v>
    <v>65.040000000000006</v>
    <v>61.81</v>
    <v>63.92</v>
    <v>63.13</v>
    <v>65.400000000000006</v>
    <v>62.18</v>
    <v>57.01</v>
    <v>53.98</v>
    <v>52.37</v>
    <v>51.37</v>
  </a>
  <a r="1" c="27">
    <v>184.55</v>
    <v>180.32</v>
    <v>171.7</v>
    <v>176.58</v>
    <v>169.13</v>
    <v>161.46</v>
    <v>160.55000000000001</v>
    <v>159.33000000000001</v>
    <v>159.4</v>
    <v>168.27</v>
    <v>182.54</v>
    <v>179.42</v>
    <v>176.29</v>
    <v>176.88</v>
    <v>177.52</v>
    <v>190.31</v>
    <v>191.58</v>
    <v>193.31</v>
    <v>215.55</v>
    <v>221.44</v>
    <v>226.16</v>
    <v>219.73</v>
    <v>212.11</v>
    <v>193.23</v>
    <v>190.78</v>
    <v>187.19</v>
    <v>190.33</v>
  </a>
  <a r="1">
    <v>136.44999999999999</v>
  </a>
  <a r="1">
    <v>18.489999999999998</v>
  </a>
  <a r="1" c="27">
    <v>27.04</v>
    <v>27.27</v>
    <v>21.86</v>
    <v>21.45</v>
    <v>22.225000000000001</v>
    <v>20.100000000000001</v>
    <v>19.82</v>
    <v>19.78</v>
    <v>21.32</v>
    <v>23.27</v>
    <v>23.24</v>
    <v>24.53</v>
    <v>24.38</v>
    <v>24.79</v>
    <v>23.56</v>
    <v>24.63</v>
    <v>24.35</v>
    <v>23.35</v>
    <v>20.7</v>
    <v>20.52</v>
    <v>18.14</v>
    <v>21.23</v>
    <v>25.05</v>
    <v>26.4</v>
    <v>28.06</v>
    <v>26.76</v>
    <v>25.85</v>
  </a>
  <a r="1" c="27">
    <v>188.12</v>
    <v>193.18</v>
    <v>181.17</v>
    <v>188.19</v>
    <v>184.82</v>
    <v>180.15</v>
    <v>178.06</v>
    <v>173.83</v>
    <v>174.72</v>
    <v>179.58</v>
    <v>177.72</v>
    <v>182.28</v>
    <v>189.87</v>
    <v>188.37</v>
    <v>187.21</v>
    <v>202.36</v>
    <v>214.62</v>
    <v>206.17</v>
    <v>199.35</v>
    <v>216.27</v>
    <v>211.5</v>
    <v>217.27</v>
    <v>213.85</v>
    <v>203.18</v>
    <v>202.37</v>
    <v>203.05</v>
    <v>192.49</v>
  </a>
  <a r="1" c="27">
    <v>264.08999999999997</v>
    <v>257.2</v>
    <v>239.45</v>
    <v>235.73</v>
    <v>250.21</v>
    <v>248.34</v>
    <v>230.57</v>
    <v>231.03</v>
    <v>234.18</v>
    <v>232.74</v>
    <v>229.77</v>
    <v>233.89</v>
    <v>250.76</v>
    <v>252.61</v>
    <v>237.03</v>
    <v>248.02</v>
    <v>230.67</v>
    <v>231.76</v>
    <v>209.61</v>
    <v>156.33000000000001</v>
    <v>158.58000000000001</v>
    <v>153.72999999999999</v>
    <v>157.19999999999999</v>
    <v>169</v>
    <v>166.74</v>
    <v>161.41</v>
    <v>155.41999999999999</v>
  </a>
  <a r="1" c="27">
    <v>139.07</v>
    <v>151.82</v>
    <v>158.74</v>
    <v>152.87</v>
    <v>156.47</v>
    <v>162.81</v>
    <v>191.24</v>
    <v>185.01</v>
    <v>157.55000000000001</v>
    <v>160.01</v>
    <v>151.41</v>
    <v>146</v>
    <v>140.38999999999999</v>
    <v>138.315</v>
    <v>133.77000000000001</v>
    <v>125.49</v>
    <v>119.02</v>
    <v>130.13</v>
    <v>129.32</v>
    <v>111.69</v>
    <v>125.2</v>
    <v>115.66</v>
    <v>111.96</v>
    <v>125.75</v>
    <v>124.52</v>
    <v>125.08</v>
    <v>114.48</v>
  </a>
  <a r="1" c="27">
    <v>74.785799999999995</v>
    <v>75.7517</v>
    <v>76.530299999999997</v>
    <v>72.982200000000006</v>
    <v>73.948099999999997</v>
    <v>70.311300000000003</v>
    <v>73.888900000000007</v>
    <v>75.889700000000005</v>
    <v>76.973799999999997</v>
    <v>76.569699999999997</v>
    <v>65.757900000000006</v>
    <v>68.330299999999994</v>
    <v>69.37</v>
    <v>70.569999999999993</v>
    <v>69.36</v>
    <v>68.44</v>
    <v>67.88</v>
    <v>67.12</v>
    <v>68.58</v>
    <v>70.41</v>
    <v>69.7</v>
    <v>71.08</v>
    <v>71.7</v>
    <v>69.92</v>
    <v>68.760000000000005</v>
    <v>65.739999999999995</v>
    <v>64.739999999999995</v>
  </a>
  <a r="1" c="27">
    <v>261.75</v>
    <v>258.43</v>
    <v>259.52999999999997</v>
    <v>260.27</v>
    <v>267.77</v>
    <v>256.95999999999998</v>
    <v>273.32</v>
    <v>269.67</v>
    <v>274.48</v>
    <v>285.02999999999997</v>
    <v>272.25</v>
    <v>280.24</v>
    <v>292.25</v>
    <v>293.48</v>
    <v>292.98</v>
    <v>300.36</v>
    <v>300.85000000000002</v>
    <v>298.11</v>
    <v>298.51</v>
    <v>314.38</v>
    <v>314.62</v>
    <v>315.95999999999998</v>
    <v>311.77999999999997</v>
    <v>298.64</v>
    <v>291.55</v>
    <v>292.58</v>
    <v>294.04000000000002</v>
  </a>
  <a r="1">
    <v>90.3</v>
  </a>
  <a r="1" c="27">
    <v>133.11000000000001</v>
    <v>133.46</v>
    <v>129.02000000000001</v>
    <v>124.46</v>
    <v>125.11</v>
    <v>124.18</v>
    <v>129.41</v>
    <v>133.85</v>
    <v>136.44999999999999</v>
    <v>137.03</v>
    <v>129.43</v>
    <v>135.30000000000001</v>
    <v>139.01</v>
    <v>138.66999999999999</v>
    <v>137.11000000000001</v>
    <v>136.26</v>
    <v>129.59</v>
    <v>128.62</v>
    <v>135.06</v>
    <v>142.56</v>
    <v>141.25</v>
    <v>142.19</v>
    <v>140.83000000000001</v>
    <v>139.25</v>
    <v>132.93</v>
    <v>132.65</v>
    <v>132.32</v>
  </a>
  <a r="1" c="27">
    <v>289.69</v>
    <v>282.33</v>
    <v>283.13</v>
    <v>286.67</v>
    <v>285.3</v>
    <v>266.8</v>
    <v>262.60000000000002</v>
    <v>273.91000000000003</v>
    <v>277.02</v>
    <v>277.27</v>
    <v>290.63</v>
    <v>292.47000000000003</v>
    <v>288.54000000000002</v>
    <v>292.13</v>
    <v>284.89999999999998</v>
    <v>294.45</v>
    <v>288.60000000000002</v>
    <v>286.68</v>
    <v>254.36</v>
    <v>207.32</v>
    <v>205.79</v>
    <v>195.05</v>
    <v>216.81</v>
    <v>225.87</v>
    <v>205.65</v>
    <v>209.27</v>
    <v>198.33</v>
  </a>
  <a r="1" c="27">
    <v>64.53</v>
    <v>63.3</v>
    <v>61.67</v>
    <v>62.21</v>
    <v>63.42</v>
    <v>59.44</v>
    <v>59.71</v>
    <v>59.42</v>
    <v>60.55</v>
    <v>61.75</v>
    <v>61.06</v>
    <v>60.95</v>
    <v>61.37</v>
    <v>63.09</v>
    <v>62.03</v>
    <v>60.44</v>
    <v>62.04</v>
    <v>62.09</v>
    <v>62.32</v>
    <v>63.89</v>
    <v>63.86</v>
    <v>62.6</v>
    <v>63.21</v>
    <v>62.72</v>
    <v>59.99</v>
    <v>57.98</v>
    <v>58.75</v>
  </a>
  <a r="1">
    <v>473.36</v>
  </a>
  <a r="1">
    <v>4062.14</v>
  </a>
  <a r="1" c="27">
    <v>293.56</v>
    <v>297.39</v>
    <v>292.33999999999997</v>
    <v>283.87</v>
    <v>293.2</v>
    <v>289.10000000000002</v>
    <v>290.66000000000003</v>
    <v>289.39</v>
    <v>277.77999999999997</v>
    <v>278.69</v>
    <v>278.5</v>
    <v>286.95</v>
    <v>287.45</v>
    <v>296.77</v>
    <v>304.48</v>
    <v>335.77</v>
    <v>346.46</v>
    <v>354.73</v>
    <v>342.85</v>
    <v>349.66</v>
    <v>345.5</v>
    <v>356.14</v>
    <v>364.54</v>
    <v>366.61</v>
    <v>358.96</v>
    <v>352.85</v>
    <v>343</v>
  </a>
  <a r="1">
    <v>147.74</v>
  </a>
  <a r="1">
    <v>52.07</v>
  </a>
  <a r="1">
    <v>37.840000000000003</v>
  </a>
  <a r="1" c="27">
    <v>277.76</v>
    <v>284.56</v>
    <v>270.12</v>
    <v>262.01</v>
    <v>269.89</v>
    <v>268.62</v>
    <v>279.81</v>
    <v>287.29000000000002</v>
    <v>290.07</v>
    <v>292.86</v>
    <v>280.89</v>
    <v>285.31</v>
    <v>292.92</v>
    <v>292.12</v>
    <v>285.19</v>
    <v>281.95999999999998</v>
    <v>269.42</v>
    <v>277.72000000000003</v>
    <v>284.51</v>
    <v>301.49</v>
    <v>294.20999999999998</v>
    <v>304.93</v>
    <v>308.64</v>
    <v>306.31</v>
    <v>302.49</v>
    <v>296.60000000000002</v>
    <v>285.27</v>
  </a>
  <a r="1" c="27">
    <v>174.19</v>
    <v>162.30000000000001</v>
    <v>152.41</v>
    <v>148.66999999999999</v>
    <v>153.77000000000001</v>
    <v>154.04</v>
    <v>172.06</v>
    <v>173.1</v>
    <v>170.54</v>
    <v>175.31</v>
    <v>180.74</v>
    <v>183.19</v>
    <v>178.93</v>
    <v>182.9</v>
    <v>186.77</v>
    <v>176.86</v>
    <v>185.35</v>
    <v>191.5</v>
    <v>200.98</v>
    <v>211.44</v>
    <v>223.89</v>
    <v>231.35</v>
    <v>235.8</v>
    <v>237.2</v>
    <v>240.05</v>
    <v>237.41</v>
    <v>250.23</v>
  </a>
  <a r="1" c="27">
    <v>109.76</v>
    <v>112.23</v>
    <v>107.21</v>
    <v>108.79</v>
    <v>109.73</v>
    <v>106.35</v>
    <v>107.36</v>
    <v>104.33</v>
    <v>104.79</v>
    <v>105.24</v>
    <v>104.25</v>
    <v>106.01</v>
    <v>103.87</v>
    <v>105.68</v>
    <v>105.47</v>
    <v>103.06</v>
    <v>107.3</v>
    <v>107.55</v>
    <v>105.37</v>
    <v>97.35</v>
    <v>101.37</v>
    <v>102.03</v>
    <v>99.19</v>
    <v>92.17</v>
    <v>88.29</v>
    <v>86.49</v>
    <v>84.92</v>
  </a>
  <a r="1" c="27">
    <v t="i">1</v>
    <v t="i">8</v>
    <v t="i">15</v>
    <v t="i">22</v>
    <v t="i">29</v>
    <v t="i">36</v>
    <v t="i">43</v>
    <v t="i">50</v>
    <v t="i">57</v>
    <v t="i">64</v>
    <v t="i">71</v>
    <v t="i">78</v>
    <v t="i">85</v>
    <v t="i">92</v>
    <v t="i">99</v>
    <v t="i">106</v>
    <v t="i">113</v>
    <v t="i">120</v>
    <v t="i">127</v>
    <v t="i">134</v>
    <v t="i">141</v>
    <v t="i">148</v>
    <v t="i">155</v>
    <v t="i">162</v>
    <v t="i">169</v>
    <v t="i">176</v>
    <v t="i">183</v>
  </a>
  <a r="1" c="27">
    <v>591.4</v>
    <v>643.4</v>
    <v>624.4</v>
    <v>596.79999999999995</v>
    <v>639.6</v>
    <v>625.6</v>
    <v>608.20000000000005</v>
    <v>621.20000000000005</v>
    <v>570</v>
    <v>595</v>
    <v>586.79999999999995</v>
    <v>560.20000000000005</v>
    <v>576.6</v>
    <v>586</v>
    <v>610</v>
    <v>625.4</v>
    <v>640.79999999999995</v>
    <v>635</v>
    <v>626</v>
    <v>630</v>
    <v>642</v>
    <v>673</v>
    <v>565.79999999999995</v>
    <v>538</v>
    <v>499.3</v>
    <v>485</v>
    <v>492</v>
  </a>
  <a r="1" c="27">
    <v>36.72</v>
    <v>36.700000000000003</v>
    <v>37.229999999999997</v>
    <v>37.44</v>
    <v>37.35</v>
    <v>36.520000000000003</v>
    <v>36.58</v>
    <v>36.76</v>
    <v>36.119999999999997</v>
    <v>36.9</v>
    <v>33.86</v>
    <v>33.99</v>
    <v>34.29</v>
    <v>35.08</v>
    <v>35.11</v>
    <v>34.590000000000003</v>
    <v>36.83</v>
    <v>36.21</v>
    <v>36.25</v>
    <v>35.92</v>
    <v>37.82</v>
    <v>37.44</v>
    <v>38.979999999999997</v>
    <v>38.549999999999997</v>
    <v>38.51</v>
    <v>36.549999999999997</v>
    <v>37.65</v>
  </a>
  <a r="1" c="27">
    <v>98.18</v>
    <v>97.32</v>
    <v>95.41</v>
    <v>99.24</v>
    <v>101.11</v>
    <v>100.72</v>
    <v>100.02</v>
    <v>102.69</v>
    <v>96.88</v>
    <v>101.58</v>
    <v>97.52</v>
    <v>92.58</v>
    <v>95.61</v>
    <v>96.06</v>
    <v>94.71</v>
    <v>97.64</v>
    <v>88.07</v>
    <v>92.51</v>
    <v>93.53</v>
    <v>76.27</v>
    <v>74.73</v>
    <v>74.58</v>
    <v>76.849999999999994</v>
    <v>71.349999999999994</v>
    <v>69.13</v>
    <v>69.48</v>
    <v>69.17</v>
  </a>
  <a r="1">
    <v>117.16</v>
  </a>
  <a r="1" c="27">
    <v>9.52</v>
    <v>10.19</v>
    <v>9.74</v>
    <v>10.17</v>
    <v>10.35</v>
    <v>10.36</v>
    <v>10.119999999999999</v>
    <v>10.72</v>
    <v>10.46</v>
    <v>10.69</v>
    <v>10.93</v>
    <v>11.65</v>
    <v>11.93</v>
    <v>12.32</v>
    <v>12.46</v>
    <v>12.76</v>
    <v>12.86</v>
    <v>13.21</v>
    <v>13.09</v>
    <v>14.58</v>
    <v>15.77</v>
    <v>15.92</v>
    <v>14.93</v>
    <v>14.16</v>
    <v>13.51</v>
    <v>13.2</v>
    <v>13.05</v>
  </a>
  <a r="1" c="27">
    <v>122.23</v>
    <v>122.58</v>
    <v>119.57</v>
    <v>121.44</v>
    <v>118.93</v>
    <v>119.71</v>
    <v>103.85</v>
    <v>104.015</v>
    <v>105.18</v>
    <v>109.12</v>
    <v>102.96</v>
    <v>103.15</v>
    <v>100.65</v>
    <v>101</v>
    <v>101.4</v>
    <v>97.92</v>
    <v>99.32</v>
    <v>102.23</v>
    <v>99.99</v>
    <v>104.33</v>
    <v>109.41</v>
    <v>109.02</v>
    <v>111.44</v>
    <v>104.58</v>
    <v>98.84</v>
    <v>98.2</v>
    <v>98.66</v>
  </a>
  <a r="1">
    <v>161.57</v>
  </a>
  <a r="1" c="27">
    <v>67.209999999999994</v>
    <v>68.22</v>
    <v>67.760000000000005</v>
    <v>69.849999999999994</v>
    <v>73.989999999999995</v>
    <v>73.91</v>
    <v>74.099999999999994</v>
    <v>74.150000000000006</v>
    <v>74.36</v>
    <v>74.97</v>
    <v>74.97</v>
    <v>75</v>
    <v>74.95</v>
    <v>74.5</v>
    <v>74.56</v>
    <v>74.87</v>
    <v>74.98</v>
    <v>75.05</v>
    <v>74.930000000000007</v>
    <v>74.81</v>
    <v>75.040000000000006</v>
    <v>75.430000000000007</v>
    <v>75.36</v>
    <v>75.739999999999995</v>
    <v>75.12</v>
    <v>75.41</v>
    <v>75.67</v>
  </a>
  <a r="1" c="27">
    <v>74.069999999999993</v>
    <v>76.62</v>
    <v>77.47</v>
    <v>77.98</v>
    <v>77.959999999999994</v>
    <v>76.81</v>
    <v>75.59</v>
    <v>76.47</v>
    <v>75.849999999999994</v>
    <v>77.650000000000006</v>
    <v>73.28</v>
    <v>73.8</v>
    <v>72.47</v>
    <v>72.77</v>
    <v>73.08</v>
    <v>72.819999999999993</v>
    <v>76.44</v>
    <v>75.69</v>
    <v>76.73</v>
    <v>76.75</v>
    <v>82.69</v>
    <v>80.260000000000005</v>
    <v>83.66</v>
    <v>83.36</v>
    <v>82.63</v>
    <v>78.7</v>
    <v>80.849999999999994</v>
  </a>
  <a r="1">
    <v>27.19</v>
  </a>
  <a r="1" c="27">
    <v>262.47000000000003</v>
    <v>271.22000000000003</v>
    <v>266.02</v>
    <v>263.06</v>
    <v>258.14999999999998</v>
    <v>254.37</v>
    <v>204.31</v>
    <v>206.96</v>
    <v>189.63</v>
    <v>198.37</v>
    <v>225</v>
    <v>227.49</v>
    <v>234.25</v>
    <v>233.95</v>
    <v>219.79</v>
    <v>215.56</v>
    <v>205.32</v>
    <v>207.23</v>
    <v>204.62</v>
    <v>182.47</v>
    <v>160.34</v>
    <v>176.29</v>
    <v>176.47</v>
    <v>179.17</v>
    <v>161.36000000000001</v>
    <v>156.63999999999999</v>
    <v>146.6</v>
  </a>
  <a r="1" c="27">
    <v>613.74</v>
    <v>634.77</v>
    <v>632.38</v>
    <v>625.4</v>
    <v>621.23</v>
    <v>613.1</v>
    <v>610.64</v>
    <v>596.44000000000005</v>
    <v>603.17999999999995</v>
    <v>623.24</v>
    <v>624.37</v>
    <v>628.25</v>
    <v>633.94000000000005</v>
    <v>645.01</v>
    <v>634.44000000000005</v>
    <v>666.67</v>
    <v>651.66</v>
    <v>649.48</v>
    <v>651.95000000000005</v>
    <v>690</v>
    <v>678.86</v>
    <v>685.94</v>
    <v>676.57</v>
    <v>609.99</v>
    <v>583.75</v>
    <v>560.69000000000005</v>
    <v>570.94000000000005</v>
  </a>
  <a r="1" c="27">
    <v>143.5</v>
    <v>146.41999999999999</v>
    <v>141.11000000000001</v>
    <v>144.06</v>
    <v>145.94</v>
    <v>144.09</v>
    <v>120.24</v>
    <v>120.82</v>
    <v>122.06</v>
    <v>128.18</v>
    <v>118.65</v>
    <v>118.66</v>
    <v>122.24</v>
    <v>126.23</v>
    <v>125.92</v>
    <v>127.17</v>
    <v>124.65</v>
    <v>124.05</v>
    <v>124.82</v>
    <v>127.42</v>
    <v>126.65</v>
    <v>128.78</v>
    <v>131.1</v>
    <v>121.43</v>
    <v>115.62</v>
    <v>115.67</v>
    <v>113.35</v>
  </a>
  <a r="1" c="27">
    <v>88.1</v>
    <v>88.22</v>
    <v>89.86</v>
    <v>92.74</v>
    <v>105.64</v>
    <v>98.23</v>
    <v>97.18</v>
    <v>115.14</v>
    <v>116.82</v>
    <v>129.99</v>
    <v>125.19</v>
    <v>132.74</v>
    <v>145.88</v>
    <v>150.01</v>
    <v>143.93</v>
    <v>161.29</v>
    <v>163.04</v>
    <v>189.51</v>
    <v>170.63</v>
    <v>163.37</v>
    <v>166.35</v>
    <v>168.42</v>
    <v>178.67</v>
    <v>162.29</v>
    <v>158.22</v>
    <v>156.69999999999999</v>
    <v>179.45</v>
  </a>
  <a r="1" c="27">
    <v>93.78</v>
    <v>94.95</v>
    <v>95.94</v>
    <v>87.91</v>
    <v>88</v>
    <v>79.739999999999995</v>
    <v>78.540000000000006</v>
    <v>80.7</v>
    <v>80.319999999999993</v>
    <v>80.430000000000007</v>
    <v>78.37</v>
    <v>81.62</v>
    <v>80.180000000000007</v>
    <v>80.78</v>
    <v>77.62</v>
    <v>80.64</v>
    <v>80.010000000000005</v>
    <v>79.180000000000007</v>
    <v>72.099999999999994</v>
    <v>73.78</v>
    <v>68.47</v>
    <v>69.59</v>
    <v>71.819999999999993</v>
    <v>73.5</v>
    <v>68.260000000000005</v>
    <v>67.05</v>
    <v>63.43</v>
  </a>
  <a r="1" c="27">
    <v>405.44</v>
    <v>421.17</v>
    <v>417.61</v>
    <v>433.85</v>
    <v>440.93</v>
    <v>449.13</v>
    <v>445.01</v>
    <v>429.3</v>
    <v>430.15</v>
    <v>464.88</v>
    <v>460.64</v>
    <v>438.11</v>
    <v>426.66</v>
    <v>432.67</v>
    <v>439.68</v>
    <v>422.57</v>
    <v>466.75</v>
    <v>468.76</v>
    <v>474.63</v>
    <v>508.11</v>
    <v>524.08000000000004</v>
    <v>552.66</v>
    <v>563.08000000000004</v>
    <v>540.19000000000005</v>
    <v>559.02</v>
    <v>555.39</v>
    <v>549.98</v>
  </a>
  <a r="1" c="27">
    <v>22.96</v>
    <v>23.82</v>
    <v>20.65</v>
    <v>21.89</v>
    <v>24.81</v>
    <v>23.85</v>
    <v>22.29</v>
    <v>22.93</v>
    <v>22.2</v>
    <v>23.85</v>
    <v>22.96</v>
    <v>23.97</v>
    <v>23.26</v>
    <v>23.29</v>
    <v>24.27</v>
    <v>26.33</v>
    <v>27.57</v>
    <v>28.25</v>
    <v>27.55</v>
    <v>31.78</v>
    <v>32.49</v>
    <v>30.52</v>
    <v>30.73</v>
    <v>33.28</v>
    <v>36.619999999999997</v>
    <v>36.65</v>
    <v>40.82</v>
  </a>
  <a r="1" c="27">
    <v>138.13</v>
    <v>138.04</v>
    <v>133.65</v>
    <v>131.78</v>
    <v>138.69999999999999</v>
    <v>150.05000000000001</v>
    <v>144.31</v>
    <v>147.78</v>
    <v>152.35</v>
    <v>159.49</v>
    <v>159.44999999999999</v>
    <v>165.11</v>
    <v>159.15</v>
    <v>166.35</v>
    <v>169.4</v>
    <v>163.77000000000001</v>
    <v>174.39</v>
    <v>181.65</v>
    <v>177.72</v>
    <v>192.84</v>
    <v>183.23</v>
    <v>180.01</v>
    <v>176.88</v>
    <v>168.75</v>
    <v>163.47999999999999</v>
    <v>158.58000000000001</v>
    <v>163.37</v>
  </a>
  <a r="1" c="27">
    <v>118.2</v>
    <v>128.55000000000001</v>
    <v>122.5</v>
    <v>122.54</v>
    <v>124.06</v>
    <v>116.17</v>
    <v>109.42</v>
    <v>103.44</v>
    <v>101.62</v>
    <v>112.23</v>
    <v>110.01</v>
    <v>108.48</v>
    <v>103.79</v>
    <v>103.99</v>
    <v>104.63</v>
    <v>124.66</v>
    <v>126.79</v>
    <v>122.36</v>
    <v>114.4</v>
    <v>124.42</v>
    <v>114.73</v>
    <v>110.55</v>
    <v>104.29</v>
    <v>93.12</v>
    <v>88.09</v>
    <v>81.22</v>
    <v>80.430000000000007</v>
  </a>
  <a r="1" c="27">
    <v>25.5</v>
    <v>25.84</v>
    <v>25.82</v>
    <v>28.03</v>
    <v>27.16</v>
    <v>27.16</v>
    <v>25.96</v>
    <v>27.13</v>
    <v>27.74</v>
    <v>27.9</v>
    <v>28.69</v>
    <v>29.51</v>
    <v>27.89</v>
    <v>28.1</v>
    <v>27.73</v>
    <v>27.79</v>
    <v>27.41</v>
    <v>27.76</v>
    <v>27.44</v>
    <v>28.41</v>
    <v>29.69</v>
    <v>29.54</v>
    <v>30.28</v>
    <v>28.25</v>
    <v>27.41</v>
    <v>26.59</v>
    <v>26.23</v>
  </a>
  <a r="1" c="27">
    <v>185.39</v>
    <v>185.23</v>
    <v>175.3</v>
    <v>178.09</v>
    <v>178.09</v>
    <v>175.76</v>
    <v>183.6</v>
    <v>182.73</v>
    <v>183.08</v>
    <v>186.32</v>
    <v>182.56</v>
    <v>182.02</v>
    <v>184.93</v>
    <v>187.71</v>
    <v>183.97</v>
    <v>184.69</v>
    <v>184.92</v>
    <v>184.73</v>
    <v>191.31</v>
    <v>199.6</v>
    <v>196.83</v>
    <v>201.7</v>
    <v>203.85</v>
    <v>194.83</v>
    <v>186.82</v>
    <v>184.52</v>
    <v>180.19</v>
  </a>
  <a r="1" c="27">
    <v>219.78</v>
    <v>219.51</v>
    <v>216.37</v>
    <v>213.04</v>
    <v>224.21</v>
    <v>244.22</v>
    <v>244.41</v>
    <v>234.69</v>
    <v>220.69</v>
    <v>233.22</v>
    <v>229.53</v>
    <v>226.19</v>
    <v>227.35</v>
    <v>232.52</v>
    <v>226.5</v>
    <v>247.38</v>
    <v>239.12</v>
    <v>239.16</v>
    <v>239.3</v>
    <v>210.32</v>
    <v>198.79</v>
    <v>210.11</v>
    <v>210</v>
    <v>213.21</v>
    <v>207.67</v>
    <v>205.37</v>
    <v>199.34</v>
  </a>
  <a r="1">
    <v>32.43</v>
  </a>
  <a r="1">
    <v>281.98</v>
  </a>
  <a r="1" c="27">
    <v>915.95</v>
    <v>915.38</v>
    <v>930.01</v>
    <v>936.33</v>
    <v>932.14</v>
    <v>911.45</v>
    <v>922.74</v>
    <v>922.98</v>
    <v>899.01</v>
    <v>913.59</v>
    <v>894.68</v>
    <v>884.47</v>
    <v>855.62</v>
    <v>873.35</v>
    <v>854.5</v>
    <v>924.88</v>
    <v>963.61</v>
    <v>983.25</v>
    <v>940.25</v>
    <v>1001.16</v>
    <v>1018.48</v>
    <v>985.27</v>
    <v>1010.79</v>
    <v>998.1</v>
    <v>1008.43</v>
    <v>972.33</v>
    <v>983.86</v>
  </a>
  <a r="1" c="27">
    <v>130.80000000000001</v>
    <v>131.16</v>
    <v>123.99</v>
    <v>125.88</v>
    <v>129.19</v>
    <v>119.02</v>
    <v>123.69</v>
    <v>121.55</v>
    <v>120.25</v>
    <v>119.68</v>
    <v>117.39</v>
    <v>121.35</v>
    <v>115.2</v>
    <v>113.98</v>
    <v>114.51</v>
    <v>111.45</v>
    <v>104.74</v>
    <v>108.12</v>
    <v>109.34</v>
    <v>140.83000000000001</v>
    <v>148.94999999999999</v>
    <v>150.72999999999999</v>
    <v>156.30000000000001</v>
    <v>150.76</v>
    <v>150.72</v>
    <v>149.31</v>
    <v>154.43</v>
  </a>
  <a r="1">
    <v>35.450000000000003</v>
  </a>
  <a r="1" c="27">
    <v>75.849999999999994</v>
    <v>80.06</v>
    <v>83.35</v>
    <v>84.53</v>
    <v>84.41</v>
    <v>81.400000000000006</v>
    <v>83.93</v>
    <v>83.88</v>
    <v>83.48</v>
    <v>86.29</v>
    <v>83.13</v>
    <v>81.650000000000006</v>
    <v>79.540000000000006</v>
    <v>80.41</v>
    <v>80.930000000000007</v>
    <v>79.89</v>
    <v>83.63</v>
    <v>84.81</v>
    <v>87.9</v>
    <v>89.47</v>
    <v>93.8</v>
    <v>92.18</v>
    <v>93.77</v>
    <v>91.02</v>
    <v>92.78</v>
    <v>89.5</v>
    <v>91.4</v>
  </a>
  <a r="1">
    <v>266.01</v>
  </a>
  <a r="1" c="27">
    <v>78.56</v>
    <v>89.19</v>
    <v>85.99</v>
    <v>84.79</v>
    <v>87.49</v>
    <v>85.98</v>
    <v>86.28</v>
    <v>92.92</v>
    <v>97.76</v>
    <v>104.83</v>
    <v>99.72</v>
    <v>100.3</v>
    <v>101.09</v>
    <v>106.78</v>
    <v>106.45</v>
    <v>110.53</v>
    <v>108.83</v>
    <v>108.18</v>
    <v>110.27</v>
    <v>121.93</v>
    <v>121.41</v>
    <v>122.26</v>
    <v>123.82</v>
    <v>115.79</v>
    <v>115.61</v>
    <v>114.18</v>
    <v>119.63</v>
  </a>
  <a r="1">
    <v>315.37</v>
  </a>
  <a r="1">
    <v>93.29</v>
  </a>
  <a r="1" c="27">
    <v>117.31</v>
    <v>110.83</v>
    <v>108.07</v>
    <v>106.22</v>
    <v>106.38</v>
    <v>105.84</v>
    <v>105.41</v>
    <v>110.4</v>
    <v>106.97</v>
    <v>107.85</v>
    <v>112.17</v>
    <v>108.01</v>
    <v>101.93</v>
    <v>103.5</v>
    <v>107.27</v>
    <v>104.92</v>
    <v>105.32</v>
    <v>108.33</v>
    <v>112.13</v>
    <v>113.7</v>
    <v>120.73</v>
    <v>123.08</v>
    <v>124.08</v>
    <v>131.41</v>
    <v>133.6</v>
    <v>138.72999999999999</v>
    <v>149.56</v>
  </a>
  <a r="1" c="27">
    <v>71.37</v>
    <v>74</v>
    <v>70.52</v>
    <v>72.16</v>
    <v>71.44</v>
    <v>69.040000000000006</v>
    <v>71.52</v>
    <v>75.66</v>
    <v>82.9</v>
    <v>85.26</v>
    <v>85.43</v>
    <v>82.98</v>
    <v>81.59</v>
    <v>80.459999999999994</v>
    <v>79.02</v>
    <v>86.14</v>
    <v>79.48</v>
    <v>78.91</v>
    <v>76.97</v>
    <v>78.12</v>
    <v>75.55</v>
    <v>72.94</v>
    <v>74.2</v>
    <v>69.41</v>
    <v>66.760000000000005</v>
    <v>65.78</v>
    <v>62.76</v>
  </a>
  <a r="1" c="27">
    <v>410.09</v>
    <v>395.06</v>
    <v>375.75</v>
    <v>391.9</v>
    <v>386.68</v>
    <v>379.59</v>
    <v>371.11</v>
    <v>362.36</v>
    <v>343.32</v>
    <v>356.92</v>
    <v>354.61</v>
    <v>359.65</v>
    <v>345</v>
    <v>349.78</v>
    <v>345.82</v>
    <v>374.64</v>
    <v>380.17</v>
    <v>383.77</v>
    <v>374.59</v>
    <v>385.15</v>
    <v>391.05</v>
    <v>382.25</v>
    <v>380.72</v>
    <v>357.92</v>
    <v>339.03</v>
    <v>320.75</v>
    <v>321.64999999999998</v>
  </a>
  <a r="1" c="27">
    <v>194.22</v>
    <v>192.09</v>
    <v>189.1</v>
    <v>196.26</v>
    <v>198.68</v>
    <v>191.48</v>
    <v>197.4</v>
    <v>197.21</v>
    <v>195.02</v>
    <v>194.27</v>
    <v>189.58</v>
    <v>191.66</v>
    <v>190.01</v>
    <v>192.6</v>
    <v>192.48</v>
    <v>181.2</v>
    <v>194.11</v>
    <v>187.16</v>
    <v>184.11</v>
    <v>180.74</v>
    <v>200.77</v>
    <v>199.54</v>
    <v>201.16</v>
    <v>196.58</v>
    <v>188.04</v>
    <v>174.15</v>
    <v>167.06</v>
  </a>
  <a r="1" c="27">
    <v>26.05</v>
    <v>26.06</v>
    <v>25.15</v>
    <v>25.52</v>
    <v>25.25</v>
    <v>24.73</v>
    <v>24.28</v>
    <v>24.85</v>
    <v>25.29</v>
    <v>25.51</v>
    <v>24.34</v>
    <v>24.45</v>
    <v>24.51</v>
    <v>24.13</v>
    <v>24.39</v>
    <v>23.42</v>
    <v>23.53</v>
    <v>23.2</v>
    <v>23.74</v>
    <v>24.64</v>
    <v>24.8</v>
    <v>24.4</v>
    <v>24.61</v>
    <v>24.54</v>
    <v>22.58</v>
    <v>21.57</v>
    <v>22.04</v>
  </a>
  <a r="1" c="27">
    <v>107</v>
    <v>104.2</v>
    <v>101.67</v>
    <v>102.4</v>
    <v>105.06</v>
    <v>99.48</v>
    <v>101.78</v>
    <v>102.66</v>
    <v>105.23</v>
    <v>106.34</v>
    <v>103.88</v>
    <v>104.23</v>
    <v>107.28</v>
    <v>109.26</v>
    <v>110.17</v>
    <v>108.8</v>
    <v>109.5</v>
    <v>107.86</v>
    <v>109.05</v>
    <v>106.63</v>
    <v>108.53</v>
    <v>107.2</v>
    <v>108.34</v>
    <v>106.53</v>
    <v>100.61</v>
    <v>97.36</v>
    <v>96.96</v>
  </a>
  <a r="1" c="27">
    <v t="i">1</v>
    <v t="i">8</v>
    <v t="i">15</v>
    <v t="i">22</v>
    <v t="i">29</v>
    <v t="i">36</v>
    <v t="i">43</v>
    <v t="i">50</v>
    <v t="i">57</v>
    <v t="i">64</v>
    <v t="i">71</v>
    <v t="i">78</v>
    <v t="i">85</v>
    <v t="i">92</v>
    <v t="i">99</v>
    <v t="i">106</v>
    <v t="i">113</v>
    <v t="i">120</v>
    <v t="i">128</v>
    <v t="i">134</v>
    <v t="i">141</v>
    <v t="i">148</v>
    <v t="i">155</v>
    <v t="i">162</v>
    <v t="i">169</v>
    <v t="i">176</v>
    <v t="i">183</v>
  </a>
  <a r="1" c="27">
    <v>3.97</v>
    <v>3.93</v>
    <v>3.45</v>
    <v>3.62</v>
    <v>3.65</v>
    <v>3.68</v>
    <v>3.47</v>
    <v>3.35</v>
    <v>3.36</v>
    <v>3.85</v>
    <v>4.07</v>
    <v>4.09</v>
    <v>4.07</v>
    <v>4.21</v>
    <v>4.38</v>
    <v>4.46</v>
    <v>4.3600000000000003</v>
    <v>4.67</v>
    <v>4.41</v>
    <v>4.18</v>
    <v>4.4400000000000004</v>
    <v>4.55</v>
    <v>5.22</v>
    <v>4.95</v>
    <v>4.57</v>
    <v>4.1500000000000004</v>
    <v>4.22</v>
  </a>
  <a r="1">
    <v>254.32</v>
  </a>
  <a r="1" c="27">
    <v>698.26</v>
    <v>679.94</v>
    <v>641.79</v>
    <v>661.39</v>
    <v>683.09</v>
    <v>667.55</v>
    <v>648.85</v>
    <v>662.41</v>
    <v>663.15</v>
    <v>634.08000000000004</v>
    <v>673.63</v>
    <v>670.92499999999995</v>
    <v>671.3</v>
    <v>676.55</v>
    <v>629.46</v>
    <v>646.9</v>
    <v>545.29</v>
    <v>563.96500000000003</v>
    <v>498.92</v>
    <v>443.77</v>
    <v>399.4</v>
    <v>380.55</v>
    <v>409.03</v>
    <v>481.17</v>
    <v>439.96</v>
    <v>455.56</v>
    <v>416.44</v>
  </a>
  <a r="1" c="27">
    <v>152.69999999999999</v>
    <v>150.69</v>
    <v>141.62</v>
    <v>145.25</v>
    <v>143.36000000000001</v>
    <v>138.21</v>
    <v>149.12</v>
    <v>149.02000000000001</v>
    <v>152.97999999999999</v>
    <v>153.21</v>
    <v>144.96</v>
    <v>151.06</v>
    <v>153.75</v>
    <v>153.24</v>
    <v>150.49</v>
    <v>155.52000000000001</v>
    <v>160.26</v>
    <v>152.97</v>
    <v>155.5</v>
    <v>162.93</v>
    <v>160.57</v>
    <v>163.33000000000001</v>
    <v>168.16</v>
    <v>160</v>
    <v>160.4</v>
    <v>156.41</v>
    <v>153.96</v>
  </a>
  <a r="1" c="27">
    <v>194.27</v>
    <v>190.21</v>
    <v>186.68</v>
    <v>191.29</v>
    <v>191.52</v>
    <v>178.98</v>
    <v>177.95</v>
    <v>183.59</v>
    <v>179.56</v>
    <v>181.27</v>
    <v>178.86</v>
    <v>180.7</v>
    <v>172.41</v>
    <v>176.41</v>
    <v>174.8</v>
    <v>168.51</v>
    <v>183.57</v>
    <v>178.75</v>
    <v>179.28</v>
    <v>171.27</v>
    <v>192.1</v>
    <v>187.31</v>
    <v>191.86</v>
    <v>188.59</v>
    <v>184.41</v>
    <v>176.79</v>
    <v>169.52</v>
  </a>
  <a r="1" c="27">
    <v>65.709999999999994</v>
    <v>65.73</v>
    <v>66.540000000000006</v>
    <v>65.05</v>
    <v>64.67</v>
    <v>56.38</v>
    <v>58.03</v>
    <v>58.19</v>
    <v>58.19</v>
    <v>59.01</v>
    <v>57.99</v>
    <v>58.75</v>
    <v>58.07</v>
    <v>57.6</v>
    <v>57.31</v>
    <v>57.53</v>
    <v>61.76</v>
    <v>61.91</v>
    <v>61.99</v>
    <v>65.400000000000006</v>
    <v>67.25</v>
    <v>67.569999999999993</v>
    <v>69.040000000000006</v>
    <v>66.510000000000005</v>
    <v>67.89</v>
    <v>64.47</v>
    <v>66.48</v>
  </a>
  <a r="1">
    <v>888.44</v>
  </a>
  <a r="1" c="27">
    <v>33.630000000000003</v>
    <v>32.090000000000003</v>
    <v>29.28</v>
    <v>29.53</v>
    <v>30.145</v>
    <v>30.47</v>
    <v>30.29</v>
    <v>29.56</v>
    <v>29</v>
    <v>29.43</v>
    <v>29.59</v>
    <v>29.66</v>
    <v>29.79</v>
    <v>29.87</v>
    <v>29.77</v>
    <v>30.2</v>
    <v>30.29</v>
    <v>31.1</v>
    <v>31.1</v>
    <v>25.65</v>
    <v>26</v>
    <v>26.55</v>
    <v>26.78</v>
    <v>27.7</v>
    <v>26.76</v>
    <v>27.39</v>
    <v>27.79</v>
  </a>
  <a r="1" c="27">
    <v>94.22</v>
    <v>97.7</v>
    <v>95.45</v>
    <v>95.78</v>
    <v>93.67</v>
    <v>90.7</v>
    <v>92.2</v>
    <v>95.87</v>
    <v>101.2</v>
    <v>105.33</v>
    <v>101.36</v>
    <v>99.87</v>
    <v>98.63</v>
    <v>96.52</v>
    <v>96.05</v>
    <v>97.53</v>
    <v>96.76</v>
    <v>100.88</v>
    <v>102.96</v>
    <v>102.9</v>
    <v>99.49</v>
    <v>96.86</v>
    <v>97.66</v>
    <v>90.9</v>
    <v>87.14</v>
    <v>86.16</v>
    <v>87.14</v>
  </a>
  <a r="1" c="27">
    <v>163.35</v>
    <v>166.58</v>
    <v>157.69999999999999</v>
    <v>157.94999999999999</v>
    <v>178.65</v>
    <v>178.5</v>
    <v>176.97</v>
    <v>175.57</v>
    <v>169.68</v>
    <v>174.91</v>
    <v>171.1</v>
    <v>178.66</v>
    <v>182.01</v>
    <v>185.17</v>
    <v>187.25</v>
    <v>188.5</v>
    <v>201.92</v>
    <v>195.93</v>
    <v>200.93</v>
    <v>198.66</v>
    <v>200.06</v>
    <v>204.92</v>
    <v>202.62</v>
    <v>209.76</v>
    <v>204.52</v>
    <v>198.16</v>
    <v>189.71</v>
  </a>
  <a r="1" c="27">
    <v>708.84</v>
    <v>715.51</v>
    <v>703.03</v>
    <v>670.68</v>
    <v>735.95</v>
    <v>732.23</v>
    <v>602.51</v>
    <v>554.37</v>
    <v>521.99</v>
    <v>540.14</v>
    <v>550.95000000000005</v>
    <v>564.28</v>
    <v>594.20000000000005</v>
    <v>583.84</v>
    <v>563.45000000000005</v>
    <v>631.69000000000005</v>
    <v>636.04</v>
    <v>613.14</v>
    <v>483.58</v>
    <v>414.2</v>
    <v>429.67</v>
    <v>433.91</v>
    <v>542.4</v>
    <v>574.01</v>
    <v>496.18</v>
    <v>496.27</v>
    <v>429.94</v>
  </a>
  <a r="1" c="27">
    <v>67.3</v>
    <v>69.25</v>
    <v>69.84</v>
    <v>67.41</v>
    <v>69.77</v>
    <v>69.27</v>
    <v>66.22</v>
    <v>62.81</v>
    <v>60.57</v>
    <v>62.69</v>
    <v>62.28</v>
    <v>61.66</v>
    <v>59.81</v>
    <v>59.97</v>
    <v>58.14</v>
    <v>57.66</v>
    <v>56.89</v>
    <v>56.62</v>
    <v>52.69</v>
    <v>40.42</v>
    <v>40.29</v>
    <v>41.65</v>
    <v>46.21</v>
    <v>46.97</v>
    <v>44.9</v>
    <v>44.01</v>
    <v>43.59</v>
  </a>
  <a r="1">
    <v>81.99</v>
  </a>
  <a r="1" c="27">
    <v>24.69</v>
    <v>24.54</v>
    <v>21.94</v>
    <v>22.52</v>
    <v>23.83</v>
    <v>22.65</v>
    <v>23.83</v>
    <v>24.79</v>
    <v>23.95</v>
    <v>24.97</v>
    <v>27.1</v>
    <v>25.93</v>
    <v>24.12</v>
    <v>24.18</v>
    <v>25.36</v>
    <v>25.2</v>
    <v>25.78</v>
    <v>25.8</v>
    <v>26.41</v>
    <v>27.46</v>
    <v>27.92</v>
    <v>29.06</v>
    <v>30.37</v>
    <v>32.68</v>
    <v>34.47</v>
    <v>39.11</v>
    <v>44.39</v>
  </a>
  <a r="1" c="27">
    <v>95.31</v>
    <v>95.45</v>
    <v>97.58</v>
    <v>97.48</v>
    <v>98.49</v>
    <v>90.22</v>
    <v>89.54</v>
    <v>91.68</v>
    <v>90.01</v>
    <v>91.28</v>
    <v>89.28</v>
    <v>90.96</v>
    <v>86.1</v>
    <v>88.28</v>
    <v>88.7</v>
    <v>83.67</v>
    <v>90.87</v>
    <v>86.6</v>
    <v>86.81</v>
    <v>80.88</v>
    <v>90.38</v>
    <v>88.01</v>
    <v>89.54</v>
    <v>90.43</v>
    <v>87.47</v>
    <v>82.36</v>
    <v>78.59</v>
  </a>
  <a r="1" c="27">
    <v>44.83</v>
    <v>46.39</v>
    <v>45.97</v>
    <v>47.33</v>
    <v>45.44</v>
    <v>43.72</v>
    <v>46.33</v>
    <v>46.44</v>
    <v>46.11</v>
    <v>46.51</v>
    <v>45.13</v>
    <v>47.6</v>
    <v>47.68</v>
    <v>46.42</v>
    <v>47.4</v>
    <v>48.13</v>
    <v>48.95</v>
    <v>49.35</v>
    <v>48.04</v>
    <v>51.76</v>
    <v>53.22</v>
    <v>49.86</v>
    <v>48.99</v>
    <v>46.64</v>
    <v>43.61</v>
    <v>41.4</v>
    <v>43.4</v>
  </a>
  <a r="1">
    <v>289.16000000000003</v>
  </a>
  <a r="1" c="27">
    <v>203.32</v>
    <v>198.46</v>
    <v>183.95</v>
    <v>179.4</v>
    <v>186.44</v>
    <v>182.55</v>
    <v>184.2</v>
    <v>183.99</v>
    <v>186.99</v>
    <v>190.72</v>
    <v>197.86</v>
    <v>210.59</v>
    <v>210.2</v>
    <v>213.89</v>
    <v>211.46</v>
    <v>217.55</v>
    <v>223.18</v>
    <v>219.39</v>
    <v>223.3</v>
    <v>242.48</v>
    <v>229.32</v>
    <v>232.97</v>
    <v>212.35</v>
    <v>206.12</v>
    <v>201.13</v>
    <v>201.71</v>
    <v>202.39</v>
  </a>
  <a r="1" c="27">
    <v>65.7</v>
    <v>68.91</v>
    <v>66.66</v>
    <v>67.540000000000006</v>
    <v>66.849999999999994</v>
    <v>64.16</v>
    <v>65.040000000000006</v>
    <v>65.33</v>
    <v>68.16</v>
    <v>67.48</v>
    <v>63.3</v>
    <v>66.8</v>
    <v>68.58</v>
    <v>68.930000000000007</v>
    <v>67.28</v>
    <v>67.72</v>
    <v>67.040000000000006</v>
    <v>60.79</v>
    <v>61.83</v>
    <v>67.42</v>
    <v>71.489999999999995</v>
    <v>68.5</v>
    <v>71.040000000000006</v>
    <v>64.849999999999994</v>
    <v>58.29</v>
    <v>53.23</v>
    <v>53.07</v>
  </a>
  <a r="1" c="27">
    <v>99.237700000000004</v>
    <v>96.858000000000004</v>
    <v>91.831900000000005</v>
    <v>93.500699999999995</v>
    <v>98.872399999999999</v>
    <v>97.164100000000005</v>
    <v>97.450500000000005</v>
    <v>94.389399999999995</v>
    <v>101.6964</v>
    <v>104.0959</v>
    <v>108.9443</v>
    <v>110.1588</v>
    <v>111.57</v>
    <v>111.79</v>
    <v>111.56</v>
    <v>118.8</v>
    <v>121.36</v>
    <v>122</v>
    <v>122.91</v>
    <v>127.35</v>
    <v>127</v>
    <v>128.46</v>
    <v>126.09</v>
    <v>120.43</v>
    <v>115.34</v>
    <v>111.26</v>
    <v>112.75</v>
  </a>
  <a r="1" c="27">
    <v>311.97000000000003</v>
    <v>321.81</v>
    <v>309.42</v>
    <v>327.76</v>
    <v>335.67</v>
    <v>319.66000000000003</v>
    <v>324.68</v>
    <v>331.48</v>
    <v>339.88</v>
    <v>367.33</v>
    <v>368.42</v>
    <v>370.22</v>
    <v>362.53</v>
    <v>358.11</v>
    <v>362.53</v>
    <v>369.81</v>
    <v>363.05</v>
    <v>367.37</v>
    <v>353.41</v>
    <v>342.89</v>
    <v>369.18</v>
    <v>385.03</v>
    <v>362.6</v>
    <v>338.36</v>
    <v>330.73</v>
    <v>329.87</v>
    <v>327.82</v>
  </a>
  <a r="1">
    <v>236.34</v>
  </a>
  <a r="1" c="27">
    <v>151.84</v>
    <v>154.12</v>
    <v>142.38</v>
    <v>144.52000000000001</v>
    <v>159.4</v>
    <v>163.54</v>
    <v>175.3</v>
    <v>179.02</v>
    <v>180.98</v>
    <v>187</v>
    <v>203.6</v>
    <v>209.63</v>
    <v>209.17</v>
    <v>211.41</v>
    <v>200.46</v>
    <v>211.93</v>
    <v>212.61</v>
    <v>218.21</v>
    <v>208.6</v>
    <v>186.68</v>
    <v>166.37</v>
    <v>138.85</v>
    <v>141</v>
    <v>145.87</v>
    <v>137.13999999999999</v>
    <v>137.43</v>
    <v>135.19</v>
  </a>
  <a r="1" c="27">
    <v>188.99</v>
    <v>179.33</v>
    <v>184.07</v>
    <v>189.51</v>
    <v>182.18</v>
    <v>175.95</v>
    <v>179.5</v>
    <v>186.95</v>
    <v>191.25</v>
    <v>189.18</v>
    <v>182.51</v>
    <v>182.56</v>
    <v>176.06</v>
    <v>175.94</v>
    <v>173.79</v>
    <v>174.44</v>
    <v>189.49</v>
    <v>181.02</v>
    <v>187.03</v>
    <v>190.71</v>
    <v>206.87</v>
    <v>202.41</v>
    <v>211.91</v>
    <v>199.21</v>
    <v>199.7</v>
    <v>195.26</v>
    <v>195.51</v>
  </a>
  <a r="1">
    <v>24.84</v>
  </a>
  <a r="1" c="27">
    <v>669.86</v>
    <v>682.76</v>
    <v>569.89</v>
    <v>599.30999999999995</v>
    <v>620</v>
    <v>637.33000000000004</v>
    <v>619.92999999999995</v>
    <v>557.70000000000005</v>
    <v>520.26</v>
    <v>599.48</v>
    <v>691.94</v>
    <v>670.67</v>
    <v>721.37</v>
    <v>714.23</v>
    <v>618.32000000000005</v>
    <v>647.72</v>
    <v>568.76</v>
    <v>524.41</v>
    <v>473.11</v>
    <v>406.72</v>
    <v>390.55</v>
    <v>418.68</v>
    <v>434.77</v>
    <v>502.14</v>
    <v>458.67</v>
    <v>442.39</v>
    <v>381.2</v>
  </a>
  <a r="1" c="27">
    <v>25.11</v>
    <v>24.31</v>
    <v>21.97</v>
    <v>22.27</v>
    <v>26.55</v>
    <v>26.84</v>
    <v>27.57</v>
    <v>27.3</v>
    <v>25.82</v>
    <v>26.22</v>
    <v>28.45</v>
    <v>28.62</v>
    <v>27.72</v>
    <v>27.96</v>
    <v>29.6</v>
    <v>32.630000000000003</v>
    <v>32.57</v>
    <v>33.950000000000003</v>
    <v>33.520000000000003</v>
    <v>34.979999999999997</v>
    <v>33.96</v>
    <v>35.11</v>
    <v>36</v>
    <v>34.049999999999997</v>
    <v>33.69</v>
    <v>36.53</v>
    <v>40.42</v>
  </a>
  <a r="1" c="27">
    <v>57.2</v>
    <v>57.26</v>
    <v>57.48</v>
    <v>59.64</v>
    <v>60.95</v>
    <v>57.38</v>
    <v>58.88</v>
    <v>58.41</v>
    <v>58.57</v>
    <v>64.099999999999994</v>
    <v>67.099999999999994</v>
    <v>69.81</v>
    <v>71.06</v>
    <v>70.849999999999994</v>
    <v>69.06</v>
    <v>72.31</v>
    <v>70.430000000000007</v>
    <v>67.959999999999994</v>
    <v>65.89</v>
    <v>75.349999999999994</v>
    <v>69</v>
    <v>69.44</v>
    <v>65.7</v>
    <v>59.01</v>
    <v>58.78</v>
    <v>63.44</v>
    <v>64.83</v>
  </a>
  <a r="1" c="27">
    <v>237.47</v>
    <v>230.27</v>
    <v>228.79</v>
    <v>229.33</v>
    <v>217.77</v>
    <v>210.05</v>
    <v>207</v>
    <v>216.08</v>
    <v>209.48</v>
    <v>209.01</v>
    <v>209.63</v>
    <v>195.16</v>
    <v>196.73</v>
    <v>201</v>
    <v>199.58</v>
    <v>200.56</v>
    <v>186.32</v>
    <v>186.03</v>
    <v>197.21</v>
    <v>197.39</v>
    <v>219.5</v>
    <v>215.46</v>
    <v>217.09</v>
    <v>221.57</v>
    <v>217.39</v>
    <v>208.47</v>
    <v>210.82</v>
  </a>
  <a r="1" c="27">
    <v>26.74</v>
    <v>27.77</v>
    <v>26.49</v>
    <v>28.52</v>
    <v>27.6</v>
    <v>27.12</v>
    <v>26.61</v>
    <v>27.76</v>
    <v>27.99</v>
    <v>28.51</v>
    <v>30.25</v>
    <v>30.27</v>
    <v>28.26</v>
    <v>26.14</v>
    <v>26.22</v>
    <v>26.13</v>
    <v>26.62</v>
    <v>27.86</v>
    <v>27.83</v>
    <v>29.83</v>
    <v>30.22</v>
    <v>30.34</v>
    <v>29.36</v>
    <v>25.74</v>
    <v>23.85</v>
    <v>23.33</v>
    <v>27.19</v>
  </a>
  <a r="1" c="27">
    <v>365.58</v>
    <v>373.46</v>
    <v>369.08</v>
    <v>373.3</v>
    <v>376.29</v>
    <v>381.56</v>
    <v>373.77</v>
    <v>352.39</v>
    <v>331.71</v>
    <v>345.89</v>
    <v>337.66</v>
    <v>331.98</v>
    <v>317.8</v>
    <v>322.17</v>
    <v>327.31</v>
    <v>324.51</v>
    <v>343.75</v>
    <v>331.22</v>
    <v>351.42</v>
    <v>373.82</v>
    <v>389.25</v>
    <v>373.38</v>
    <v>375.92</v>
    <v>347.75</v>
    <v>355.4</v>
    <v>356.8</v>
    <v>357.36</v>
  </a>
  <a r="1" c="27">
    <v>143.03</v>
    <v>149.85</v>
    <v>144.32</v>
    <v>145.91</v>
    <v>148.25</v>
    <v>150.85</v>
    <v>151.31</v>
    <v>142.72999999999999</v>
    <v>140.38999999999999</v>
    <v>140.66999999999999</v>
    <v>139.01</v>
    <v>137.1</v>
    <v>138.07</v>
    <v>138.80000000000001</v>
    <v>137.11000000000001</v>
    <v>139.69</v>
    <v>146.13</v>
    <v>141.22999999999999</v>
    <v>137.87</v>
    <v>142.12</v>
    <v>128.09</v>
    <v>128.66999999999999</v>
    <v>129.56</v>
    <v>123.15</v>
    <v>119.88</v>
    <v>120.44</v>
    <v>117.55</v>
  </a>
  <a r="1">
    <v>161.13999999999999</v>
  </a>
  <a r="1" c="27">
    <v>246.67</v>
    <v>236.48</v>
    <v>233.18</v>
    <v>234.25</v>
    <v>242.75</v>
    <v>239.92</v>
    <v>225.17</v>
    <v>230.82</v>
    <v>225.14</v>
    <v>215.62</v>
    <v>219.96</v>
    <v>224.49</v>
    <v>218.63</v>
    <v>220.7</v>
    <v>205.79</v>
    <v>207.185</v>
    <v>186.86</v>
    <v>189.26</v>
    <v>175.63</v>
    <v>162.91999999999999</v>
    <v>144.41999999999999</v>
    <v>137.81</v>
    <v>133.76</v>
    <v>151.04</v>
    <v>133.09</v>
    <v>135.96</v>
    <v>124.18</v>
  </a>
  <a r="1" c="27">
    <v>160.75</v>
    <v>163.81</v>
    <v>149.61000000000001</v>
    <v>164.77</v>
    <v>179.3</v>
    <v>201.56</v>
    <v>240.11</v>
    <v>232.15</v>
    <v>255.59</v>
    <v>325.16000000000003</v>
    <v>331.41</v>
    <v>324.35000000000002</v>
    <v>371.43</v>
    <v>390.77</v>
    <v>386.11</v>
    <v>351.42</v>
    <v>324.25</v>
    <v>339.19</v>
    <v>391.84</v>
    <v>551.99</v>
    <v>562.74</v>
    <v>667.77</v>
    <v>700.91</v>
    <v>558.44000000000005</v>
    <v>622.5</v>
    <v>706.35</v>
    <v>702.73</v>
  </a>
  <a r="1" c="27">
    <v>95.46</v>
    <v>94.08</v>
    <v>91.96</v>
    <v>94.14</v>
    <v>94.42</v>
    <v>94.52</v>
    <v>95.24</v>
    <v>94.39</v>
    <v>90.51</v>
    <v>92.73</v>
    <v>93.82</v>
    <v>96.65</v>
    <v>98.82</v>
    <v>101.89</v>
    <v>101.57</v>
    <v>100.17</v>
    <v>103.82</v>
    <v>102.18</v>
    <v>103.92</v>
    <v>105.08</v>
    <v>93.72</v>
    <v>94.03</v>
    <v>95.2</v>
    <v>95.23</v>
    <v>93.06</v>
    <v>94.66</v>
    <v>92.36</v>
  </a>
  <a r="1">
    <v>65.900000000000006</v>
  </a>
  <a r="1" c="27">
    <v>77.98</v>
    <v>81.02</v>
    <v>81.3</v>
    <v>77.36</v>
    <v>79</v>
    <v>78.959999999999994</v>
    <v>76.930000000000007</v>
    <v>77.75</v>
    <v>75.959999999999994</v>
    <v>76.16</v>
    <v>77.03</v>
    <v>84.9</v>
    <v>86.03</v>
    <v>86.48</v>
    <v>84.27</v>
    <v>75.430000000000007</v>
    <v>72.930000000000007</v>
    <v>72.319999999999993</v>
    <v>74.88</v>
    <v>76.72</v>
    <v>78.27</v>
    <v>80.44</v>
    <v>80.489999999999995</v>
    <v>78.72</v>
    <v>76.739999999999995</v>
    <v>74.39</v>
    <v>72.95</v>
  </a>
  <a r="1">
    <v>183.84</v>
  </a>
  <a r="1" c="27">
    <v>69.77</v>
    <v>72.53</v>
    <v>72.349999999999994</v>
    <v>72.56</v>
    <v>74.67</v>
    <v>73.81</v>
    <v>73.040000000000006</v>
    <v>73.3</v>
    <v>64.55</v>
    <v>67.180000000000007</v>
    <v>66.739999999999995</v>
    <v>68.11</v>
    <v>67.16</v>
    <v>67.239999999999995</v>
    <v>68.06</v>
    <v>67.790000000000006</v>
    <v>70.11</v>
    <v>69.58</v>
    <v>69.13</v>
    <v>67.36</v>
    <v>73.36</v>
    <v>73.56</v>
    <v>76.209999999999994</v>
    <v>74.44</v>
    <v>73.099999999999994</v>
    <v>66.67</v>
    <v>67.59</v>
  </a>
  <a r="1">
    <v>213.73</v>
  </a>
  <a r="1">
    <v>51.92</v>
  </a>
  <a r="1" c="27">
    <v>106.1</v>
    <v>104.79</v>
    <v>102.15</v>
    <v>101.6</v>
    <v>97.27</v>
    <v>94.44</v>
    <v>97.09</v>
    <v>98.8</v>
    <v>100.43</v>
    <v>101.7</v>
    <v>98.89</v>
    <v>94.11</v>
    <v>91</v>
    <v>92.25</v>
    <v>90.34</v>
    <v>93.8</v>
    <v>94.7</v>
    <v>99.23</v>
    <v>98.41</v>
    <v>94.22</v>
    <v>96.66</v>
    <v>93.5</v>
    <v>93.88</v>
    <v>94.6</v>
    <v>91.54</v>
    <v>87.3</v>
    <v>90.11</v>
  </a>
  <a r="1" c="27">
    <v>341.91</v>
    <v>346.6</v>
    <v>332.81</v>
    <v>330.74</v>
    <v>334</v>
    <v>344.94</v>
    <v>340.16</v>
    <v>332.18</v>
    <v>337.06</v>
    <v>343.69</v>
    <v>333.11</v>
    <v>328.69</v>
    <v>320.86</v>
    <v>325.44</v>
    <v>327.84</v>
    <v>353.28</v>
    <v>357.83</v>
    <v>348.52</v>
    <v>354.64</v>
    <v>361.98</v>
    <v>368.89</v>
    <v>360.63</v>
    <v>362.59</v>
    <v>329.88</v>
    <v>319.77999999999997</v>
    <v>303.52999999999997</v>
    <v>315.37</v>
  </a>
  <a r="1">
    <v>70.3</v>
  </a>
  <a r="1">
    <v>169.09</v>
  </a>
  <a r="1" c="27">
    <v>105.77</v>
    <v>107.44</v>
    <v>101.755</v>
    <v>100.78</v>
    <v>103.77</v>
    <v>103.31</v>
    <v>112.45</v>
    <v>117.28</v>
    <v>114.99</v>
    <v>121.93</v>
    <v>122.86</v>
    <v>112.79</v>
    <v>108.74</v>
    <v>109.49</v>
    <v>109.77</v>
    <v>101.63</v>
    <v>99.88</v>
    <v>109.49</v>
    <v>112.41</v>
    <v>110.37</v>
    <v>104.05</v>
    <v>108.06</v>
    <v>107.92</v>
    <v>106.84</v>
    <v>107.02</v>
    <v>107.32</v>
    <v>113.5</v>
  </a>
  <a r="1">
    <v>211.69</v>
  </a>
  <a r="1">
    <v>44.87</v>
  </a>
  <a r="1" c="27">
    <v>158</v>
    <v>156.13999999999999</v>
    <v>150.38</v>
    <v>157.12</v>
    <v>162.96</v>
    <v>152.43</v>
    <v>152.65</v>
    <v>153.66</v>
    <v>156.79</v>
    <v>161.83000000000001</v>
    <v>160.86000000000001</v>
    <v>159.58000000000001</v>
    <v>161.63</v>
    <v>164.71</v>
    <v>160.19</v>
    <v>165.46</v>
    <v>171.59</v>
    <v>169.23</v>
    <v>170.33</v>
    <v>169.67</v>
    <v>142.31</v>
    <v>147.01</v>
    <v>147.66</v>
    <v>136.83000000000001</v>
    <v>133.80000000000001</v>
    <v>131.99</v>
    <v>131.77000000000001</v>
  </a>
  <a r="1" c="27">
    <v>286.17</v>
    <v>311</v>
    <v>300.73</v>
    <v>299.27</v>
    <v>301.77999999999997</v>
    <v>244.41</v>
    <v>264.58</v>
    <v>269.66000000000003</v>
    <v>278.08999999999997</v>
    <v>277.27999999999997</v>
    <v>265.44</v>
    <v>274.7</v>
    <v>271.89</v>
    <v>276.51</v>
    <v>279.12</v>
    <v>278.95</v>
    <v>272.20999999999998</v>
    <v>279.2</v>
    <v>274.11</v>
    <v>292.05</v>
    <v>291.44</v>
    <v>280.31</v>
    <v>289.82</v>
    <v>271.63</v>
    <v>267.19</v>
    <v>262.83999999999997</v>
    <v>261.95999999999998</v>
  </a>
  <a r="1">
    <v>116.22</v>
  </a>
  <a r="1">
    <v>67.59</v>
  </a>
  <a r="1" c="27">
    <v>99.62</v>
    <v>98.81</v>
    <v>102.39</v>
    <v>101.19</v>
    <v>100.04</v>
    <v>97.41</v>
    <v>98.52</v>
    <v>101.66</v>
    <v>100.16</v>
    <v>100.36</v>
    <v>96.6</v>
    <v>97.53</v>
    <v>98.06</v>
    <v>99.3</v>
    <v>99.99</v>
    <v>99.21</v>
    <v>103.81</v>
    <v>103.87</v>
    <v>106.63</v>
    <v>107.34</v>
    <v>113.72</v>
    <v>109.81</v>
    <v>112.52</v>
    <v>112.28</v>
    <v>114.88</v>
    <v>109.45</v>
    <v>111.68</v>
  </a>
  <a r="1">
    <v>27.07</v>
  </a>
  <a r="1" c="27">
    <v>86.66</v>
    <v>88.02</v>
    <v>87.65</v>
    <v>100.78</v>
    <v>102.16</v>
    <v>96.69</v>
    <v>87.75</v>
    <v>88.18</v>
    <v>89.9</v>
    <v>94.07</v>
    <v>105.13</v>
    <v>104.1</v>
    <v>108</v>
    <v>107.65</v>
    <v>106.76</v>
    <v>113.73</v>
    <v>115.05</v>
    <v>117.69</v>
    <v>115.28</v>
    <v>99.47</v>
    <v>108.24</v>
    <v>114.23</v>
    <v>109.47</v>
    <v>92.72</v>
    <v>87.88</v>
    <v>85.92</v>
    <v>67.23</v>
  </a>
  <a r="1" c="27">
    <v>84.32</v>
    <v>87.96</v>
    <v>82.85</v>
    <v>85.42</v>
    <v>87.36</v>
    <v>77.760000000000005</v>
    <v>76.03</v>
    <v>74.11</v>
    <v>73.489999999999995</v>
    <v>75.760000000000005</v>
    <v>78.849999999999994</v>
    <v>82.05</v>
    <v>80.849999999999994</v>
    <v>80.349999999999994</v>
    <v>75.53</v>
    <v>79.52</v>
    <v>73.8</v>
    <v>75.209999999999994</v>
    <v>71.739999999999995</v>
    <v>72.86</v>
    <v>68.48</v>
    <v>82.47</v>
    <v>76.459999999999994</v>
    <v>76.400000000000006</v>
    <v>68.67</v>
    <v>68.5</v>
    <v>65.900000000000006</v>
  </a>
  <a r="1" c="27">
    <v>887.55</v>
    <v>918.83</v>
    <v>904.44</v>
    <v>1004.65</v>
    <v>1074.9100000000001</v>
    <v>1005</v>
    <v>958.26</v>
    <v>920.19</v>
    <v>872.35</v>
    <v>928.17</v>
    <v>963.27499999999998</v>
    <v>946.51</v>
    <v>937.11</v>
    <v>946.32</v>
    <v>936.31</v>
    <v>958.97</v>
    <v>1033.17</v>
    <v>1063.74</v>
    <v>1124.1500000000001</v>
    <v>1229.82</v>
    <v>1171.47</v>
    <v>1204.0999999999999</v>
    <v>1142.74</v>
    <v>1023.16</v>
    <v>1052.5899999999999</v>
    <v>1068.8499999999999</v>
    <v>1053.01</v>
  </a>
  <a r="1">
    <v>356.77</v>
  </a>
  <a r="1" c="27">
    <v>12.01</v>
    <v>12.67</v>
    <v>11.41</v>
    <v>11.92</v>
    <v>13.84</v>
    <v>13.13</v>
    <v>13.21</v>
    <v>13.19</v>
    <v>12.83</v>
    <v>13.28</v>
    <v>13.03</v>
    <v>13.76</v>
    <v>13.47</v>
    <v>13.31</v>
    <v>13.34</v>
    <v>14.2</v>
    <v>13.6</v>
    <v>13.56</v>
    <v>13.88</v>
    <v>13.8</v>
    <v>14.12</v>
    <v>14.01</v>
    <v>14.09</v>
    <v>12.15</v>
    <v>11.67</v>
    <v>11.52</v>
    <v>11.37</v>
  </a>
  <a r="1">
    <v>438.32</v>
  </a>
  <a r="1" c="27">
    <v>565.13</v>
    <v>580.45000000000005</v>
    <v>557.48</v>
    <v>560.97</v>
    <v>573.66999999999996</v>
    <v>551.99</v>
    <v>551.97</v>
    <v>545.73</v>
    <v>540.4</v>
    <v>550.53</v>
    <v>545.52</v>
    <v>571.92999999999995</v>
    <v>572.23</v>
    <v>579.6</v>
    <v>563.13</v>
    <v>575.54</v>
    <v>539.49</v>
    <v>524.74</v>
    <v>538.79</v>
    <v>548.74</v>
    <v>518.36</v>
    <v>526.41</v>
    <v>517.21</v>
    <v>522.34</v>
    <v>497.99</v>
    <v>496.32</v>
    <v>484.24</v>
  </a>
  <a r="1">
    <v>134.03</v>
  </a>
  <a r="1" c="27">
    <v>70.44</v>
    <v>70.38</v>
    <v>65.09</v>
    <v>67.87</v>
    <v>68.14</v>
    <v>64.760000000000005</v>
    <v>61.99</v>
    <v>60.75</v>
    <v>62.24</v>
    <v>64.87</v>
    <v>63.2</v>
    <v>63.94</v>
    <v>64.12</v>
    <v>64.739999999999995</v>
    <v>64.47</v>
    <v>69.319999999999993</v>
    <v>70.47</v>
    <v>68.73</v>
    <v>66.09</v>
    <v>72.87</v>
    <v>76.19</v>
    <v>75.150000000000006</v>
    <v>71.62</v>
    <v>63.66</v>
    <v>61.52</v>
    <v>58.84</v>
    <v>59.5</v>
  </a>
  <a r="1" c="27">
    <v>157.27000000000001</v>
    <v>187.83</v>
    <v>181.6</v>
    <v>202.38</v>
    <v>219.02</v>
    <v>223.77</v>
    <v>237.92</v>
    <v>246.83</v>
    <v>207.37</v>
    <v>236.48</v>
    <v>237.22</v>
    <v>241.14</v>
    <v>265.92</v>
    <v>284.79000000000002</v>
    <v>315.42</v>
    <v>345.09</v>
    <v>362.75</v>
    <v>399.65</v>
    <v>414.88</v>
    <v>394.69</v>
    <v>411.66</v>
    <v>428.17</v>
    <v>412.37</v>
    <v>370.3</v>
    <v>426.13</v>
    <v>422.9</v>
    <v>357.22</v>
  </a>
  <a r="1" c="27">
    <v>107.01</v>
    <v>108.79</v>
    <v>105.55</v>
    <v>108.83</v>
    <v>112.94</v>
    <v>114.39</v>
    <v>122.25</v>
    <v>118.72</v>
    <v>113.55</v>
    <v>116.31</v>
    <v>114.23</v>
    <v>114.76</v>
    <v>119.53</v>
    <v>122.06</v>
    <v>122.31</v>
    <v>110.85</v>
    <v>114.61</v>
    <v>113.59</v>
    <v>119.26</v>
    <v>137.65</v>
    <v>139.24</v>
    <v>143.79</v>
    <v>144.30000000000001</v>
    <v>132.4</v>
    <v>130.16</v>
    <v>129.69999999999999</v>
    <v>131.29</v>
  </a>
  <a r="1" c="27">
    <v>304.14999999999998</v>
    <v>310.48</v>
    <v>301.74</v>
    <v>280.47000000000003</v>
    <v>280.73</v>
    <v>249.49</v>
    <v>250.01</v>
    <v>258.51</v>
    <v>251.41</v>
    <v>247.62</v>
    <v>239.71</v>
    <v>255.38</v>
    <v>253.39</v>
    <v>261.48</v>
    <v>256</v>
    <v>264.58999999999997</v>
    <v>258.52</v>
    <v>253.21</v>
    <v>249.37</v>
    <v>241.58</v>
    <v>208.45</v>
    <v>216.51</v>
    <v>228.2</v>
    <v>228.13</v>
    <v>207.93</v>
    <v>214.82</v>
    <v>207.1</v>
  </a>
  <a r="1" c="27">
    <v>95.06</v>
    <v>89.98</v>
    <v>87.61</v>
    <v>96.44</v>
    <v>99.05</v>
    <v>99.12</v>
    <v>105.74</v>
    <v>104.75</v>
    <v>101.82</v>
    <v>110.81</v>
    <v>122.44</v>
    <v>129.87</v>
    <v>127.84</v>
    <v>123.95</v>
    <v>127.7</v>
    <v>132.38</v>
    <v>139.94999999999999</v>
    <v>128.91999999999999</v>
    <v>117.59</v>
    <v>123.83</v>
    <v>126.06</v>
    <v>134.51</v>
    <v>126.48</v>
    <v>115.79</v>
    <v>107.46</v>
    <v>105.92</v>
    <v>107</v>
  </a>
  <a r="1">
    <v>58.27</v>
  </a>
  <a r="1">
    <v>143.04</v>
  </a>
  <a r="1" c="27">
    <v>186.38</v>
    <v>183.75</v>
    <v>179.28</v>
    <v>185.47</v>
    <v>187.14</v>
    <v>202.11</v>
    <v>196.29</v>
    <v>193.36</v>
    <v>195.02</v>
    <v>197.89</v>
    <v>199.8</v>
    <v>201.74</v>
    <v>203.29</v>
    <v>208.45</v>
    <v>209.14</v>
    <v>210.64</v>
    <v>215.65</v>
    <v>220.74</v>
    <v>223.98</v>
    <v>231.91</v>
    <v>229.76</v>
    <v>233.51</v>
    <v>239.22</v>
    <v>221.98</v>
    <v>214.49</v>
    <v>209.37</v>
    <v>209.24</v>
  </a>
  <a r="1" c="27">
    <v>46.02</v>
    <v>45.52</v>
    <v>42.31</v>
    <v>42.6</v>
    <v>44.19</v>
    <v>44.63</v>
    <v>44.74</v>
    <v>44.86</v>
    <v>45.48</v>
    <v>46.5</v>
    <v>47.53</v>
    <v>49.89</v>
    <v>50.08</v>
    <v>50.61</v>
    <v>49.74</v>
    <v>50.62</v>
    <v>49.99</v>
    <v>49.57</v>
    <v>51.42</v>
    <v>55.81</v>
    <v>51.9</v>
    <v>52.32</v>
    <v>49.31</v>
    <v>46.49</v>
    <v>43.83</v>
    <v>44.16</v>
    <v>44.53</v>
  </a>
  <a r="1">
    <v>1443.21</v>
  </a>
  <a r="1" c="27">
    <v>143.09</v>
    <v>141.33000000000001</v>
    <v>140.38</v>
    <v>143.84</v>
    <v>141.91</v>
    <v>140.13999999999999</v>
    <v>144.61000000000001</v>
    <v>146.08000000000001</v>
    <v>151.43</v>
    <v>151.91999999999999</v>
    <v>153.28</v>
    <v>156.13999999999999</v>
    <v>154.6</v>
    <v>157.11000000000001</v>
    <v>154.28</v>
    <v>157.81</v>
    <v>157.38</v>
    <v>153.24</v>
    <v>149.81</v>
    <v>155.86000000000001</v>
    <v>154.46</v>
    <v>158.22999999999999</v>
    <v>161.66</v>
    <v>159.33000000000001</v>
    <v>155.43</v>
    <v>154.97999999999999</v>
    <v>155.12</v>
  </a>
  <a r="1" c="27">
    <v>73.849999999999994</v>
    <v>75.42</v>
    <v>64.430000000000007</v>
    <v>67.849999999999994</v>
    <v>70.209999999999994</v>
    <v>67.72</v>
    <v>68.27</v>
    <v>65.650000000000006</v>
    <v>66.150000000000006</v>
    <v>71.52</v>
    <v>72.47</v>
    <v>75.680000000000007</v>
    <v>72.75</v>
    <v>75.38</v>
    <v>76.47</v>
    <v>82.35</v>
    <v>84.61</v>
    <v>82.48</v>
    <v>78.66</v>
    <v>89.39</v>
    <v>91.06</v>
    <v>91.96</v>
    <v>86.49</v>
    <v>76.08</v>
    <v>70.150000000000006</v>
    <v>67.28</v>
    <v>68.819999999999993</v>
  </a>
  <a r="1" c="27">
    <v>173.34</v>
    <v>173.35</v>
    <v>159.49</v>
    <v>162.19</v>
    <v>169.47</v>
    <v>182.96</v>
    <v>180.87</v>
    <v>179.06</v>
    <v>172.71</v>
    <v>197.95</v>
    <v>210.49</v>
    <v>208.81</v>
    <v>202.47</v>
    <v>206.04</v>
    <v>206.59</v>
    <v>207.3</v>
    <v>214.2</v>
    <v>212.94</v>
    <v>216.33</v>
    <v>230.95</v>
    <v>233.51</v>
    <v>243.54</v>
    <v>307.33</v>
    <v>272.43</v>
    <v>279.77999999999997</v>
    <v>277.52999999999997</v>
    <v>279.06</v>
  </a>
  <a r="1" c="27">
    <v>94.53</v>
    <v>94.54</v>
    <v>98.29</v>
    <v>97.8</v>
    <v>95.88</v>
    <v>94.04</v>
    <v>91.44</v>
    <v>90.69</v>
    <v>89.27</v>
    <v>91.12</v>
    <v>86.28</v>
    <v>84.44</v>
    <v>85.28</v>
    <v>87.17</v>
    <v>87.18</v>
    <v>87.01</v>
    <v>88.9</v>
    <v>87.54</v>
    <v>89.31</v>
    <v>90.08</v>
    <v>94.95</v>
    <v>94.3</v>
    <v>97.38</v>
    <v>97.48</v>
    <v>98.01</v>
    <v>93.39</v>
    <v>95.55</v>
  </a>
  <a r="1" c="27">
    <v>148.25</v>
    <v>147.47</v>
    <v>139.82</v>
    <v>139.09</v>
    <v>145.86000000000001</v>
    <v>143.19</v>
    <v>143.65</v>
    <v>149.19999999999999</v>
    <v>146.44</v>
    <v>152.59</v>
    <v>158.6</v>
    <v>156.68</v>
    <v>148.13</v>
    <v>146.31</v>
    <v>152.34</v>
    <v>147.41</v>
    <v>151.28</v>
    <v>154.02000000000001</v>
    <v>163.95</v>
    <v>166.93</v>
    <v>169.14</v>
    <v>176.01</v>
    <v>174.08</v>
    <v>180.54</v>
    <v>182.37</v>
    <v>192.54</v>
    <v>201.84</v>
  </a>
  <a r="1" c="27">
    <v>66.98</v>
    <v>67.66</v>
    <v>65.8</v>
    <v>66.08</v>
    <v>67.86</v>
    <v>72.88</v>
    <v>73.2</v>
    <v>72.62</v>
    <v>75.98</v>
    <v>77.709999999999994</v>
    <v>80.72</v>
    <v>83.94</v>
    <v>85.41</v>
    <v>85.57</v>
    <v>81.28</v>
    <v>85.26</v>
    <v>84.74</v>
    <v>84.18</v>
    <v>82.06</v>
    <v>77.08</v>
    <v>66.55</v>
    <v>65.03</v>
    <v>64.430000000000007</v>
    <v>66.260000000000005</v>
    <v>60.37</v>
    <v>62.07</v>
    <v>59.73</v>
  </a>
  <a r="1" c="27">
    <v>26.63</v>
    <v>26.39</v>
    <v>24.16</v>
    <v>23.58</v>
    <v>24.57</v>
    <v>24.2</v>
    <v>24.85</v>
    <v>24.96</v>
    <v>24.91</v>
    <v>25.45</v>
    <v>26.28</v>
    <v>27.6</v>
    <v>27.66</v>
    <v>27.79</v>
    <v>27.56</v>
    <v>28.52</v>
    <v>27.77</v>
    <v>27.48</v>
    <v>28.5</v>
    <v>30.93</v>
    <v>29.74</v>
    <v>30.06</v>
    <v>27.83</v>
    <v>27.04</v>
    <v>25</v>
    <v>25.36</v>
    <v>25.16</v>
  </a>
  <a r="1" c="27">
    <v>67.099999999999994</v>
    <v>67.05</v>
    <v>65.12</v>
    <v>66.599999999999994</v>
    <v>70.33</v>
    <v>58.22</v>
    <v>55</v>
    <v>58.06</v>
    <v>60.23</v>
    <v>63.47</v>
    <v>65.489999999999995</v>
    <v>66.959999999999994</v>
    <v>66.06</v>
    <v>67.569999999999993</v>
    <v>66.540000000000006</v>
    <v>67.400000000000006</v>
    <v>69.540000000000006</v>
    <v>72.86</v>
    <v>73.040000000000006</v>
    <v>69.97</v>
    <v>70.02</v>
    <v>73.08</v>
    <v>73.430000000000007</v>
    <v>68.099999999999994</v>
    <v>64.239999999999995</v>
    <v>66.95</v>
    <v>62.25</v>
  </a>
  <a r="1" c="27">
    <v>31.862300000000001</v>
    <v>33.3429</v>
    <v>30.824999999999999</v>
    <v>33.280200000000001</v>
    <v>33.882399999999997</v>
    <v>34.150100000000002</v>
    <v>39.799999999999997</v>
    <v>39.71</v>
    <v>38.54</v>
    <v>39.770000000000003</v>
    <v>40.51</v>
    <v>40.93</v>
    <v>41.26</v>
    <v>41.26</v>
    <v>40.869999999999997</v>
    <v>43.81</v>
    <v>42.86</v>
    <v>44.14</v>
    <v>43.92</v>
    <v>46.73</v>
    <v>50.22</v>
    <v>50.41</v>
    <v>50.04</v>
    <v>45.26</v>
    <v>44.9</v>
    <v>42.44</v>
    <v>45.26</v>
  </a>
  <a r="1">
    <v>154.51</v>
  </a>
  <a r="1" c="27">
    <v>1156.45</v>
    <v>1160.69</v>
    <v>1132.3599999999999</v>
    <v>1161.1600000000001</v>
    <v>1136.6300000000001</v>
    <v>1082.81</v>
    <v>1082.2</v>
    <v>1057.94</v>
    <v>1014.72</v>
    <v>1047.3</v>
    <v>1072.1600000000001</v>
    <v>1089.0899999999999</v>
    <v>1060.17</v>
    <v>1088.1099999999999</v>
    <v>1085.06</v>
    <v>1085.0999999999999</v>
    <v>1163.17</v>
    <v>1129.9100000000001</v>
    <v>1118.94</v>
    <v>1056.3800000000001</v>
    <v>1071.51</v>
    <v>1093.6400000000001</v>
    <v>1063.23</v>
    <v>955.45</v>
    <v>924.11</v>
    <v>957.91</v>
    <v>933.85</v>
  </a>
  <a r="1">
    <v>734.3</v>
  </a>
  <a r="1">
    <v>279.06</v>
  </a>
  <a r="1" c="27">
    <v>76.150000000000006</v>
    <v>76.86</v>
    <v>70.430000000000007</v>
    <v>79.709999999999994</v>
    <v>83.26</v>
    <v>82.14</v>
    <v>79.03</v>
    <v>75.72</v>
    <v>76.45</v>
    <v>79.28</v>
    <v>74.17</v>
    <v>73.459999999999994</v>
    <v>71.83</v>
    <v>69.61</v>
    <v>69.180000000000007</v>
    <v>70.61</v>
    <v>67.760000000000005</v>
    <v>67.05</v>
    <v>65.099999999999994</v>
    <v>70.41</v>
    <v>65.8</v>
    <v>64.48</v>
    <v>61.97</v>
    <v>66.680000000000007</v>
    <v>62.59</v>
    <v>62.8</v>
    <v>62.98</v>
  </a>
  <a r="1">
    <v>124.18</v>
  </a>
  <a r="1" c="27">
    <v>284.31</v>
    <v>288.37</v>
    <v>277.82</v>
    <v>281.27999999999997</v>
    <v>307.45999999999998</v>
    <v>307.41000000000003</v>
    <v>306.38</v>
    <v>305.69</v>
    <v>297.44</v>
    <v>308.58</v>
    <v>307.94</v>
    <v>309.24</v>
    <v>300.98</v>
    <v>305.08999999999997</v>
    <v>291.5</v>
    <v>304.22000000000003</v>
    <v>305.67</v>
    <v>292.44</v>
    <v>306.7</v>
    <v>298.93</v>
    <v>262.38</v>
    <v>257.16000000000003</v>
    <v>240.21</v>
    <v>258.85000000000002</v>
    <v>246.28</v>
    <v>241.77</v>
    <v>236.34</v>
  </a>
  <a r="1" c="27">
    <v>72.45</v>
    <v>73.349999999999994</v>
    <v>67.75</v>
    <v>69.709999999999994</v>
    <v>68.900000000000006</v>
    <v>65.989999999999995</v>
    <v>66.260000000000005</v>
    <v>64.739999999999995</v>
    <v>65.099999999999994</v>
    <v>65.98</v>
    <v>68.03</v>
    <v>68.72</v>
    <v>68.010000000000005</v>
    <v>67.760000000000005</v>
    <v>68.319999999999993</v>
    <v>70.52</v>
    <v>72.48</v>
    <v>72.459999999999994</v>
    <v>73.489999999999995</v>
    <v>78.98</v>
    <v>80.459999999999994</v>
    <v>77.81</v>
    <v>78</v>
    <v>71.010000000000005</v>
    <v>66.84</v>
    <v>64.09</v>
    <v>64.42</v>
  </a>
  <a r="1">
    <v>15.97</v>
  </a>
  <a r="1" c="27">
    <v>198.69</v>
    <v>193.14</v>
    <v>180.89</v>
    <v>184.47</v>
    <v>196.22</v>
    <v>194.91</v>
    <v>193.76</v>
    <v>199.98</v>
    <v>190.62</v>
    <v>193.73</v>
    <v>190.53</v>
    <v>185.77</v>
    <v>168.32</v>
    <v>163.69</v>
    <v>165.14</v>
    <v>176.17</v>
    <v>175.63</v>
    <v>175.38</v>
    <v>176.19</v>
    <v>203</v>
    <v>203.26</v>
    <v>196.76</v>
    <v>198.21</v>
    <v>221.28</v>
    <v>226.18</v>
    <v>232.53</v>
    <v>251.91</v>
  </a>
  <a r="1">
    <v>43.4</v>
  </a>
  <a r="1" c="27">
    <v>385.73500000000001</v>
    <v>403.3</v>
    <v>407.79</v>
    <v>416.81</v>
    <v>421.39</v>
    <v>425.57</v>
    <v>409.47</v>
    <v>437.15</v>
    <v>426.76</v>
    <v>433.61</v>
    <v>455.48</v>
    <v>452.04</v>
    <v>456.2</v>
    <v>462.9</v>
    <v>452.13</v>
    <v>463.86</v>
    <v>441.36</v>
    <v>468.41</v>
    <v>469.9</v>
    <v>477.92</v>
    <v>491.47</v>
    <v>476.9</v>
    <v>496.83</v>
    <v>456.69</v>
    <v>469.34</v>
    <v>454</v>
    <v>433.07</v>
  </a>
  <a r="1" c="27">
    <v>128.21</v>
    <v>124.61</v>
    <v>125.55</v>
    <v>126.56</v>
    <v>124.6</v>
    <v>117.03</v>
    <v>111.96</v>
    <v>112.1</v>
    <v>111.46</v>
    <v>111.69</v>
    <v>112.06</v>
    <v>115.45</v>
    <v>112.28</v>
    <v>114.19</v>
    <v>108.6</v>
    <v>113.77</v>
    <v>111.18</v>
    <v>106.63</v>
    <v>103.13</v>
    <v>98.53</v>
    <v>94.38</v>
    <v>91.24</v>
    <v>93.65</v>
    <v>100.85</v>
    <v>92.61</v>
    <v>92.55</v>
    <v>91.68</v>
  </a>
  <a r="1">
    <v>525.72</v>
  </a>
  <a r="1">
    <v>189.71</v>
  </a>
  <a r="1" c="27">
    <v>21.98</v>
    <v>23.86</v>
    <v>21.95</v>
    <v>23.09</v>
    <v>23.02</v>
    <v>18.47</v>
    <v>18</v>
    <v>18.47</v>
    <v>18.309999999999999</v>
    <v>18.739999999999998</v>
    <v>18.54</v>
    <v>19.149999999999999</v>
    <v>18.96</v>
    <v>19.38</v>
    <v>19.5</v>
    <v>21.07</v>
    <v>20.11</v>
    <v>19.84</v>
    <v>20.07</v>
    <v>21.73</v>
    <v>19.79</v>
    <v>21.58</v>
    <v>20.37</v>
    <v>17.690000000000001</v>
    <v>17.399999999999999</v>
    <v>16.149999999999999</v>
    <v>15.97</v>
  </a>
  <a r="1" c="27">
    <v>159.46</v>
    <v>164.67</v>
    <v>214.9</v>
    <v>233.08</v>
    <v>252.92</v>
    <v>256.12</v>
    <v>233.54</v>
    <v>246.81</v>
    <v>203.78</v>
    <v>217.53</v>
    <v>217.97</v>
    <v>210.78</v>
    <v>213.43</v>
    <v>214.99</v>
    <v>223.47</v>
    <v>203.17</v>
    <v>231.83</v>
    <v>259.68</v>
    <v>236.73</v>
    <v>208.44</v>
    <v>207.32</v>
    <v>200.15</v>
    <v>200.21</v>
    <v>192.43</v>
    <v>193.39</v>
    <v>201.33</v>
    <v>201.99</v>
  </a>
  <a r="1" c="27">
    <v>45.32</v>
    <v>47.17</v>
    <v>45.69</v>
    <v>46.58</v>
    <v>48.87</v>
    <v>38.64</v>
    <v>38.1</v>
    <v>37.35</v>
    <v>37.67</v>
    <v>39.479999999999997</v>
    <v>39.06</v>
    <v>38.54</v>
    <v>38.24</v>
    <v>39.89</v>
    <v>40.25</v>
    <v>43.34</v>
    <v>43.35</v>
    <v>43.04</v>
    <v>40.32</v>
    <v>46.58</v>
    <v>49.1</v>
    <v>46.87</v>
    <v>43.55</v>
    <v>39.53</v>
    <v>37.25</v>
    <v>33.76</v>
    <v>35.450000000000003</v>
  </a>
  <a r="1">
    <v>46.04</v>
  </a>
  <a r="1">
    <v>78.59</v>
  </a>
  <a r="1" c="27">
    <v>34.01</v>
    <v>36.01</v>
    <v>35.49</v>
    <v>36.6</v>
    <v>36.130000000000003</v>
    <v>36.020000000000003</v>
    <v>35.340000000000003</v>
    <v>34.9</v>
    <v>34.28</v>
    <v>35.36</v>
    <v>36.299999999999997</v>
    <v>37.39</v>
    <v>36.5</v>
    <v>36.619999999999997</v>
    <v>36.270000000000003</v>
    <v>35.200000000000003</v>
    <v>36.25</v>
    <v>36.64</v>
    <v>37.76</v>
    <v>40.61</v>
    <v>40.869999999999997</v>
    <v>42.31</v>
    <v>42.69</v>
    <v>39.950000000000003</v>
    <v>39.299999999999997</v>
    <v>38.17</v>
    <v>39.67</v>
  </a>
  <a r="1">
    <v>98.66</v>
  </a>
  <a r="1">
    <v>13.05</v>
  </a>
  <a r="1">
    <v>19.45</v>
  </a>
  <a r="1" c="27">
    <v>224.05</v>
    <v>214.4</v>
    <v>202.49</v>
    <v>211.34</v>
    <v>225.01</v>
    <v>219.99</v>
    <v>217.82</v>
    <v>211.15</v>
    <v>207.87</v>
    <v>219.07</v>
    <v>230.68</v>
    <v>237.87</v>
    <v>243.73</v>
    <v>249.32</v>
    <v>247.93</v>
    <v>249.2</v>
    <v>239.14</v>
    <v>217.3</v>
    <v>218.93</v>
    <v>222.79</v>
    <v>207.37</v>
    <v>208.42</v>
    <v>195.64</v>
    <v>187.71</v>
    <v>179.79</v>
    <v>181.46</v>
    <v>176.1</v>
  </a>
  <a r="1" c="27">
    <v>184.84</v>
    <v>214.99</v>
    <v>202.46</v>
    <v>209.06</v>
    <v>223.01</v>
    <v>215.38</v>
    <v>209.94</v>
    <v>221.21</v>
    <v>227.39</v>
    <v>226.78</v>
    <v>226.25</v>
    <v>226.33</v>
    <v>224.84</v>
    <v>230.32</v>
    <v>230.4</v>
    <v>238.37</v>
    <v>235.99</v>
    <v>235.01</v>
    <v>218.89</v>
    <v>216.61</v>
    <v>212.58</v>
    <v>209.5</v>
    <v>210.64</v>
    <v>195.5</v>
    <v>187.32</v>
    <v>189.35</v>
    <v>181.52</v>
  </a>
  <a r="1" c="27">
    <v>294.98</v>
    <v>297</v>
    <v>291.49</v>
    <v>300.14</v>
    <v>303.87</v>
    <v>308.95</v>
    <v>307.27</v>
    <v>304.82</v>
    <v>287.44</v>
    <v>298.45</v>
    <v>283.94</v>
    <v>299.81</v>
    <v>307.20999999999998</v>
    <v>315.14</v>
    <v>320.75</v>
    <v>321.58999999999997</v>
    <v>325.12</v>
    <v>293.87</v>
    <v>306.79000000000002</v>
    <v>321</v>
    <v>315.41000000000003</v>
    <v>343.22</v>
    <v>342.26</v>
    <v>323.11</v>
    <v>299.69</v>
    <v>286.79000000000002</v>
    <v>282.81</v>
  </a>
  <a r="1" c="27">
    <v>82.62</v>
    <v>84.24</v>
    <v>79.42</v>
    <v>78.63</v>
    <v>79.62</v>
    <v>84.04</v>
    <v>82.86</v>
    <v>84.47</v>
    <v>84.29</v>
    <v>84.82</v>
    <v>87.52</v>
    <v>89.94</v>
    <v>88.95</v>
    <v>89.38</v>
    <v>89.42</v>
    <v>90.29</v>
    <v>88.48</v>
    <v>91.21</v>
    <v>94.72</v>
    <v>97.34</v>
    <v>90.39</v>
    <v>95.76</v>
    <v>95.42</v>
    <v>92.26</v>
    <v>85.83</v>
    <v>85.07</v>
    <v>87.01</v>
  </a>
  <a r="1" c="27">
    <v>280.69</v>
    <v>283.95999999999998</v>
    <v>283.01</v>
    <v>268.20999999999998</v>
    <v>281.94</v>
    <v>276.94</v>
    <v>287.55</v>
    <v>295.49</v>
    <v>298.29000000000002</v>
    <v>296.18</v>
    <v>295</v>
    <v>308.47000000000003</v>
    <v>310.60000000000002</v>
    <v>313.47000000000003</v>
    <v>310.06</v>
    <v>306.81</v>
    <v>300.77</v>
    <v>300.91000000000003</v>
    <v>309.56</v>
    <v>330.97</v>
    <v>324.95</v>
    <v>331.62</v>
    <v>340.86</v>
    <v>328</v>
    <v>328.97</v>
    <v>322.58</v>
    <v>319.08999999999997</v>
  </a>
  <a r="1" c="27">
    <v>356.08</v>
    <v>363.81</v>
    <v>360.15</v>
    <v>346.6</v>
    <v>337.73</v>
    <v>340.68</v>
    <v>346.32</v>
    <v>350.13</v>
    <v>346.51</v>
    <v>353.92</v>
    <v>345.2</v>
    <v>353.79</v>
    <v>350.04</v>
    <v>356.65</v>
    <v>344.27</v>
    <v>350.8</v>
    <v>343.86</v>
    <v>338.69</v>
    <v>349.64</v>
    <v>342.04</v>
    <v>321.7</v>
    <v>325.07</v>
    <v>335.47</v>
    <v>340.6</v>
    <v>321.41000000000003</v>
    <v>325.63</v>
    <v>313.66000000000003</v>
  </a>
  <a r="1" c="27">
    <v>102.12</v>
    <v>100.21</v>
    <v>99.22</v>
    <v>105.74</v>
    <v>101.99</v>
    <v>98.66</v>
    <v>99.22</v>
    <v>104.3</v>
    <v>101.7</v>
    <v>109.49</v>
    <v>132.37</v>
    <v>133.21</v>
    <v>137.28</v>
    <v>137.84</v>
    <v>136.82</v>
    <v>142.74</v>
    <v>148.74</v>
    <v>146.91999999999999</v>
    <v>143.43</v>
    <v>146.65</v>
    <v>153.84</v>
    <v>150.63999999999999</v>
    <v>156.24</v>
    <v>146.31</v>
    <v>131.84</v>
    <v>124.52</v>
    <v>117.16</v>
  </a>
  <a r="1" c="27">
    <v>66.12</v>
    <v>70.36</v>
    <v>69.010000000000005</v>
    <v>66.23</v>
    <v>68.75</v>
    <v>70.36</v>
    <v>70.540000000000006</v>
    <v>66.03</v>
    <v>61.05</v>
    <v>65.02</v>
    <v>64.5</v>
    <v>64.150000000000006</v>
    <v>64.260000000000005</v>
    <v>66.16</v>
    <v>67.23</v>
    <v>70.47</v>
    <v>73.36</v>
    <v>77.58</v>
    <v>74.88</v>
    <v>74.59</v>
    <v>74.75</v>
    <v>74.394999999999996</v>
    <v>71.19</v>
    <v>66.7</v>
    <v>66.19</v>
    <v>65.47</v>
    <v>64.2</v>
  </a>
  <a r="1" c="27">
    <v>175.69</v>
    <v>166.82</v>
    <v>160.28</v>
    <v>161.49</v>
    <v>162.44</v>
    <v>158.66999999999999</v>
    <v>163.11000000000001</v>
    <v>158.72999999999999</v>
    <v>152.99</v>
    <v>156.54</v>
    <v>163.13</v>
    <v>163.85</v>
    <v>163.01</v>
    <v>165.3</v>
    <v>163.6</v>
    <v>167.71</v>
    <v>171.78</v>
    <v>169.03</v>
    <v>165.86</v>
    <v>172.14</v>
    <v>158.68</v>
    <v>158.26</v>
    <v>153.08000000000001</v>
    <v>152.05000000000001</v>
    <v>145.97</v>
    <v>143.81</v>
    <v>141.32</v>
  </a>
  <a r="1">
    <v>112.75</v>
  </a>
  <a r="1">
    <v>29.1</v>
  </a>
  <a r="1" c="27">
    <v>149.38</v>
    <v>146.26</v>
    <v>151.54</v>
    <v>152.93</v>
    <v>155.83000000000001</v>
    <v>148.94</v>
    <v>160.80000000000001</v>
    <v>164.02</v>
    <v>170.8</v>
    <v>174.48</v>
    <v>181.71</v>
    <v>187.5</v>
    <v>184.5</v>
    <v>186.13</v>
    <v>178.35</v>
    <v>189.16</v>
    <v>190.32</v>
    <v>185.11</v>
    <v>179.21</v>
    <v>173.36</v>
    <v>156.69</v>
    <v>159.19</v>
    <v>162.46</v>
    <v>171.83</v>
    <v>168.77</v>
    <v>165.38</v>
    <v>153.31</v>
  </a>
  <a r="1" c="27">
    <v>47.47</v>
    <v>44.85</v>
    <v>42.15</v>
    <v>40.9</v>
    <v>42.57</v>
    <v>41.2</v>
    <v>41.31</v>
    <v>42.76</v>
    <v>41.44</v>
    <v>42</v>
    <v>42.43</v>
    <v>41.07</v>
    <v>39.619999999999997</v>
    <v>39.85</v>
    <v>42.38</v>
    <v>42.86</v>
    <v>42.7</v>
    <v>44.1</v>
    <v>45.39</v>
    <v>46.31</v>
    <v>46.07</v>
    <v>51.84</v>
    <v>53.08</v>
    <v>54.19</v>
    <v>57.88</v>
    <v>60.71</v>
    <v>65.319999999999993</v>
  </a>
  <a r="1" c="27">
    <v>52.21</v>
    <v>50.64</v>
    <v>48.65</v>
    <v>51.28</v>
    <v>52.57</v>
    <v>53.45</v>
    <v>53.2</v>
    <v>52.61</v>
    <v>51.56</v>
    <v>53.65</v>
    <v>53.95</v>
    <v>55.14</v>
    <v>55.27</v>
    <v>56.17</v>
    <v>55.95</v>
    <v>55.85</v>
    <v>52.97</v>
    <v>51.72</v>
    <v>53.2</v>
    <v>56.53</v>
    <v>52.55</v>
    <v>53.06</v>
    <v>49.83</v>
    <v>48.64</v>
    <v>46.72</v>
    <v>47.16</v>
    <v>46.97</v>
  </a>
  <a r="1" c="27">
    <v>44.09</v>
    <v>45.34</v>
    <v>47.07</v>
    <v>47.78</v>
    <v>48.034999999999997</v>
    <v>46.12</v>
    <v>46.21</v>
    <v>45.94</v>
    <v>45.75</v>
    <v>47.12</v>
    <v>43.81</v>
    <v>43.57</v>
    <v>43.66</v>
    <v>43.56</v>
    <v>43.92</v>
    <v>43.3</v>
    <v>44.73</v>
    <v>44.06</v>
    <v>44.78</v>
    <v>44.33</v>
    <v>48.48</v>
    <v>47.79</v>
    <v>49.47</v>
    <v>49.36</v>
    <v>49.82</v>
    <v>46.44</v>
    <v>48.32</v>
  </a>
  <a r="1" c="27">
    <v>103.47</v>
    <v>103.28</v>
    <v>101.43</v>
    <v>103.7</v>
    <v>103.55</v>
    <v>102.53</v>
    <v>102.66</v>
    <v>101.72</v>
    <v>100.31</v>
    <v>102.38</v>
    <v>106.58</v>
    <v>104.9</v>
    <v>103.28</v>
    <v>104.75</v>
    <v>104.63</v>
    <v>107.31</v>
    <v>106.49</v>
    <v>105.63</v>
    <v>105.68</v>
    <v>94.58</v>
    <v>93.76</v>
    <v>95.38</v>
    <v>94.63</v>
    <v>90.4</v>
    <v>88.59</v>
    <v>86.19</v>
    <v>88.45</v>
  </a>
  <a r="1" c="27">
    <v>134.46</v>
    <v>137.94999999999999</v>
    <v>137.09</v>
    <v>164.85</v>
    <v>165.11</v>
    <v>168.86</v>
    <v>170.96</v>
    <v>162.81</v>
    <v>166.43</v>
    <v>173.96</v>
    <v>188.41</v>
    <v>198.68</v>
    <v>197.68</v>
    <v>198.28</v>
    <v>196.78</v>
    <v>206.85</v>
    <v>204.38</v>
    <v>206.75</v>
    <v>202.72</v>
    <v>227.91</v>
    <v>221.76</v>
    <v>230.16</v>
    <v>233.41</v>
    <v>213.39</v>
    <v>200.25</v>
    <v>199.93</v>
    <v>205.59</v>
  </a>
  <a r="1" c="27">
    <v>201.35</v>
    <v>199.43</v>
    <v>181.45</v>
    <v>185.36</v>
    <v>189.09</v>
    <v>194.34</v>
    <v>196.95</v>
    <v>182.24</v>
    <v>177.93</v>
    <v>180.01</v>
    <v>179.36</v>
    <v>187.59</v>
    <v>190.88</v>
    <v>188.59</v>
    <v>187.85</v>
    <v>199.04</v>
    <v>211.51</v>
    <v>204.5</v>
    <v>204.65</v>
    <v>220.67</v>
    <v>214.57</v>
    <v>214.86</v>
    <v>205.65</v>
    <v>186.52</v>
    <v>179.99</v>
    <v>178.42</v>
    <v>175.29</v>
  </a>
  <a r="1">
    <v>72.95</v>
  </a>
  <a r="1" c="27">
    <v>168.45</v>
    <v>170.19</v>
    <v>176.48</v>
    <v>176.41</v>
    <v>175.93</v>
    <v>171.72</v>
    <v>176.91</v>
    <v>175.12</v>
    <v>175.16</v>
    <v>176.37</v>
    <v>171.29</v>
    <v>168.37</v>
    <v>166.7</v>
    <v>168.13</v>
    <v>169.36</v>
    <v>166.78</v>
    <v>170.47</v>
    <v>165.34</v>
    <v>166.34</v>
    <v>171.38</v>
    <v>179.25</v>
    <v>180.97</v>
    <v>186.79</v>
    <v>185.04</v>
    <v>188.58</v>
    <v>180.49</v>
    <v>183.19</v>
  </a>
  <a r="1" c="27">
    <v>565.41999999999996</v>
    <v>560.12</v>
    <v>546.95000000000005</v>
    <v>534.35</v>
    <v>542.29</v>
    <v>588.54999999999995</v>
    <v>582.85</v>
    <v>565.15</v>
    <v>561.99</v>
    <v>563.72</v>
    <v>538.26</v>
    <v>551.09</v>
    <v>568.28</v>
    <v>584.99</v>
    <v>565.25</v>
    <v>581.16</v>
    <v>602.58000000000004</v>
    <v>589.76</v>
    <v>609.22</v>
    <v>557.78</v>
    <v>526.05999999999995</v>
    <v>544.11</v>
    <v>571.83000000000004</v>
    <v>569.24</v>
    <v>547.9</v>
    <v>552.63</v>
    <v>523.4</v>
  </a>
  <a r="1">
    <v>167.06</v>
  </a>
  <a r="1" c="27">
    <v>153.71</v>
    <v>154.46</v>
    <v>156.88</v>
    <v>156.41</v>
    <v>161.88999999999999</v>
    <v>190.77</v>
    <v>203.67</v>
    <v>205.37</v>
    <v>209.48</v>
    <v>212.26</v>
    <v>198.83</v>
    <v>198.18</v>
    <v>202.95</v>
    <v>208.29</v>
    <v>205.72</v>
    <v>201.11</v>
    <v>212.45</v>
    <v>208.33</v>
    <v>214.88</v>
    <v>226.32</v>
    <v>220.79</v>
    <v>224.44</v>
    <v>229.23</v>
    <v>217.78</v>
    <v>217.08</v>
    <v>207.83</v>
    <v>206.58</v>
  </a>
  <a r="1">
    <v>131.29</v>
  </a>
  <a r="1" c="27">
    <v>175.01</v>
    <v>177.29</v>
    <v>173.29</v>
    <v>177.49</v>
    <v>167.3</v>
    <v>165.77</v>
    <v>167.35</v>
    <v>161.25</v>
    <v>162.87</v>
    <v>166.03</v>
    <v>159.08000000000001</v>
    <v>160.83000000000001</v>
    <v>160</v>
    <v>160.79</v>
    <v>160.91</v>
    <v>162.69</v>
    <v>164.99</v>
    <v>166.8</v>
    <v>165.39</v>
    <v>179.77</v>
    <v>179.5</v>
    <v>162.13999999999999</v>
    <v>161.15</v>
    <v>150.37</v>
    <v>145.35</v>
    <v>142.49</v>
    <v>144.5</v>
  </a>
  <a r="1">
    <v>95.88</v>
  </a>
  <a r="1" c="27">
    <v>91.14</v>
    <v>92.17</v>
    <v>88.55</v>
    <v>92.01</v>
    <v>97.2</v>
    <v>81.31</v>
    <v>83.8</v>
    <v>83.85</v>
    <v>80.84</v>
    <v>82.79</v>
    <v>82.47</v>
    <v>85.36</v>
    <v>84.66</v>
    <v>85.21</v>
    <v>87.06</v>
    <v>90.91</v>
    <v>93.03</v>
    <v>93.61</v>
    <v>91.22</v>
    <v>86.55</v>
    <v>82.38</v>
    <v>88.07</v>
    <v>90.86</v>
    <v>92.71</v>
    <v>91.34</v>
    <v>88.98</v>
    <v>87.98</v>
  </a>
  <a r="1" c="27">
    <v>123.39</v>
    <v>141.63999999999999</v>
    <v>136.62</v>
    <v>141.91999999999999</v>
    <v>148.03</v>
    <v>146.36000000000001</v>
    <v>146.74</v>
    <v>146.82</v>
    <v>151.25</v>
    <v>153.5</v>
    <v>145.49</v>
    <v>139.68</v>
    <v>137.24</v>
    <v>138.38999999999999</v>
    <v>137.94999999999999</v>
    <v>148.52000000000001</v>
    <v>139.63999999999999</v>
    <v>135.05000000000001</v>
    <v>133.85</v>
    <v>129.58000000000001</v>
    <v>125.81</v>
    <v>122.9</v>
    <v>121.38</v>
    <v>115.07</v>
    <v>111.51</v>
    <v>111.3</v>
    <v>110.24</v>
  </a>
  <a r="1" c="27">
    <v>38.81</v>
    <v>38.86</v>
    <v>39.24</v>
    <v>39.64</v>
    <v>39.53</v>
    <v>38.24</v>
    <v>39.409999999999997</v>
    <v>39.74</v>
    <v>39.56</v>
    <v>39.979999999999997</v>
    <v>38.43</v>
    <v>37.840000000000003</v>
    <v>37.6</v>
    <v>38.29</v>
    <v>38.729999999999997</v>
    <v>37.89</v>
    <v>39.71</v>
    <v>38.78</v>
    <v>39.69</v>
    <v>40.049999999999997</v>
    <v>42.52</v>
    <v>43</v>
    <v>43.5</v>
    <v>43.61</v>
    <v>44.01</v>
    <v>42.02</v>
    <v>42.38</v>
  </a>
  <a r="1" c="27">
    <v>286.29000000000002</v>
    <v>293.54000000000002</v>
    <v>294.42</v>
    <v>307.61</v>
    <v>302.24</v>
    <v>278.56</v>
    <v>278.05</v>
    <v>274.26</v>
    <v>269.51</v>
    <v>274.54000000000002</v>
    <v>272.06</v>
    <v>274.97000000000003</v>
    <v>259.14999999999998</v>
    <v>260.66000000000003</v>
    <v>258.44</v>
    <v>278.14999999999998</v>
    <v>293.89</v>
    <v>282.63</v>
    <v>276.19</v>
    <v>287</v>
    <v>300.35000000000002</v>
    <v>305</v>
    <v>307.06</v>
    <v>308.13</v>
    <v>297.72000000000003</v>
    <v>265.77999999999997</v>
    <v>266.01</v>
  </a>
  <a r="1">
    <v>23.07</v>
  </a>
  <a r="1" c="27">
    <v>61.15</v>
    <v>61.96</v>
    <v>57.27</v>
    <v>58.07</v>
    <v>59.38</v>
    <v>64.650000000000006</v>
    <v>65.97</v>
    <v>64.84</v>
    <v>65.69</v>
    <v>65.5</v>
    <v>68.400000000000006</v>
    <v>71.099999999999994</v>
    <v>71.77</v>
    <v>74.3</v>
    <v>73.760000000000005</v>
    <v>73.680000000000007</v>
    <v>71.989999999999995</v>
    <v>72.88</v>
    <v>72.78</v>
    <v>64.78</v>
    <v>56.35</v>
    <v>57.02</v>
    <v>56.34</v>
    <v>59.78</v>
    <v>57.39</v>
    <v>57.82</v>
    <v>59.11</v>
  </a>
  <a r="1">
    <v>4.22</v>
  </a>
  <a r="1" c="27">
    <v>267.8</v>
    <v>264.47000000000003</v>
    <v>255.86</v>
    <v>259.62</v>
    <v>264.66000000000003</v>
    <v>251.77</v>
    <v>260.42</v>
    <v>254.59</v>
    <v>261.2</v>
    <v>263.62</v>
    <v>255.37</v>
    <v>257.62</v>
    <v>257.39</v>
    <v>262.16000000000003</v>
    <v>256.89</v>
    <v>251.02</v>
    <v>258.27</v>
    <v>254.08</v>
    <v>251.87</v>
    <v>258.06</v>
    <v>251.16</v>
    <v>254.52</v>
    <v>255.11</v>
    <v>255.13</v>
    <v>249.95</v>
    <v>240.19</v>
    <v>239.61</v>
  </a>
  <a r="1">
    <v>76.209999999999994</v>
  </a>
  <a r="1" c="27">
    <v>85.25</v>
    <v>86.86</v>
    <v>85.14</v>
    <v>90.77</v>
    <v>83.37</v>
    <v>80.97</v>
    <v>83.39</v>
    <v>87.8</v>
    <v>83.49</v>
    <v>90.73</v>
    <v>89.76</v>
    <v>98.14</v>
    <v>101.29</v>
    <v>105.78</v>
    <v>101.22</v>
    <v>108.99</v>
    <v>114.12</v>
    <v>124.31</v>
    <v>112.35</v>
    <v>115.32</v>
    <v>125.8</v>
    <v>122.13</v>
    <v>130</v>
    <v>116.29</v>
    <v>109.58</v>
    <v>95.8</v>
    <v>102.1</v>
  </a>
  <a r="1" c="27">
    <v>199.56</v>
    <v>201.14</v>
    <v>207.02</v>
    <v>189.59</v>
    <v>186.55</v>
    <v>178.15</v>
    <v>180.05</v>
    <v>182.81</v>
    <v>180.92</v>
    <v>183.45</v>
    <v>181.82</v>
    <v>186.21</v>
    <v>184.7</v>
    <v>187</v>
    <v>182.47</v>
    <v>186.01</v>
    <v>182.4</v>
    <v>183.16</v>
    <v>188.19</v>
    <v>185.03</v>
    <v>174.06</v>
    <v>179.32</v>
    <v>186.74</v>
    <v>183.08</v>
    <v>172.15</v>
    <v>176.48</v>
    <v>169.17</v>
  </a>
  <a r="1">
    <v>22.75</v>
  </a>
  <a r="1">
    <v>43.13</v>
  </a>
  <a r="1" c="27">
    <v>456.52</v>
    <v>452.9</v>
    <v>456.3</v>
    <v>445</v>
    <v>438.98</v>
    <v>406.71</v>
    <v>390.75</v>
    <v>379.98</v>
    <v>368.99</v>
    <v>369.68</v>
    <v>374.39</v>
    <v>364.7</v>
    <v>369.97</v>
    <v>377.04</v>
    <v>381.02</v>
    <v>383.14</v>
    <v>400.61</v>
    <v>401.66</v>
    <v>402.54</v>
    <v>422.18</v>
    <v>461.76</v>
    <v>462.76</v>
    <v>482.26</v>
    <v>460.76</v>
    <v>473.12</v>
    <v>452.35</v>
    <v>438.32</v>
  </a>
  <a r="1">
    <v>511.75</v>
  </a>
  <a r="1" c="27">
    <v>67.22</v>
    <v>67.92</v>
    <v>67.94</v>
    <v>70.13</v>
    <v>70.63</v>
    <v>73.11</v>
    <v>71.069999999999993</v>
    <v>78</v>
    <v>76.099999999999994</v>
    <v>76.94</v>
    <v>77.97</v>
    <v>77.8</v>
    <v>78.42</v>
    <v>78.16</v>
    <v>76.040000000000006</v>
    <v>73.88</v>
    <v>75.19</v>
    <v>74.59</v>
    <v>78.319999999999993</v>
    <v>84.82</v>
    <v>76.849999999999994</v>
    <v>79.2</v>
    <v>79.459999999999994</v>
    <v>78.64</v>
    <v>78.33</v>
    <v>77.650000000000006</v>
    <v>79.92</v>
  </a>
  <a r="1">
    <v>133.80000000000001</v>
  </a>
  <a r="1">
    <v>122.52</v>
  </a>
  <a r="1">
    <v>191.66</v>
  </a>
  <a r="1">
    <v>73.58</v>
  </a>
  <a r="1">
    <v>114.48</v>
  </a>
  <a r="1">
    <v>63.92</v>
  </a>
  <a r="1" c="27">
    <v>175.63</v>
    <v>160.4</v>
    <v>158.02000000000001</v>
    <v>157.77000000000001</v>
    <v>171.05</v>
    <v>169.56</v>
    <v>175.62</v>
    <v>181.76</v>
    <v>173.45</v>
    <v>176.76</v>
    <v>174.14</v>
    <v>168.3</v>
    <v>162.71</v>
    <v>164.01</v>
    <v>165.31</v>
    <v>185.28</v>
    <v>183.46</v>
    <v>187.09</v>
    <v>181.43</v>
    <v>202.68</v>
    <v>200.17</v>
    <v>200.76</v>
    <v>204.64</v>
    <v>224.63</v>
    <v>230.59</v>
    <v>239.86</v>
    <v>254.32</v>
  </a>
  <a r="1">
    <v>343</v>
  </a>
  <a r="1">
    <v>192.6</v>
  </a>
  <a r="1">
    <v>84.29</v>
  </a>
  <a r="1">
    <v>91.4</v>
  </a>
  <a r="1">
    <v>38.619999999999997</v>
  </a>
  <a r="1" c="27">
    <v>202.37</v>
    <v>207.19</v>
    <v>208.55</v>
    <v>207.89</v>
    <v>217.11</v>
    <v>220.24</v>
    <v>212.285</v>
    <v>205.25</v>
    <v>182.9</v>
    <v>190.13</v>
    <v>198.84</v>
    <v>191.69</v>
    <v>186.88</v>
    <v>188.45</v>
    <v>179.37</v>
    <v>189.02</v>
    <v>187.66</v>
    <v>180.18</v>
    <v>176.97</v>
    <v>159.32</v>
    <v>166.95</v>
    <v>148.69999999999999</v>
    <v>148.91999999999999</v>
    <v>165.05</v>
    <v>167.01499999999999</v>
    <v>162.94999999999999</v>
    <v>147.02000000000001</v>
  </a>
  <a r="1" c="27">
    <v>86.76</v>
    <v>90.18</v>
    <v>92.41</v>
    <v>93.15</v>
    <v>92.12</v>
    <v>88.52</v>
    <v>87.97</v>
    <v>88.39</v>
    <v>89.15</v>
    <v>90.86</v>
    <v>88.17</v>
    <v>87.81</v>
    <v>87.3</v>
    <v>88.4</v>
    <v>88.14</v>
    <v>89.07</v>
    <v>93.71</v>
    <v>92.17</v>
    <v>93.56</v>
    <v>93.52</v>
    <v>99.39</v>
    <v>98.34</v>
    <v>100.3</v>
    <v>102.44</v>
    <v>102.91</v>
    <v>97.27</v>
    <v>99.69</v>
  </a>
  <a r="1" c="27">
    <v>137.69</v>
    <v>139.72999999999999</v>
    <v>130.34</v>
    <v>133.1</v>
    <v>130.93</v>
    <v>127.31</v>
    <v>126.66</v>
    <v>127.26</v>
    <v>128.56</v>
    <v>130.4</v>
    <v>130.24</v>
    <v>131.55000000000001</v>
    <v>125.46</v>
    <v>125.9</v>
    <v>124</v>
    <v>128.34</v>
    <v>136.94</v>
    <v>137.63</v>
    <v>138.99</v>
    <v>148.51</v>
    <v>147.16</v>
    <v>118.06</v>
    <v>119.26</v>
    <v>115.52</v>
    <v>105.74</v>
    <v>96.38</v>
    <v>105.02</v>
  </a>
  <a r="1" c="27">
    <v>32.08</v>
    <v>31.95</v>
    <v>30.39</v>
    <v>30.86</v>
    <v>30.93</v>
    <v>30.13</v>
    <v>30.74</v>
    <v>31.29</v>
    <v>31.66</v>
    <v>30.48</v>
    <v>29.6</v>
    <v>28.74</v>
    <v>28.58</v>
    <v>28.15</v>
    <v>27.71</v>
    <v>26.43</v>
    <v>26.08</v>
    <v>26.79</v>
    <v>27.98</v>
    <v>28.83</v>
    <v>29.49</v>
    <v>26.83</v>
    <v>26.95</v>
    <v>25.8</v>
    <v>21.71</v>
    <v>21.07</v>
    <v>21.99</v>
  </a>
  <a r="1" c="27">
    <v>40.08</v>
    <v>41.76</v>
    <v>39.82</v>
    <v>41.86</v>
    <v>41.19</v>
    <v>31.69</v>
    <v>30.59</v>
    <v>31.57</v>
    <v>31.63</v>
    <v>34.520000000000003</v>
    <v>33.94</v>
    <v>36.14</v>
    <v>37.64</v>
    <v>37.81</v>
    <v>37.49</v>
    <v>40.11</v>
    <v>39.96</v>
    <v>40.869999999999997</v>
    <v>38.869999999999997</v>
    <v>39.39</v>
    <v>36.299999999999997</v>
    <v>37.54</v>
    <v>37.22</v>
    <v>35.369999999999997</v>
    <v>32.520000000000003</v>
    <v>33.369999999999997</v>
    <v>30.86</v>
  </a>
  <a r="1" c="27">
    <v>35.75</v>
    <v>39.67</v>
    <v>40.880000000000003</v>
    <v>41.18</v>
    <v>41.37</v>
    <v>41.7</v>
    <v>39.81</v>
    <v>40.159999999999997</v>
    <v>39.869999999999997</v>
    <v>42.98</v>
    <v>45.2</v>
    <v>47.38</v>
    <v>49.15</v>
    <v>53.04</v>
    <v>51.93</v>
    <v>56.53</v>
    <v>58.71</v>
    <v>60.41</v>
    <v>60.23</v>
    <v>60.67</v>
    <v>62.84</v>
    <v>64.34</v>
    <v>68.08</v>
    <v>59.36</v>
    <v>56.38</v>
    <v>52.09</v>
    <v>56.24</v>
  </a>
  <a r="1">
    <v>183.19</v>
  </a>
  <a r="1" c="27">
    <v>115.71</v>
    <v>116.38</v>
    <v>111</v>
    <v>111.37</v>
    <v>116.12</v>
    <v>115.66</v>
    <v>118.31</v>
    <v>116.84</v>
    <v>114.36</v>
    <v>119.02</v>
    <v>123.61</v>
    <v>127.67</v>
    <v>128.5</v>
    <v>132.28</v>
    <v>129.07</v>
    <v>132.57</v>
    <v>128.02000000000001</v>
    <v>126.09</v>
    <v>130.86000000000001</v>
    <v>132.35</v>
    <v>127.97</v>
    <v>127.94</v>
    <v>128.62</v>
    <v>121.04</v>
    <v>121.34</v>
    <v>121.97</v>
    <v>122.52</v>
  </a>
  <a r="1" c="27">
    <v>188.11</v>
    <v>195.13</v>
    <v>192.13</v>
    <v>187.74</v>
    <v>179.38</v>
    <v>169.63</v>
    <v>170.61</v>
    <v>179.2</v>
    <v>186</v>
    <v>188.08</v>
    <v>182.3</v>
    <v>181.83</v>
    <v>189.26</v>
    <v>184.2</v>
    <v>182.41</v>
    <v>189.07</v>
    <v>197.76</v>
    <v>191.2</v>
    <v>194.75</v>
    <v>231.53</v>
    <v>222.58</v>
    <v>221.77</v>
    <v>236.28</v>
    <v>224.99</v>
    <v>217.09</v>
    <v>210.14</v>
    <v>213.73</v>
  </a>
  <a r="1" c="27">
    <v>296.7</v>
    <v>288.33</v>
    <v>280.11</v>
    <v>285.45999999999998</v>
    <v>284.38</v>
    <v>260.35000000000002</v>
    <v>276.52999999999997</v>
    <v>279.07</v>
    <v>288.82</v>
    <v>295.8</v>
    <v>310.64</v>
    <v>316.08999999999997</v>
    <v>309.81</v>
    <v>310.18</v>
    <v>300.58999999999997</v>
    <v>331.5</v>
    <v>320.66000000000003</v>
    <v>320.52</v>
    <v>314.63</v>
    <v>354.19</v>
    <v>337.12</v>
    <v>352.7</v>
    <v>325.10000000000002</v>
    <v>314.39999999999998</v>
    <v>317.52999999999997</v>
    <v>287.45999999999998</v>
    <v>284.93</v>
  </a>
  <a r="1" c="27">
    <v>724.54</v>
    <v>839.87</v>
    <v>833.49</v>
    <v>802.83</v>
    <v>825.45</v>
    <v>862.86</v>
    <v>924.37</v>
    <v>1025.28</v>
    <v>1059.7</v>
    <v>1075.47</v>
    <v>1010.31</v>
    <v>1027.51</v>
    <v>1071.44</v>
    <v>1077.75</v>
    <v>1080.3599999999999</v>
    <v>1063.56</v>
    <v>1038.4000000000001</v>
    <v>1064.29</v>
    <v>1037.1500000000001</v>
    <v>1058.18</v>
    <v>1040</v>
    <v>1009.52</v>
    <v>1051.99</v>
    <v>990.33</v>
    <v>985.08</v>
    <v>906.7</v>
    <v>878.24</v>
  </a>
  <a r="1">
    <v>62</v>
  </a>
  <a r="1">
    <v>88.59</v>
  </a>
  <a r="1">
    <v>63.43</v>
  </a>
  <a r="1" c="27">
    <v>29.716200000000001</v>
    <v>28.948</v>
    <v>27.599</v>
    <v>27.673999999999999</v>
    <v>27.430399999999999</v>
    <v>26.076699999999999</v>
    <v>25.622299999999999</v>
    <v>25.772200000000002</v>
    <v>25.622299999999999</v>
    <v>25.004000000000001</v>
    <v>25.584800000000001</v>
    <v>25.509899999999998</v>
    <v>27.702100000000002</v>
    <v>27.7864</v>
    <v>27.673999999999999</v>
    <v>28.37</v>
    <v>27.82</v>
    <v>29.3</v>
    <v>29.75</v>
    <v>31.37</v>
    <v>31.57</v>
    <v>31.34</v>
    <v>30.96</v>
    <v>31.91</v>
    <v>30.16</v>
    <v>29.02</v>
    <v>28.33</v>
  </a>
  <a r="1">
    <v>37.65</v>
  </a>
  <a r="1">
    <v>36.31</v>
  </a>
  <a r="1">
    <v>212.25</v>
  </a>
  <a r="1" c="27">
    <v>474.41</v>
    <v>466.73</v>
    <v>453.82</v>
    <v>450.89</v>
    <v>446</v>
    <v>418.3</v>
    <v>420.51</v>
    <v>423.39</v>
    <v>412.74</v>
    <v>410.32</v>
    <v>399.57</v>
    <v>416.24</v>
    <v>421.43</v>
    <v>424.77</v>
    <v>429.11</v>
    <v>444.08</v>
    <v>438.96</v>
    <v>451.57</v>
    <v>456.97</v>
    <v>448.24</v>
    <v>481</v>
    <v>496.51</v>
    <v>508.08</v>
    <v>484.74</v>
    <v>493.92</v>
    <v>488.15</v>
    <v>491.12</v>
  </a>
  <a r="1" c="27">
    <v>215.95</v>
    <v>214.54</v>
    <v>206.75</v>
    <v>203.33</v>
    <v>204.83</v>
    <v>195.76</v>
    <v>200.55</v>
    <v>197.22</v>
    <v>197.31</v>
    <v>204.07</v>
    <v>198.48</v>
    <v>205.07</v>
    <v>202.82</v>
    <v>208.91</v>
    <v>211.12</v>
    <v>219.35</v>
    <v>221.33</v>
    <v>225.39</v>
    <v>222.55</v>
    <v>238.86</v>
    <v>246.31</v>
    <v>237.21</v>
    <v>232.14</v>
    <v>222.52</v>
    <v>214.5</v>
    <v>202.73</v>
    <v>212.25</v>
  </a>
  <a r="1" c="27">
    <v>212.76</v>
    <v>210.82</v>
    <v>205.67</v>
    <v>195.87</v>
    <v>193.19</v>
    <v>191.52</v>
    <v>202.29</v>
    <v>214.3</v>
    <v>214.32</v>
    <v>212.98</v>
    <v>202.27</v>
    <v>207.18</v>
    <v>205</v>
    <v>207.8</v>
    <v>203.82</v>
    <v>212.21</v>
    <v>192.28</v>
    <v>193.65</v>
    <v>198.99</v>
    <v>207.55</v>
    <v>207.51</v>
    <v>206.37</v>
    <v>214.52</v>
    <v>212.32</v>
    <v>206.17</v>
    <v>205.62</v>
    <v>202.71</v>
  </a>
  <a r="1">
    <v>78.2</v>
  </a>
  <a r="1">
    <v>171.81</v>
  </a>
  <a r="1">
    <v>54.25</v>
  </a>
  <a r="1" c="27">
    <v>73.89</v>
    <v>72.89</v>
    <v>69.09</v>
    <v>68.09</v>
    <v>68.61</v>
    <v>67</v>
    <v>68.12</v>
    <v>70.489999999999995</v>
    <v>70.53</v>
    <v>72.819999999999993</v>
    <v>76.34</v>
    <v>73.59</v>
    <v>71.67</v>
    <v>72.849999999999994</v>
    <v>74.34</v>
    <v>72.7</v>
    <v>74.400000000000006</v>
    <v>78</v>
    <v>79.19</v>
    <v>81.84</v>
    <v>86.11</v>
    <v>87.33</v>
    <v>82.77</v>
    <v>86.93</v>
    <v>85.36</v>
    <v>89.21</v>
    <v>93.96</v>
  </a>
  <a r="1">
    <v>295.61</v>
  </a>
  <a r="1" c="27">
    <v>27.1</v>
    <v>27.97</v>
    <v>26.7</v>
    <v>28.71</v>
    <v>27.95</v>
    <v>27.23</v>
    <v>26.6</v>
    <v>27.87</v>
    <v>28.45</v>
    <v>28.98</v>
    <v>30.4</v>
    <v>30.76</v>
    <v>28.5</v>
    <v>26.19</v>
    <v>26.14</v>
    <v>25.96</v>
    <v>26.4</v>
    <v>27.57</v>
    <v>27.37</v>
    <v>29.45</v>
    <v>29.95</v>
    <v>29.99</v>
    <v>28.86</v>
    <v>25.26</v>
    <v>23.49</v>
    <v>22.8</v>
    <v>27.19</v>
  </a>
  <a r="1">
    <v>219.4</v>
  </a>
  <a r="1" c="27">
    <v>196.15039999999999</v>
    <v>196.9606</v>
    <v>189.29140000000001</v>
    <v>191.22280000000001</v>
    <v>203.64060000000001</v>
    <v>201.33</v>
    <v>194.07</v>
    <v>199.04</v>
    <v>190.02</v>
    <v>192.19</v>
    <v>191.33</v>
    <v>193.66</v>
    <v>199.11</v>
    <v>197.37</v>
    <v>195.88</v>
    <v>207.38</v>
    <v>219.39</v>
    <v>221.46</v>
    <v>227.52</v>
    <v>238.38</v>
    <v>241.38</v>
    <v>243.97</v>
    <v>243.59</v>
    <v>235.29</v>
    <v>234.5</v>
    <v>221.5</v>
    <v>223.12</v>
  </a>
  <a r="1">
    <v>134.19</v>
  </a>
  <a r="1" c="27">
    <v>238.97</v>
    <v>245.32</v>
    <v>240.94</v>
    <v>238.39</v>
    <v>247.65</v>
    <v>250.1</v>
    <v>245.76</v>
    <v>245.21</v>
    <v>251.85</v>
    <v>250</v>
    <v>266.58999999999997</v>
    <v>271.56</v>
    <v>272.25</v>
    <v>271.08999999999997</v>
    <v>259.95</v>
    <v>280.67</v>
    <v>286.20999999999998</v>
    <v>281.07</v>
    <v>263.64</v>
    <v>240.62</v>
    <v>224.23</v>
    <v>215.35</v>
    <v>208.72</v>
    <v>215</v>
    <v>196.65</v>
    <v>199.99</v>
    <v>192.6</v>
  </a>
  <a r="1">
    <v>695.4</v>
  </a>
  <a r="1">
    <v>106.41</v>
  </a>
  <a r="1">
    <v>284.93</v>
  </a>
  <a r="1">
    <v>59.27</v>
  </a>
  <a r="1">
    <v>702.73</v>
  </a>
  <a r="1" c="27">
    <v>273.39999999999998</v>
    <v>280.01</v>
    <v>259.49</v>
    <v>253.16</v>
    <v>244.2</v>
    <v>233.84</v>
    <v>219.86</v>
    <v>203.1</v>
    <v>203</v>
    <v>200.12</v>
    <v>205.1</v>
    <v>206.6</v>
    <v>205</v>
    <v>207.16</v>
    <v>209.28</v>
    <v>210.59</v>
    <v>189.76</v>
    <v>191.69</v>
    <v>206.12</v>
    <v>231.14</v>
    <v>239.09</v>
    <v>230.16</v>
    <v>234.63</v>
    <v>232.24</v>
    <v>218.19</v>
    <v>213.01</v>
    <v>219.14</v>
  </a>
  <a r="1">
    <v>94.8</v>
  </a>
  <a r="1" c="27">
    <v>160.11000000000001</v>
    <v>157.59</v>
    <v>151.86000000000001</v>
    <v>158.66999999999999</v>
    <v>163.86</v>
    <v>164</v>
    <v>162.36000000000001</v>
    <v>163.86</v>
    <v>158.16999999999999</v>
    <v>169.66</v>
    <v>176.51</v>
    <v>178.41</v>
    <v>176.98</v>
    <v>181.87</v>
    <v>181.9</v>
    <v>186.32</v>
    <v>189.09</v>
    <v>179</v>
    <v>182.8</v>
    <v>179.96</v>
    <v>171.15</v>
    <v>175.41</v>
    <v>166.51</v>
    <v>160.27000000000001</v>
    <v>154.87</v>
    <v>161.47</v>
    <v>158.38999999999999</v>
  </a>
  <a r="1">
    <v>134.99</v>
  </a>
  <a r="1">
    <v>285.27</v>
  </a>
  <a r="1">
    <v>57.78</v>
  </a>
  <a r="1" c="27">
    <v>128.6</v>
    <v>134.76</v>
    <v>126.01</v>
    <v>129.28</v>
    <v>132.68</v>
    <v>139.57</v>
    <v>129.49</v>
    <v>127.58</v>
    <v>128.22</v>
    <v>133.38</v>
    <v>137.38999999999999</v>
    <v>136.63999999999999</v>
    <v>132.97999999999999</v>
    <v>135.71</v>
    <v>135.82</v>
    <v>144.19999999999999</v>
    <v>149.46</v>
    <v>147.68</v>
    <v>146.96</v>
    <v>157.38</v>
    <v>148.13</v>
    <v>148.62</v>
    <v>150.75</v>
    <v>138.36000000000001</v>
    <v>132.24</v>
    <v>128.15</v>
    <v>125.4</v>
  </a>
  <a r="1" c="27">
    <v>220.02</v>
    <v>230.13</v>
    <v>225.91</v>
    <v>231.85</v>
    <v>241.41</v>
    <v>266.94</v>
    <v>267.64</v>
    <v>253.08</v>
    <v>249.91</v>
    <v>272.92</v>
    <v>257.61</v>
    <v>254.8</v>
    <v>266.98</v>
    <v>269.69</v>
    <v>274.33999999999997</v>
    <v>238.66</v>
    <v>243.73</v>
    <v>242.15</v>
    <v>225.52</v>
    <v>218.73</v>
    <v>225.65</v>
    <v>241.88</v>
    <v>197.2</v>
    <v>189.21</v>
    <v>196.07</v>
    <v>192.82</v>
    <v>190.29</v>
  </a>
  <a r="1" c="27">
    <v>103.42</v>
    <v>97.74</v>
    <v>93.93</v>
    <v>97.07</v>
    <v>98.78</v>
    <v>101.23</v>
    <v>100.79</v>
    <v>100.3</v>
    <v>98.7</v>
    <v>103.6</v>
    <v>108.88</v>
    <v>111.8</v>
    <v>114.86</v>
    <v>120.42</v>
    <v>118.7</v>
    <v>121.32</v>
    <v>118.04</v>
    <v>113.59</v>
    <v>115.71</v>
    <v>122.69</v>
    <v>110.86</v>
    <v>116</v>
    <v>110.19</v>
    <v>106.53</v>
    <v>105.69</v>
    <v>109.52</v>
    <v>107.38</v>
  </a>
  <a r="1">
    <v>24.47</v>
  </a>
  <a r="1">
    <v>74.3</v>
  </a>
  <a r="1">
    <v>348.77</v>
  </a>
  <a r="1">
    <v>17.52</v>
  </a>
  <a r="1" c="27">
    <v>97.12</v>
    <v>128.41</v>
    <v>116.91</v>
    <v>140.16</v>
    <v>186.16</v>
    <v>199.33</v>
    <v>239.48</v>
    <v>254.16</v>
    <v>200.27</v>
    <v>223.28</v>
    <v>228.47</v>
    <v>206.18</v>
    <v>237.61</v>
    <v>250.05</v>
    <v>275.24</v>
    <v>377.41</v>
    <v>413.62</v>
    <v>473.83</v>
    <v>576.25</v>
    <v>597.95000000000005</v>
    <v>626.55999999999995</v>
    <v>649.97</v>
    <v>635.36</v>
    <v>527.33000000000004</v>
    <v>661.62</v>
    <v>709.71</v>
    <v>615.83000000000004</v>
  </a>
  <a r="1">
    <v>72.98</v>
  </a>
  <a r="1">
    <v>251.91</v>
  </a>
  <a r="1">
    <v>169.52</v>
  </a>
  <a r="1" c="27">
    <v>55.01</v>
    <v>55.29</v>
    <v>52.12</v>
    <v>56.66</v>
    <v>57.81</v>
    <v>55.38</v>
    <v>57.04</v>
    <v>58.71</v>
    <v>58.58</v>
    <v>58.89</v>
    <v>58.09</v>
    <v>58.31</v>
    <v>60.1</v>
    <v>59.51</v>
    <v>60.93</v>
    <v>60.99</v>
    <v>62.39</v>
    <v>60.77</v>
    <v>62.28</v>
    <v>64.010000000000005</v>
    <v>71.459999999999994</v>
    <v>73.739999999999995</v>
    <v>74.739999999999995</v>
    <v>71.760000000000005</v>
    <v>71.73</v>
    <v>69.75</v>
    <v>70.3</v>
  </a>
  <a r="1">
    <v>33.58</v>
  </a>
  <a r="1">
    <v>64.739999999999995</v>
  </a>
  <a r="1">
    <v>933.85</v>
  </a>
  <a r="1">
    <v>570.94000000000005</v>
  </a>
  <a r="1" c="27">
    <v>138.59</v>
    <v>141.33000000000001</v>
    <v>134.31</v>
    <v>138.04</v>
    <v>136.12</v>
    <v>140.41999999999999</v>
    <v>139.9</v>
    <v>132.29</v>
    <v>134.28</v>
    <v>135.29</v>
    <v>155.15</v>
    <v>159.49</v>
    <v>157.38999999999999</v>
    <v>159.49</v>
    <v>159.19</v>
    <v>173.13</v>
    <v>175.65</v>
    <v>174.3</v>
    <v>173.2</v>
    <v>202.47</v>
    <v>193.21</v>
    <v>201.39</v>
    <v>203.05</v>
    <v>193.97</v>
    <v>180.75</v>
    <v>183.92</v>
    <v>188.34</v>
  </a>
  <a r="1" c="27">
    <v>81.62</v>
    <v>82.37</v>
    <v>79.77</v>
    <v>78.459999999999994</v>
    <v>78.680000000000007</v>
    <v>79.819999999999993</v>
    <v>76.150000000000006</v>
    <v>78.64</v>
    <v>75.069999999999993</v>
    <v>76.56</v>
    <v>78.66</v>
    <v>82.16</v>
    <v>81.569999999999993</v>
    <v>80.3</v>
    <v>80.319999999999993</v>
    <v>79.41</v>
    <v>76.77</v>
    <v>75.81</v>
    <v>78.88</v>
    <v>76.38</v>
    <v>77.31</v>
    <v>79.099999999999994</v>
    <v>72.069999999999993</v>
    <v>71.83</v>
    <v>67.97</v>
    <v>68.56</v>
    <v>67.7</v>
  </a>
  <a r="1">
    <v>50.03</v>
  </a>
  <a r="1">
    <v>179.45</v>
  </a>
  <a r="1" c="27">
    <v>44.87</v>
    <v>45.11</v>
    <v>43.88</v>
    <v>44.34</v>
    <v>44.66</v>
    <v>43.01</v>
    <v>40.51</v>
    <v>41.08</v>
    <v>40.729999999999997</v>
    <v>38.979999999999997</v>
    <v>38.72</v>
    <v>38.67</v>
    <v>39.07</v>
    <v>39.299999999999997</v>
    <v>37.770000000000003</v>
    <v>39.83</v>
    <v>41.04</v>
    <v>41.4</v>
    <v>40.58</v>
    <v>40.36</v>
    <v>37.49</v>
    <v>36.479999999999997</v>
    <v>38.090000000000003</v>
    <v>37.74</v>
    <v>34.090000000000003</v>
    <v>32.86</v>
    <v>32.43</v>
  </a>
  <a r="1" c="27">
    <v>45.43</v>
    <v>44.41</v>
    <v>41.47</v>
    <v>40.89</v>
    <v>42.63</v>
    <v>41.62</v>
    <v>42.87</v>
    <v>42.57</v>
    <v>42.42</v>
    <v>43.46</v>
    <v>45.42</v>
    <v>48.15</v>
    <v>47.83</v>
    <v>48.41</v>
    <v>47.71</v>
    <v>49.27</v>
    <v>49.16</v>
    <v>50.74</v>
    <v>50.22</v>
    <v>55.08</v>
    <v>52.86</v>
    <v>53.62</v>
    <v>49.47</v>
    <v>47.3</v>
    <v>43.4</v>
    <v>44.19</v>
    <v>44.54</v>
  </a>
  <a r="1" c="27">
    <v>112.1</v>
    <v>112.69</v>
    <v>117.18</v>
    <v>122.81</v>
    <v>120.94</v>
    <v>119.79</v>
    <v>118.84</v>
    <v>125.02</v>
    <v>126.64</v>
    <v>125.84</v>
    <v>121.22</v>
    <v>120.4</v>
    <v>124.29</v>
    <v>124.7</v>
    <v>121.6</v>
    <v>121.1</v>
    <v>124.91</v>
    <v>135.93</v>
    <v>141.94999999999999</v>
    <v>152.5</v>
    <v>154.97999999999999</v>
    <v>151.4</v>
    <v>148.94999999999999</v>
    <v>143.93</v>
    <v>144.99</v>
    <v>137.21</v>
    <v>134.25</v>
  </a>
  <a r="1">
    <v>302.04000000000002</v>
  </a>
  <a r="1">
    <v>63.22</v>
  </a>
  <a r="1">
    <v>491.12</v>
  </a>
  <a r="1">
    <v>343.97</v>
  </a>
  <a r="1" c="27">
    <v>1064.29</v>
    <v>1101.55</v>
    <v>982.75</v>
    <v>1106.6600000000001</v>
    <v>1182.82</v>
    <v>1208.74</v>
    <v>1193.3699999999999</v>
    <v>1134.32</v>
    <v>1097.1199999999999</v>
    <v>1175.47</v>
    <v>1214.46</v>
    <v>1193.92</v>
    <v>1245.67</v>
    <v>1279.5999999999999</v>
    <v>1274.47</v>
    <v>1400</v>
    <v>1567.82</v>
    <v>1512.78</v>
    <v>1427.94</v>
    <v>1442.95</v>
    <v>1464.13</v>
    <v>1496</v>
    <v>1524.55</v>
    <v>1344.55</v>
    <v>1418.64</v>
    <v>1498.67</v>
    <v>1443.21</v>
  </a>
  <a r="1">
    <v>52.46</v>
  </a>
  <a r="1" c="27">
    <v>40.78</v>
    <v>45.14</v>
    <v>39.29</v>
    <v>40.19</v>
    <v>42.21</v>
    <v>38.44</v>
    <v>41.3</v>
    <v>38.94</v>
    <v>37.93</v>
    <v>41.65</v>
    <v>40.630000000000003</v>
    <v>43.5</v>
    <v>42.29</v>
    <v>42.85</v>
    <v>42.16</v>
    <v>45.57</v>
    <v>46.94</v>
    <v>47.52</v>
    <v>44.44</v>
    <v>54.88</v>
    <v>58.85</v>
    <v>54.11</v>
    <v>49.94</v>
    <v>49.32</v>
    <v>57.74</v>
    <v>56.95</v>
    <v>63.41</v>
  </a>
  <a r="1">
    <v>96.96</v>
  </a>
  <a r="1" c="27">
    <v>316.06</v>
    <v>310.02999999999997</v>
    <v>300.89</v>
    <v>297.56</v>
    <v>300.44</v>
    <v>311.12</v>
    <v>314.20999999999998</v>
    <v>303.61</v>
    <v>298.02</v>
    <v>313.08</v>
    <v>315.04000000000002</v>
    <v>318.52</v>
    <v>317.20999999999998</v>
    <v>327.91</v>
    <v>325.48</v>
    <v>329.19</v>
    <v>312.47000000000003</v>
    <v>297.72000000000003</v>
    <v>305.89</v>
    <v>322.39999999999998</v>
    <v>302.55</v>
    <v>310.79000000000002</v>
    <v>300.3</v>
    <v>289.48</v>
    <v>283.44</v>
    <v>286.56</v>
    <v>282.83999999999997</v>
  </a>
  <a r="1">
    <v>206.6</v>
  </a>
  <a r="1">
    <v>480.97</v>
  </a>
  <a r="1" c="27">
    <v>63.36</v>
    <v>62.67</v>
    <v>61.45</v>
    <v>62.46</v>
    <v>60.77</v>
    <v>57.46</v>
    <v>57.18</v>
    <v>56.86</v>
    <v>57</v>
    <v>57.57</v>
    <v>54.905000000000001</v>
    <v>54.04</v>
    <v>54.5</v>
    <v>54.64</v>
    <v>53.65</v>
    <v>55.09</v>
    <v>57.24</v>
    <v>58.4</v>
    <v>58.47</v>
    <v>60.02</v>
    <v>62.59</v>
    <v>58.8</v>
    <v>61.58</v>
    <v>58.4</v>
    <v>54.89</v>
    <v>56.21</v>
    <v>58.27</v>
  </a>
  <a r="1">
    <v>369.58</v>
  </a>
  <a r="1">
    <v>293.77999999999997</v>
  </a>
  <a r="1" c="27">
    <v>152.5</v>
    <v>152.27000000000001</v>
    <v>149.69</v>
    <v>151.4</v>
    <v>152.49</v>
    <v>150.37</v>
    <v>146.97999999999999</v>
    <v>147.66999999999999</v>
    <v>150.91999999999999</v>
    <v>148.16</v>
    <v>143.44999999999999</v>
    <v>142.84</v>
    <v>144.46</v>
    <v>144.74</v>
    <v>141.79</v>
    <v>141.87</v>
    <v>144.53</v>
    <v>150.15</v>
    <v>151.77000000000001</v>
    <v>159.16999999999999</v>
    <v>160.07</v>
    <v>160.78</v>
    <v>167.2</v>
    <v>153.63</v>
    <v>150.65</v>
    <v>144.28</v>
    <v>142.71</v>
  </a>
  <a r="1">
    <v>144.5</v>
  </a>
  <a r="1" c="27">
    <v>23.27</v>
    <v>23.8</v>
    <v>22.67</v>
    <v>22.28</v>
    <v>22.84</v>
    <v>22.61</v>
    <v>22.23</v>
    <v>22.17</v>
    <v>21.68</v>
    <v>22.59</v>
    <v>23.4</v>
    <v>23.48</v>
    <v>24</v>
    <v>24.19</v>
    <v>23.8</v>
    <v>25.66</v>
    <v>26</v>
    <v>25.31</v>
    <v>26.62</v>
    <v>27.2</v>
    <v>27.03</v>
    <v>27.67</v>
    <v>26.54</v>
    <v>26.24</v>
    <v>24.13</v>
    <v>23.46</v>
    <v>22.75</v>
  </a>
  <a r="1">
    <v>90.25</v>
  </a>
  <a r="1" c="27">
    <v>563.9</v>
    <v>600</v>
    <v>564.63</v>
    <v>578.04999999999995</v>
    <v>577.95000000000005</v>
    <v>651.79999999999995</v>
    <v>657.53</v>
    <v>693.5</v>
    <v>755.9</v>
    <v>780.19</v>
    <v>718.36</v>
    <v>741.29</v>
    <v>767.96</v>
    <v>784.97</v>
    <v>776.31</v>
    <v>796.55</v>
    <v>733.04</v>
    <v>753.55</v>
    <v>741.45</v>
    <v>785.51</v>
    <v>803.17</v>
    <v>779.67</v>
    <v>781.67</v>
    <v>759.86</v>
    <v>745.77</v>
    <v>732.87</v>
    <v>737.71</v>
  </a>
  <a r="1">
    <v>201.84</v>
  </a>
  <a r="1">
    <v>21.99</v>
  </a>
  <a r="1" c="27">
    <v>179.71</v>
    <v>188.64</v>
    <v>190.72</v>
    <v>193.22</v>
    <v>190.4</v>
    <v>188.87</v>
    <v>186.57</v>
    <v>195.93</v>
    <v>203.9</v>
    <v>206.92</v>
    <v>201.93</v>
    <v>211.58</v>
    <v>206.37</v>
    <v>207.63</v>
    <v>207.35</v>
    <v>204.39</v>
    <v>218.66</v>
    <v>220.14</v>
    <v>227.25</v>
    <v>239.99</v>
    <v>243.45</v>
    <v>242.49</v>
    <v>248.43</v>
    <v>240.4</v>
    <v>241.52</v>
    <v>235.37</v>
    <v>240.45</v>
  </a>
  <a r="1" c="27">
    <v>104.63</v>
    <v>107.14</v>
    <v>101.87</v>
    <v>102.76</v>
    <v>104.65</v>
    <v>98.68</v>
    <v>98.61</v>
    <v>98.78</v>
    <v>98.98</v>
    <v>101.22</v>
    <v>102.16</v>
    <v>98.71</v>
    <v>100.59</v>
    <v>101.75</v>
    <v>98.5</v>
    <v>102.73</v>
    <v>102.67</v>
    <v>101.31</v>
    <v>98.98</v>
    <v>90.57</v>
    <v>92.54</v>
    <v>93.08</v>
    <v>97.43</v>
    <v>94.33</v>
    <v>90.2</v>
    <v>88.63</v>
    <v>85.03</v>
  </a>
  <a r="1" c="27">
    <v>23.83</v>
    <v>23.3</v>
    <v>22.75</v>
    <v>22.8</v>
    <v>23.55</v>
    <v>23.66</v>
    <v>26.57</v>
    <v>26.34</v>
    <v>25.75</v>
    <v>26.84</v>
    <v>27.39</v>
    <v>26.27</v>
    <v>25.38</v>
    <v>25.79</v>
    <v>26.6</v>
    <v>24.82</v>
    <v>25.71</v>
    <v>27.42</v>
    <v>28.85</v>
    <v>30.66</v>
    <v>31.37</v>
    <v>31.28</v>
    <v>30.59</v>
    <v>31.03</v>
    <v>32.15</v>
    <v>33.97</v>
    <v>36.31</v>
  </a>
  <a r="1" c="27">
    <v>1518.78</v>
    <v>1850.65</v>
    <v>1665.21</v>
    <v>1616</v>
    <v>1667</v>
    <v>1659.53</v>
    <v>1740</v>
    <v>1741.37</v>
    <v>1788.2</v>
    <v>1805.83</v>
    <v>1798.53</v>
    <v>1844.98</v>
    <v>1748.43</v>
    <v>1753.19</v>
    <v>1643.27</v>
    <v>1665.53</v>
    <v>1567.19</v>
    <v>1544.69</v>
    <v>1463.17</v>
    <v>1391</v>
    <v>1344.74</v>
    <v>1350.45</v>
    <v>1409.36</v>
    <v>1476</v>
    <v>1131.22</v>
    <v>1127.6199999999999</v>
    <v>1011.06</v>
  </a>
  <a r="1" c="27">
    <v>77.489999999999995</v>
    <v>80.05</v>
    <v>71.53</v>
    <v>72.760000000000005</v>
    <v>73.66</v>
    <v>71.63</v>
    <v>67.59</v>
    <v>70.28</v>
    <v>73.400000000000006</v>
    <v>77.349999999999994</v>
    <v>76.06</v>
    <v>77.64</v>
    <v>73.58</v>
    <v>72.11</v>
    <v>74.5</v>
    <v>83.45</v>
    <v>87.13</v>
    <v>85.43</v>
    <v>79.989999999999995</v>
    <v>86.52</v>
    <v>88.69</v>
    <v>84.49</v>
    <v>68.430000000000007</v>
    <v>58.76</v>
    <v>57.49</v>
    <v>52.26</v>
    <v>51.92</v>
  </a>
  <a r="1">
    <v>36.450000000000003</v>
  </a>
  <a r="1">
    <v>259.04000000000002</v>
  </a>
  <a r="1">
    <v>135.19</v>
  </a>
  <a r="1">
    <v>523.24</v>
  </a>
  <a r="1" c="27">
    <v>54.01</v>
    <v>50.97</v>
    <v>49.61</v>
    <v>48.54</v>
    <v>57.6</v>
    <v>59.35</v>
    <v>65.209999999999994</v>
    <v>65.38</v>
    <v>64.31</v>
    <v>68.16</v>
    <v>66.25</v>
    <v>65.239999999999995</v>
    <v>66.95</v>
    <v>66.2</v>
    <v>65.209999999999994</v>
    <v>58.95</v>
    <v>58.95</v>
    <v>59.95</v>
    <v>52.73</v>
    <v>57.8</v>
    <v>57.15</v>
    <v>58.01</v>
    <v>56.72</v>
    <v>53.6</v>
    <v>53.68</v>
    <v>52.93</v>
    <v>51.69</v>
  </a>
  <a r="1">
    <v>81.48</v>
  </a>
  <a r="1">
    <v>45.26</v>
  </a>
  <a r="1" c="27">
    <v>299.77</v>
    <v>305.01</v>
    <v>275.89</v>
    <v>293.31</v>
    <v>308.82</v>
    <v>269.25</v>
    <v>259.54000000000002</v>
    <v>240.56</v>
    <v>240.95</v>
    <v>252.75</v>
    <v>264.81</v>
    <v>268.39</v>
    <v>251.65</v>
    <v>246.27</v>
    <v>248.3</v>
    <v>259.48</v>
    <v>251.21</v>
    <v>240.54</v>
    <v>234.98</v>
    <v>251.4</v>
    <v>264.62</v>
    <v>255.41</v>
    <v>223.96</v>
    <v>219.65</v>
    <v>202.72</v>
    <v>203.62</v>
    <v>202.64</v>
  </a>
  <a r="1">
    <v>1011.06</v>
  </a>
  <a r="1">
    <v>18.84</v>
  </a>
  <a r="1">
    <v>22.22</v>
  </a>
  <a r="1" c="27">
    <v>26.66</v>
    <v>25.88</v>
    <v>25.02</v>
    <v>26.5</v>
    <v>27</v>
    <v>24.48</v>
    <v>22.91</v>
    <v>22</v>
    <v>14.85</v>
    <v>17.41</v>
    <v>18.829999999999998</v>
    <v>20.05</v>
    <v>19.79</v>
    <v>19.79</v>
    <v>20.74</v>
    <v>23.29</v>
    <v>23.27</v>
    <v>22.2</v>
    <v>21.8</v>
    <v>23.05</v>
    <v>24.07</v>
    <v>24.38</v>
    <v>22.76</v>
    <v>20.8</v>
    <v>19.5</v>
    <v>19.41</v>
    <v>16.8</v>
  </a>
  <a r="1">
    <v>593.30999999999995</v>
  </a>
  <a r="1">
    <v>247.48</v>
  </a>
  <a r="1">
    <v>679</v>
  </a>
  <a r="1">
    <v>110.24</v>
  </a>
  <a r="1">
    <v>210.82</v>
  </a>
  <a r="1">
    <v>23.2</v>
  </a>
  <a r="1">
    <v>202.01</v>
  </a>
  <a r="1" c="27">
    <v>236</v>
    <v>234.69</v>
    <v>232.85</v>
    <v>228.99</v>
    <v>232.29</v>
    <v>220.4</v>
    <v>221.72</v>
    <v>226.06</v>
    <v>228.39</v>
    <v>228.09</v>
    <v>232.02</v>
    <v>230.05</v>
    <v>225.96</v>
    <v>228.19</v>
    <v>220.47</v>
    <v>223.36</v>
    <v>218.64</v>
    <v>207.54</v>
    <v>197.11</v>
    <v>181.91</v>
    <v>173.7</v>
    <v>177.02</v>
    <v>185.87</v>
    <v>196.88</v>
    <v>178.32</v>
    <v>174.36</v>
    <v>157.41999999999999</v>
  </a>
  <a r="1">
    <v>44.95</v>
  </a>
  <a r="1" c="27">
    <v>98.45</v>
    <v>96.6</v>
    <v>93.4</v>
    <v>92.3</v>
    <v>94.07</v>
    <v>96.5</v>
    <v>91.99</v>
    <v>91.62</v>
    <v>83.87</v>
    <v>87.54</v>
    <v>91.32</v>
    <v>85.11</v>
    <v>79.31</v>
    <v>81.260000000000005</v>
    <v>82.86</v>
    <v>85.44</v>
    <v>84.85</v>
    <v>82.31</v>
    <v>80.05</v>
    <v>74.77</v>
    <v>69.989999999999995</v>
    <v>73.86</v>
    <v>75.42</v>
    <v>75.13</v>
    <v>73.33</v>
    <v>73.89</v>
    <v>69.180000000000007</v>
  </a>
  <a r="1" c="27">
    <v>180.14</v>
    <v>170.5</v>
    <v>177.4</v>
    <v>171.26</v>
    <v>170.55</v>
    <v>160.06</v>
    <v>167.27</v>
    <v>174.97</v>
    <v>161.72</v>
    <v>163.89</v>
    <v>167.24</v>
    <v>178.99</v>
    <v>178.78</v>
    <v>182.86</v>
    <v>178.55</v>
    <v>168.77</v>
    <v>176.08</v>
    <v>171.52</v>
    <v>169.23</v>
    <v>162.33000000000001</v>
    <v>179.36</v>
    <v>181.23</v>
    <v>192</v>
    <v>186.11</v>
    <v>180.12</v>
    <v>174.01</v>
    <v>164.12</v>
  </a>
  <a r="1" c="27">
    <v>87.51</v>
    <v>87.61</v>
    <v>88.9</v>
    <v>88.59</v>
    <v>88.44</v>
    <v>85.49</v>
    <v>87.24</v>
    <v>87.08</v>
    <v>87.66</v>
    <v>90.92</v>
    <v>90.22</v>
    <v>93.57</v>
    <v>95.36</v>
    <v>99.35</v>
    <v>96.66</v>
    <v>98.24</v>
    <v>100.98</v>
    <v>98.05</v>
    <v>96.89</v>
    <v>84.83</v>
    <v>79.47</v>
    <v>81.87</v>
    <v>87.58</v>
    <v>88.43</v>
    <v>85.53</v>
    <v>86.34</v>
    <v>81.48</v>
  </a>
  <a r="1" c="27">
    <v>139.63</v>
    <v>145.09</v>
    <v>141.22999999999999</v>
    <v>142.75</v>
    <v>152.94999999999999</v>
    <v>156.80000000000001</v>
    <v>151.94</v>
    <v>155.41</v>
    <v>158.16</v>
    <v>167.83</v>
    <v>165.22</v>
    <v>171.97</v>
    <v>174.28</v>
    <v>175.46</v>
    <v>176.06</v>
    <v>169.27</v>
    <v>173.58</v>
    <v>181.32</v>
    <v>179.57</v>
    <v>202.39</v>
    <v>191.68</v>
    <v>193.39</v>
    <v>193.13</v>
    <v>181.61</v>
    <v>170.6</v>
    <v>163.95</v>
    <v>170.97</v>
  </a>
  <a r="1">
    <v>122.89</v>
  </a>
  <a r="1" c="27">
    <v>44.12</v>
    <v>45.45</v>
    <v>43.96</v>
    <v>43.63</v>
    <v>43.83</v>
    <v>46.07</v>
    <v>46.69</v>
    <v>46.65</v>
    <v>46.25</v>
    <v>49.2</v>
    <v>52.15</v>
    <v>52.41</v>
    <v>54.19</v>
    <v>54.64</v>
    <v>53.46</v>
    <v>55.86</v>
    <v>55.26</v>
    <v>54.65</v>
    <v>55.05</v>
    <v>61.99</v>
    <v>60.74</v>
    <v>60.66</v>
    <v>62.37</v>
    <v>60.29</v>
    <v>59.08</v>
    <v>57.48</v>
    <v>58.54</v>
  </a>
  <a r="1">
    <v>53.5</v>
  </a>
  <a r="1" c="27">
    <v>415.23</v>
    <v>424.09</v>
    <v>414.14</v>
    <v>415.82</v>
    <v>425.87</v>
    <v>448.65</v>
    <v>434.5</v>
    <v>418.16</v>
    <v>410.1</v>
    <v>421.48</v>
    <v>401.43</v>
    <v>391.19</v>
    <v>389.84</v>
    <v>392.59</v>
    <v>398</v>
    <v>381.7</v>
    <v>389.53</v>
    <v>386.22</v>
    <v>420.58</v>
    <v>454.76</v>
    <v>465.27</v>
    <v>467.12</v>
    <v>462.32</v>
    <v>423.13</v>
    <v>422.4</v>
    <v>410.36</v>
    <v>410.23</v>
  </a>
  <a r="1">
    <v>56.24</v>
  </a>
  <a r="1">
    <v>113.5</v>
  </a>
  <a r="1">
    <v>66.48</v>
  </a>
  <a r="1">
    <v>128.96</v>
  </a>
  <a r="1">
    <v>18.34</v>
  </a>
  <a r="1">
    <v>188.34</v>
  </a>
  <a r="1">
    <v>0.105</v>
  </a>
  <a r="1">
    <v>42.38</v>
  </a>
  <a r="1" c="27">
    <v>75.59</v>
    <v>75.89</v>
    <v>70.95</v>
    <v>74.81</v>
    <v>76.7</v>
    <v>76.31</v>
    <v>76.569999999999993</v>
    <v>77.709999999999994</v>
    <v>79.2</v>
    <v>82.6</v>
    <v>81.099999999999994</v>
    <v>81.55</v>
    <v>81.98</v>
    <v>82.56</v>
    <v>82.97</v>
    <v>86.72</v>
    <v>86.2</v>
    <v>88.68</v>
    <v>89.31</v>
    <v>93.84</v>
    <v>102.45</v>
    <v>101.46</v>
    <v>99.59</v>
    <v>94.49</v>
    <v>93.4</v>
    <v>91.11</v>
    <v>88.59</v>
  </a>
  <a r="1">
    <v>48.32</v>
  </a>
  <a r="1" c="27">
    <v>40.25</v>
    <v>40.9</v>
    <v>39.65</v>
    <v>40.75</v>
    <v>40.700000000000003</v>
    <v>39.5</v>
    <v>41.85</v>
    <v>42.4</v>
    <v>42.5</v>
    <v>42.6</v>
    <v>41.5</v>
    <v>41.15</v>
    <v>41.45</v>
    <v>41.6</v>
    <v>42.05</v>
    <v>43.25</v>
    <v>40.94</v>
    <v>44.28</v>
    <v>44.25</v>
    <v>48.17</v>
    <v>50.09</v>
    <v>50.49</v>
    <v>48.43</v>
    <v>43.28</v>
    <v>40.57</v>
    <v>38.28</v>
    <v>38.619999999999997</v>
  </a>
  <a r="1">
    <v>213.28</v>
  </a>
  <a r="1">
    <v>155.47999999999999</v>
  </a>
  <a r="1" c="27">
    <v>178.19</v>
    <v>187.62</v>
    <v>183.16</v>
    <v>183.22</v>
    <v>186.26</v>
    <v>202.49</v>
    <v>188.15</v>
    <v>190.17</v>
    <v>178.88</v>
    <v>177</v>
    <v>182.41</v>
    <v>175.02</v>
    <v>180.99</v>
    <v>190.53</v>
    <v>188.85</v>
    <v>184.86</v>
    <v>186.23</v>
    <v>187.67</v>
    <v>191.13</v>
    <v>185.41</v>
    <v>182.81</v>
    <v>189.82</v>
    <v>177.19</v>
    <v>177.82</v>
    <v>180.25</v>
    <v>172.7</v>
    <v>167.52</v>
  </a>
  <a r="1">
    <v>239.61</v>
  </a>
  <a r="1" c="27">
    <v>577.11</v>
    <v>587.62</v>
    <v>567.44000000000005</v>
    <v>562.26</v>
    <v>532.09</v>
    <v>526.82000000000005</v>
    <v>513.16999999999996</v>
    <v>501.23</v>
    <v>494.87</v>
    <v>499.52</v>
    <v>522.29999999999995</v>
    <v>518.22</v>
    <v>510.01</v>
    <v>517.35</v>
    <v>518.77</v>
    <v>549.02</v>
    <v>581.72</v>
    <v>610.66</v>
    <v>620.29999999999995</v>
    <v>647.55999999999995</v>
    <v>660.29</v>
    <v>668.72</v>
    <v>681.1</v>
    <v>647.64</v>
    <v>638.91</v>
    <v>616.17999999999995</v>
    <v>593.30999999999995</v>
  </a>
  <a r="1">
    <v>198.84</v>
  </a>
  <a r="1">
    <v>223.12</v>
  </a>
  <a r="1">
    <v>108.72</v>
  </a>
  <a r="1" c="27">
    <v>235.2</v>
    <v>236.8</v>
    <v>225.45</v>
    <v>226.04</v>
    <v>216.61</v>
    <v>220.37</v>
    <v>221.48</v>
    <v>223.02</v>
    <v>226.22</v>
    <v>231.83</v>
    <v>235.31</v>
    <v>239.95</v>
    <v>234.23</v>
    <v>233.44</v>
    <v>231.91</v>
    <v>228.44</v>
    <v>229.49</v>
    <v>229.65</v>
    <v>235.1</v>
    <v>252.62</v>
    <v>260.68</v>
    <v>266.10000000000002</v>
    <v>264.98</v>
    <v>254.11</v>
    <v>242.44</v>
    <v>234.92</v>
    <v>238.79</v>
  </a>
  <a r="1" c="27">
    <v>84.32</v>
    <v>85.79</v>
    <v>83.04</v>
    <v>83.44</v>
    <v>85.56</v>
    <v>86.43</v>
    <v>81.790000000000006</v>
    <v>82.31</v>
    <v>78.855000000000004</v>
    <v>81.13</v>
    <v>86.92</v>
    <v>82.22</v>
    <v>80.239999999999995</v>
    <v>81.56</v>
    <v>77.88</v>
    <v>79.22</v>
    <v>75.38</v>
    <v>81.64</v>
    <v>81.260000000000005</v>
    <v>82.76</v>
    <v>85.56</v>
    <v>80</v>
    <v>79.03</v>
    <v>83.67</v>
    <v>83.44</v>
    <v>81.400000000000006</v>
    <v>78.2</v>
  </a>
  <a r="1" c="27">
    <v>200.14</v>
    <v>194.56</v>
    <v>180.84</v>
    <v>180.67</v>
    <v>185.23</v>
    <v>183.87</v>
    <v>185.86</v>
    <v>186.96</v>
    <v>188.6</v>
    <v>190.22</v>
    <v>195.11</v>
    <v>203.84</v>
    <v>205.82</v>
    <v>207.28</v>
    <v>204.04</v>
    <v>211.68</v>
    <v>212.28</v>
    <v>213.82</v>
    <v>221.57</v>
    <v>238.01</v>
    <v>228.71</v>
    <v>232.52</v>
    <v>216.98</v>
    <v>210.46</v>
    <v>196.26</v>
    <v>198.15</v>
    <v>200.93</v>
  </a>
  <a r="1">
    <v>175.29</v>
  </a>
  <a r="1" c="27">
    <v>743.75</v>
    <v>710.56</v>
    <v>705.3</v>
    <v>716.91499999999996</v>
    <v>738.36</v>
    <v>648.35</v>
    <v>621.71</v>
    <v>609.46</v>
    <v>594.25</v>
    <v>647.95000000000005</v>
    <v>673.42</v>
    <v>644.23</v>
    <v>658.77</v>
    <v>663.29</v>
    <v>650.41</v>
    <v>653.05999999999995</v>
    <v>620.25</v>
    <v>658.76</v>
    <v>716.5</v>
    <v>661.46</v>
    <v>639.77</v>
    <v>655.66</v>
    <v>648.17999999999995</v>
    <v>644.86</v>
    <v>613.71</v>
    <v>593.66</v>
    <v>525.72</v>
  </a>
  <a r="1">
    <v>53.65</v>
  </a>
  <a r="1">
    <v>25.16</v>
  </a>
  <a r="1" c="27">
    <v>35.5</v>
    <v>36.83</v>
    <v>36.369999999999997</v>
    <v>37.01</v>
    <v>38.28</v>
    <v>39.99</v>
    <v>38.130000000000003</v>
    <v>35.520000000000003</v>
    <v>34.5</v>
    <v>40.56</v>
    <v>41.41</v>
    <v>37.81</v>
    <v>36.82</v>
    <v>36.200000000000003</v>
    <v>39.380000000000003</v>
    <v>45.55</v>
    <v>46.96</v>
    <v>45.07</v>
    <v>46.47</v>
    <v>50.59</v>
    <v>46.79</v>
    <v>44.11</v>
    <v>45.61</v>
    <v>43.42</v>
    <v>45.77</v>
    <v>43.87</v>
    <v>43.13</v>
  </a>
  <a r="1">
    <v>117.06</v>
  </a>
  <a r="1">
    <v>558.32000000000005</v>
  </a>
  <a r="1">
    <v>14</v>
  </a>
  <a r="1">
    <v>127.11</v>
  </a>
  <a r="1">
    <v>211.15</v>
  </a>
  <a r="1">
    <v>234.84</v>
  </a>
  <a r="1" c="27">
    <v>440.4</v>
    <v>429.83</v>
    <v>413.49</v>
    <v>439.31</v>
    <v>433.72</v>
    <v>456.56</v>
    <v>429.52</v>
    <v>404.35</v>
    <v>391.09</v>
    <v>430.17</v>
    <v>455</v>
    <v>458.96</v>
    <v>481.2</v>
    <v>475.19</v>
    <v>438.07</v>
    <v>445.01</v>
    <v>437.5</v>
    <v>449.06</v>
    <v>430.41</v>
    <v>411.11</v>
    <v>417.44</v>
    <v>411.82</v>
    <v>402.51</v>
    <v>396.73</v>
    <v>391.2</v>
    <v>367.96</v>
    <v>361.83</v>
  </a>
  <a r="1" c="27">
    <v>100.3</v>
    <v>101.68</v>
    <v>100.86</v>
    <v>98.83</v>
    <v>100.05</v>
    <v>99.56</v>
    <v>102.59</v>
    <v>104.41</v>
    <v>106.4</v>
    <v>107.87</v>
    <v>102.82</v>
    <v>104.31</v>
    <v>106.58</v>
    <v>106.4</v>
    <v>104.66</v>
    <v>104.58</v>
    <v>102.49</v>
    <v>101.86</v>
    <v>105.57</v>
    <v>111.27</v>
    <v>108.78</v>
    <v>109.77</v>
    <v>110.02</v>
    <v>109.66</v>
    <v>108.02</v>
    <v>105.6</v>
    <v>104.06</v>
  </a>
  <a r="1" c="27">
    <v>331.26</v>
    <v>360</v>
    <v>368.49</v>
    <v>386.5</v>
    <v>389.19</v>
    <v>377</v>
    <v>358.39</v>
    <v>338.52</v>
    <v>338.11</v>
    <v>364.36</v>
    <v>359.82</v>
    <v>351.98</v>
    <v>355.4</v>
    <v>360.46</v>
    <v>366.25</v>
    <v>342.52</v>
    <v>307.70999999999998</v>
    <v>289.06</v>
    <v>280.68</v>
    <v>261.42</v>
    <v>288.43</v>
    <v>294.83999999999997</v>
    <v>329.88</v>
    <v>319.06</v>
    <v>301.77</v>
    <v>281.99</v>
    <v>301.49</v>
  </a>
  <a r="1" c="27">
    <v>464.24</v>
    <v>543.32000000000005</v>
    <v>524.79999999999995</v>
    <v>538.91999999999996</v>
    <v>572.5</v>
    <v>567.39</v>
    <v>572.41</v>
    <v>578.71</v>
    <v>587.48</v>
    <v>590.83000000000004</v>
    <v>572.77</v>
    <v>572.28</v>
    <v>567.83000000000004</v>
    <v>580.74</v>
    <v>592.51</v>
    <v>618.86</v>
    <v>618.72</v>
    <v>625.98</v>
    <v>578.61</v>
    <v>542.83000000000004</v>
    <v>504.82</v>
    <v>510.93</v>
    <v>521.11</v>
    <v>501.97</v>
    <v>464.37</v>
    <v>474.39</v>
    <v>473.36</v>
  </a>
  <a r="1">
    <v>188.28</v>
  </a>
  <a r="1">
    <v>80.430000000000007</v>
  </a>
  <a r="1">
    <v>230.16</v>
  </a>
  <a r="1">
    <v>19.440000000000001</v>
  </a>
  <a r="1">
    <v>351.5</v>
  </a>
  <a r="1" c="27">
    <v>299.29000000000002</v>
    <v>304.7</v>
    <v>301.43</v>
    <v>295.35000000000002</v>
    <v>292.74</v>
    <v>289.5</v>
    <v>287.3</v>
    <v>280.58</v>
    <v>287.83</v>
    <v>297.24</v>
    <v>294.87</v>
    <v>295.94</v>
    <v>291.87</v>
    <v>294.2</v>
    <v>292.64999999999998</v>
    <v>311.62</v>
    <v>305.97000000000003</v>
    <v>300.07</v>
    <v>300.54000000000002</v>
    <v>323.72000000000003</v>
    <v>327.64999999999998</v>
    <v>305.29000000000002</v>
    <v>310</v>
    <v>274.99</v>
    <v>265.42</v>
    <v>258.39999999999998</v>
    <v>261.45999999999998</v>
  </a>
  <a r="1" c="27">
    <v>193.35</v>
    <v>200.69</v>
    <v>200.02</v>
    <v>200.3</v>
    <v>200.84</v>
    <v>200.06</v>
    <v>200.6</v>
    <v>201.06</v>
    <v>200.69</v>
    <v>202.03</v>
    <v>203.92</v>
    <v>203.73</v>
    <v>203.92</v>
    <v>204.79</v>
    <v>204.41</v>
    <v>204.1</v>
    <v>204.25</v>
    <v>204</v>
    <v>203.92</v>
    <v>200</v>
    <v>200.62</v>
    <v>200.4</v>
    <v>200.57</v>
    <v>198</v>
    <v>199.24</v>
    <v>200.51</v>
    <v>202.01</v>
  </a>
  <a r="1">
    <v>34.03</v>
  </a>
  <a r="1">
    <v>294.04000000000002</v>
  </a>
  <a r="1" c="27">
    <v>217.51</v>
    <v>201.86</v>
    <v>199.82</v>
    <v>200.69</v>
    <v>199.51</v>
    <v>187.09</v>
    <v>162.15</v>
    <v>166.12</v>
    <v>162.13999999999999</v>
    <v>161.16999999999999</v>
    <v>165.72</v>
    <v>166.61</v>
    <v>162.72</v>
    <v>160.41</v>
    <v>152.4</v>
    <v>157.16999999999999</v>
    <v>148.41</v>
    <v>152.29</v>
    <v>134.75</v>
    <v>130.97</v>
    <v>125.31</v>
    <v>114.71</v>
    <v>125.83</v>
    <v>138.01</v>
    <v>125.71</v>
    <v>124.82</v>
    <v>117.06</v>
  </a>
  <a r="1">
    <v>87.01</v>
  </a>
  <a r="1">
    <v>305.89999999999998</v>
  </a>
  <a r="1">
    <v>15.62</v>
  </a>
  <a r="1" c="27">
    <v t="i">1</v>
    <v t="i">8</v>
    <v t="i">15</v>
    <v t="i">23</v>
    <v t="i">29</v>
    <v t="i">36</v>
    <v t="i">43</v>
    <v t="i">50</v>
    <v t="i">57</v>
    <v t="i">64</v>
    <v t="i">71</v>
    <v t="i">78</v>
    <v t="i">85</v>
    <v t="i">92</v>
    <v t="i">99</v>
    <v t="i">106</v>
    <v t="i">113</v>
    <v t="i">120</v>
    <v t="i">127</v>
    <v t="i">134</v>
    <v t="i">141</v>
    <v t="i">149</v>
    <v t="i">155</v>
    <v t="i">162</v>
    <v t="i">169</v>
    <v t="i">176</v>
    <v t="i">183</v>
  </a>
  <a r="1" c="27">
    <v>0.315</v>
    <v>0.36499999999999999</v>
    <v>0.38500000000000001</v>
    <v>0.36499999999999999</v>
    <v>0.39</v>
    <v>0.38500000000000001</v>
    <v>0.34499999999999997</v>
    <v>0.35</v>
    <v>0.33</v>
    <v>0.36</v>
    <v>0.39</v>
    <v>0.35</v>
    <v>0.38</v>
    <v>0.375</v>
    <v>0.37</v>
    <v>0.35</v>
    <v>0.4</v>
    <v>0.42499999999999999</v>
    <v>0.46</v>
    <v>0.495</v>
    <v>0.49</v>
    <v>0.45</v>
    <v>0.44</v>
    <v>0.41499999999999998</v>
    <v>0.37</v>
    <v>0.375</v>
    <v>0.39</v>
  </a>
  <a r="1">
    <v>99.41</v>
  </a>
  <a r="1" c="27">
    <v>32.47</v>
    <v>32.630000000000003</v>
    <v>30.96</v>
    <v>30.86</v>
    <v>31.19</v>
    <v>29.99</v>
    <v>30.34</v>
    <v>30.36</v>
    <v>28.82</v>
    <v>28.82</v>
    <v>27.73</v>
    <v>28.66</v>
    <v>27.7</v>
    <v>28.13</v>
    <v>28.15</v>
    <v>27.76</v>
    <v>28.98</v>
    <v>28.54</v>
    <v>28.08</v>
    <v>28.76</v>
    <v>29.3</v>
    <v>30.09</v>
    <v>30.21</v>
    <v>29.67</v>
    <v>28.42</v>
    <v>26.83</v>
    <v>26.61</v>
  </a>
  <a r="1">
    <v>282.18</v>
  </a>
  <a r="1">
    <v>737.71</v>
  </a>
  <a r="1">
    <v>66.02</v>
  </a>
  <a r="1">
    <v>29.18</v>
  </a>
  <a r="1">
    <v>313.66000000000003</v>
  </a>
  <a r="1" c="27">
    <v>61.24</v>
    <v>60.13</v>
    <v>55.35</v>
    <v>58.38</v>
    <v>69.66</v>
    <v>69.09</v>
    <v>70.75</v>
    <v>70.52</v>
    <v>70.33</v>
    <v>73.52</v>
    <v>76.05</v>
    <v>80.89</v>
    <v>82.35</v>
    <v>83.06</v>
    <v>80.98</v>
    <v>82.87</v>
    <v>80.819999999999993</v>
    <v>79.680000000000007</v>
    <v>84</v>
    <v>84.24</v>
    <v>81.08</v>
    <v>81.510000000000005</v>
    <v>78.709999999999994</v>
    <v>75.209999999999994</v>
    <v>72.39</v>
    <v>72.81</v>
    <v>72.98</v>
  </a>
  <a r="1">
    <v>155.12</v>
  </a>
  <a r="1" c="27">
    <v>17.420000000000002</v>
    <v>17.21</v>
    <v>15.6</v>
    <v>15.5</v>
    <v>16.07</v>
    <v>15.44</v>
    <v>15.69</v>
    <v>15.73</v>
    <v>15.88</v>
    <v>16.3</v>
    <v>16.899999999999999</v>
    <v>17.82</v>
    <v>17.690000000000001</v>
    <v>17.739999999999998</v>
    <v>17.48</v>
    <v>18.239999999999998</v>
    <v>18.02</v>
    <v>17.350000000000001</v>
    <v>17.48</v>
    <v>19.27</v>
    <v>17.260000000000002</v>
    <v>18.010000000000002</v>
    <v>16.8</v>
    <v>16.309999999999999</v>
    <v>15.21</v>
    <v>15.09</v>
    <v>15.08</v>
  </a>
  <a r="1" c="27">
    <v>168.57</v>
    <v>166.28</v>
    <v>160.43</v>
    <v>168.74</v>
    <v>170.36</v>
    <v>171.86</v>
    <v>172.5</v>
    <v>165.19</v>
    <v>159.19999999999999</v>
    <v>169.49</v>
    <v>163</v>
    <v>161.44</v>
    <v>156.19999999999999</v>
    <v>160.88</v>
    <v>166.16</v>
    <v>149.27000000000001</v>
    <v>152.05000000000001</v>
    <v>149.30000000000001</v>
    <v>152.63</v>
    <v>153.32</v>
    <v>172.35</v>
    <v>179.18</v>
    <v>178.96</v>
    <v>154.32</v>
    <v>152.87</v>
    <v>145.80000000000001</v>
    <v>147.74</v>
  </a>
  <a r="1">
    <v>62.25</v>
  </a>
  <a r="1">
    <v>75.95</v>
  </a>
  <a r="1" c="27">
    <v>240.48</v>
    <v>257.06</v>
    <v>248.03</v>
    <v>248.99</v>
    <v>250.45</v>
    <v>213.94</v>
    <v>201.16</v>
    <v>194.13</v>
    <v>192.23</v>
    <v>195.32</v>
    <v>203.59</v>
    <v>208.36</v>
    <v>201.62</v>
    <v>205.51</v>
    <v>202.44</v>
    <v>212.25</v>
    <v>211.8</v>
    <v>206.17</v>
    <v>201.64</v>
    <v>202.33</v>
    <v>214.74</v>
    <v>248.9</v>
    <v>252.83</v>
    <v>243.48</v>
    <v>233.52</v>
    <v>232.36</v>
    <v>230.16</v>
  </a>
  <a r="1">
    <v>58.75</v>
  </a>
  <a r="1">
    <v>117.55</v>
  </a>
  <a r="1" c="27">
    <v>284.42</v>
    <v>272.98</v>
    <v>260.82</v>
    <v>264.79000000000002</v>
    <v>247.08</v>
    <v>239.8</v>
    <v>241.97</v>
    <v>252.88</v>
    <v>251.42</v>
    <v>251.99</v>
    <v>249.54</v>
    <v>242</v>
    <v>244.03</v>
    <v>246.32</v>
    <v>240.53</v>
    <v>248.94</v>
    <v>249.47</v>
    <v>250.6</v>
    <v>244.23</v>
    <v>224.17</v>
    <v>219.03</v>
    <v>215.91</v>
    <v>227.94</v>
    <v>243.78</v>
    <v>238.6</v>
    <v>240.78</v>
    <v>247.48</v>
  </a>
  <a r="1">
    <v>346.76</v>
  </a>
  <a r="1" c="27">
    <v>500.03</v>
    <v>498.75</v>
    <v>489.13</v>
    <v>492.42</v>
    <v>492.1</v>
    <v>477.54</v>
    <v>499.06</v>
    <v>508.94</v>
    <v>504.04</v>
    <v>513.80999999999995</v>
    <v>504.34</v>
    <v>499.52</v>
    <v>494.53</v>
    <v>498.3</v>
    <v>496.85</v>
    <v>499.1</v>
    <v>493.29</v>
    <v>478.97</v>
    <v>480.53</v>
    <v>508.09</v>
    <v>497.55</v>
    <v>498.2</v>
    <v>504.95</v>
    <v>498.98</v>
    <v>490.03</v>
    <v>480.94</v>
    <v>468.49</v>
  </a>
  <a r="1">
    <v>58.54</v>
  </a>
  <a r="1">
    <v>144.47</v>
  </a>
  <a r="1" c="27">
    <v>82.3</v>
    <v>82</v>
    <v>80.650000000000006</v>
    <v>84.75</v>
    <v>83.11</v>
    <v>80.56</v>
    <v>83.31</v>
    <v>82.84</v>
    <v>81.27</v>
    <v>83.52</v>
    <v>79.569999999999993</v>
    <v>78.89</v>
    <v>80.010000000000005</v>
    <v>80.39</v>
    <v>80.989999999999995</v>
    <v>78.680000000000007</v>
    <v>79.42</v>
    <v>78.28</v>
    <v>82.36</v>
    <v>80.650000000000006</v>
    <v>86.37</v>
    <v>85.57</v>
    <v>86.07</v>
    <v>83.35</v>
    <v>83.73</v>
    <v>79.44</v>
    <v>80.709999999999994</v>
  </a>
  <a r="1" c="27">
    <v>138.62</v>
    <v>160.19999999999999</v>
    <v>169.01</v>
    <v>174</v>
    <v>186.06</v>
    <v>192.86</v>
    <v>179.8</v>
    <v>170.97</v>
    <v>159.83000000000001</v>
    <v>179.73</v>
    <v>189.02</v>
    <v>161.27000000000001</v>
    <v>159.82</v>
    <v>167.58</v>
    <v>175.61</v>
    <v>163.58000000000001</v>
    <v>176.93</v>
    <v>182.49</v>
    <v>186.18</v>
    <v>195.58</v>
    <v>234.53</v>
    <v>243.75</v>
    <v>254.89</v>
    <v>241.78</v>
    <v>258.88</v>
    <v>255.88</v>
    <v>251.07</v>
  </a>
  <a r="1">
    <v>381.79</v>
  </a>
  <a r="1">
    <v>134.25</v>
  </a>
  <a r="1">
    <v>202.71</v>
  </a>
  <a r="1">
    <v>58.35</v>
  </a>
  <a r="1">
    <v>142.71</v>
  </a>
  <a r="1" c="27">
    <v>24.49</v>
    <v>28.49</v>
    <v>26.83</v>
    <v>26.01</v>
    <v>26.74</v>
    <v>27.16</v>
    <v>24.54</v>
    <v>24.77</v>
    <v>23.72</v>
    <v>25.98</v>
    <v>27.7</v>
    <v>29.46</v>
    <v>33.799999999999997</v>
    <v>31.2</v>
    <v>30.86</v>
    <v>34.299999999999997</v>
    <v>41.83</v>
    <v>48.71</v>
    <v>44.07</v>
    <v>41.01</v>
    <v>42.23</v>
    <v>49.87</v>
    <v>53.57</v>
    <v>52.52</v>
    <v>52.56</v>
    <v>51.38</v>
    <v>49.56</v>
  </a>
  <a r="1" c="27">
    <v>117.22</v>
    <v>113.26</v>
    <v>110.73</v>
    <v>112.24</v>
    <v>115.39</v>
    <v>114.36</v>
    <v>117.22</v>
    <v>119.29</v>
    <v>117.08</v>
    <v>115.92</v>
    <v>116.54</v>
    <v>118.82</v>
    <v>116.69</v>
    <v>119.11</v>
    <v>122.65</v>
    <v>124.61</v>
    <v>129.88999999999999</v>
    <v>134.97</v>
    <v>141.4</v>
    <v>149.05000000000001</v>
    <v>148.44999999999999</v>
    <v>147.28</v>
    <v>152.5</v>
    <v>151.21</v>
    <v>156.12</v>
    <v>159.66999999999999</v>
    <v>170.99</v>
  </a>
  <a r="1">
    <v>24.24</v>
  </a>
  <a r="1">
    <v>59.5</v>
  </a>
  <a r="1">
    <v>153.96</v>
  </a>
  <a r="1">
    <v>176.1</v>
  </a>
  <a r="1">
    <v>261.8</v>
  </a>
  <a r="1">
    <v>27.79</v>
  </a>
  <a r="1" c="27">
    <v>217.04</v>
    <v>220.84</v>
    <v>214.57</v>
    <v>222.98</v>
    <v>235.65</v>
    <v>247.01</v>
    <v>242.42</v>
    <v>237.33</v>
    <v>218.93</v>
    <v>226.15</v>
    <v>234.36</v>
    <v>230.16</v>
    <v>229.98</v>
    <v>232.49</v>
    <v>233.22</v>
    <v>231.6</v>
    <v>241.01</v>
    <v>223.84</v>
    <v>222.78</v>
    <v>215.91</v>
    <v>236.19</v>
    <v>234.73</v>
    <v>230.15</v>
    <v>205.85</v>
    <v>199.41</v>
    <v>195.84</v>
    <v>202.14</v>
  </a>
  <a r="1">
    <v>80.45</v>
  </a>
  <a r="1" c="27">
    <v>257.12</v>
    <v>246.35</v>
    <v>232.22</v>
    <v>244.7</v>
    <v>242.71</v>
    <v>238.13</v>
    <v>233.16</v>
    <v>227.85</v>
    <v>234.29</v>
    <v>242.48</v>
    <v>248.47</v>
    <v>247.29</v>
    <v>240.44</v>
    <v>244.49</v>
    <v>246.89</v>
    <v>267.20999999999998</v>
    <v>277.55</v>
    <v>276.73</v>
    <v>267.06</v>
    <v>278.38</v>
    <v>287.39</v>
    <v>280.36</v>
    <v>264.57</v>
    <v>251.89</v>
    <v>237.59</v>
    <v>224.63</v>
    <v>230.31</v>
  </a>
  <a r="1">
    <v>208.22</v>
  </a>
  <a r="1">
    <v>107.38</v>
  </a>
  <a r="1">
    <v>202.39</v>
  </a>
  <a r="1">
    <v>207.1</v>
  </a>
  <a r="1" c="27">
    <v>425.22</v>
    <v>413</v>
    <v>408.46</v>
    <v>425.71</v>
    <v>434.39</v>
    <v>470</v>
    <v>462.43</v>
    <v>432.82</v>
    <v>421.84</v>
    <v>431.43</v>
    <v>440.53</v>
    <v>448</v>
    <v>442.51</v>
    <v>454.94</v>
    <v>463.03</v>
    <v>470.53</v>
    <v>489.31</v>
    <v>485.53</v>
    <v>487.94</v>
    <v>503.8</v>
    <v>524.12</v>
    <v>526.73</v>
    <v>511.63</v>
    <v>471.54</v>
    <v>467.38</v>
    <v>475.74</v>
    <v>480.97</v>
  </a>
  <a r="1">
    <v>182.75</v>
  </a>
  <a r="1">
    <v>109.88</v>
  </a>
  <a r="1">
    <v>283.25</v>
  </a>
  <a r="1" c="27">
    <v>45.43</v>
    <v>45.93</v>
    <v>46.91</v>
    <v>46.97</v>
    <v>46.64</v>
    <v>45.83</v>
    <v>45.9</v>
    <v>45.94</v>
    <v>46.89</v>
    <v>47.72</v>
    <v>44.91</v>
    <v>44.26</v>
    <v>44.23</v>
    <v>44.85</v>
    <v>45.26</v>
    <v>44.65</v>
    <v>47.34</v>
    <v>46.56</v>
    <v>47.34</v>
    <v>46.63</v>
    <v>50.1</v>
    <v>50.2</v>
    <v>51.16</v>
    <v>50.84</v>
    <v>51.16</v>
    <v>48.54</v>
    <v>50.03</v>
  </a>
  <a r="1">
    <v>40.42</v>
  </a>
  <a r="1" c="27">
    <v>243.43</v>
    <v>240.36</v>
    <v>241.68</v>
    <v>243.08</v>
    <v>254.83</v>
    <v>260.41000000000003</v>
    <v>239.88</v>
    <v>243.66</v>
    <v>227.11</v>
    <v>230.54</v>
    <v>260.57</v>
    <v>262.23</v>
    <v>259.91000000000003</v>
    <v>266.08</v>
    <v>253.62</v>
    <v>259.94</v>
    <v>227.11</v>
    <v>228.05</v>
    <v>212.29</v>
    <v>191.35</v>
    <v>189.72</v>
    <v>185.16</v>
    <v>194.79</v>
    <v>202.11</v>
    <v>192.83</v>
    <v>195.38</v>
    <v>179.31</v>
  </a>
  <a r="1">
    <v>103.82</v>
  </a>
  <a r="1">
    <v>65.36</v>
  </a>
  <a r="1">
    <v>250.23</v>
  </a>
  <a r="1">
    <v>53.07</v>
  </a>
  <a r="1">
    <v>160.81</v>
  </a>
  <a r="1">
    <v>274.33999999999997</v>
  </a>
  <a r="1">
    <v>43.59</v>
  </a>
  <a r="1">
    <v>120.77</v>
  </a>
  <a r="1" c="27">
    <v>102.1</v>
    <v>103.74</v>
    <v>103.67</v>
    <v>105.52</v>
    <v>104.28</v>
    <v>102.02</v>
    <v>104.65</v>
    <v>105.02</v>
    <v>104.53</v>
    <v>106.35</v>
    <v>99.86</v>
    <v>97.27</v>
    <v>98.48</v>
    <v>99.81</v>
    <v>100.86</v>
    <v>99.91</v>
    <v>104</v>
    <v>102.32</v>
    <v>103.28</v>
    <v>105.09</v>
    <v>110.97</v>
    <v>110.05</v>
    <v>113.28</v>
    <v>111.52</v>
    <v>112.04</v>
    <v>106.06</v>
    <v>108.72</v>
  </a>
  <a r="1">
    <v>39.770000000000003</v>
  </a>
  <a r="1">
    <v>122.87</v>
  </a>
  <a r="1">
    <v>416.44</v>
  </a>
  <a r="1">
    <v>155.53</v>
  </a>
  <a r="1" c="27">
    <v>169.2</v>
    <v>169.18</v>
    <v>153.59</v>
    <v>163.44999999999999</v>
    <v>168.94</v>
    <v>180.9</v>
    <v>170.89</v>
    <v>173.98</v>
    <v>163.30000000000001</v>
    <v>168.09</v>
    <v>174.81</v>
    <v>178.29</v>
    <v>175.25</v>
    <v>174.81</v>
    <v>172.98</v>
    <v>177.78</v>
    <v>159.41999999999999</v>
    <v>155.82</v>
    <v>151.59</v>
    <v>137.34</v>
    <v>140.69999999999999</v>
    <v>142.88</v>
    <v>142.36000000000001</v>
    <v>135.69</v>
    <v>129.82</v>
    <v>129.9</v>
    <v>127.11</v>
  </a>
  <a r="1">
    <v>301.49</v>
  </a>
  <a r="1" c="27">
    <v>5548</v>
    <v>5418.05</v>
    <v>5164.93</v>
    <v>5070.0200000000004</v>
    <v>5146.16</v>
    <v>5077.74</v>
    <v>4940</v>
    <v>5048.01</v>
    <v>4768</v>
    <v>4914.6899999999996</v>
    <v>5197.04</v>
    <v>5301.64</v>
    <v>5393.74</v>
    <v>5440.14</v>
    <v>5323.2</v>
    <v>5492.11</v>
    <v>5115.91</v>
    <v>5098.5</v>
    <v>5001.84</v>
    <v>4457.17</v>
    <v>4140.6000000000004</v>
    <v>4076.79</v>
    <v>4239.3500000000004</v>
    <v>4550.43</v>
    <v>4241.26</v>
    <v>4324.04</v>
    <v>4062.14</v>
  </a>
  <a r="1">
    <v>155.41999999999999</v>
  </a>
  <a r="1">
    <v>113.35</v>
  </a>
  <a r="1" c="27">
    <v>176.3</v>
    <v>175.59</v>
    <v>167.51</v>
    <v>167.41</v>
    <v>178.17</v>
    <v>170.54</v>
    <v>166.13</v>
    <v>170.68</v>
    <v>168.18</v>
    <v>184.18</v>
    <v>190.01</v>
    <v>204.97</v>
    <v>209.45</v>
    <v>208.97</v>
    <v>210.81</v>
    <v>203.9</v>
    <v>201.87</v>
    <v>191.07</v>
    <v>174.5</v>
    <v>172.85</v>
    <v>176.42</v>
    <v>187.3</v>
    <v>185.17</v>
    <v>170.13</v>
    <v>157.78</v>
    <v>162.82</v>
    <v>145.85</v>
  </a>
  <a r="1">
    <v>29.74</v>
  </a>
  <a r="1">
    <v>220.47</v>
  </a>
  <a r="1" c="27">
    <v>137.37</v>
    <v>159.88</v>
    <v>146.57</v>
    <v>143</v>
    <v>149.88999999999999</v>
    <v>154.27000000000001</v>
    <v>155.51</v>
    <v>167.55</v>
    <v>175.3</v>
    <v>182.09</v>
    <v>181.3</v>
    <v>174.1</v>
    <v>174.8</v>
    <v>177.08</v>
    <v>177.82</v>
    <v>187.62</v>
    <v>164.42</v>
    <v>171.59</v>
    <v>179.89</v>
    <v>201.18</v>
    <v>196.52</v>
    <v>192.03</v>
    <v>191.82</v>
    <v>184.87</v>
    <v>181.55</v>
    <v>181.46</v>
    <v>183.84</v>
  </a>
  <a r="1" c="27">
    <v>369.02</v>
    <v>370.5</v>
    <v>364.6</v>
    <v>374.42</v>
    <v>381.79</v>
    <v>356.24</v>
    <v>356.03</v>
    <v>362.22</v>
    <v>368.27</v>
    <v>371.18</v>
    <v>364.02</v>
    <v>354.09</v>
    <v>355.2</v>
    <v>354.22</v>
    <v>348.18</v>
    <v>367.54</v>
    <v>363.78</v>
    <v>355.04</v>
    <v>369.56</v>
    <v>358.29</v>
    <v>366.05</v>
    <v>380.23</v>
    <v>387.46</v>
    <v>364.56</v>
    <v>336.77</v>
    <v>335.67</v>
    <v>327.44</v>
  </a>
  <a r="1" c="27">
    <v>76.05</v>
    <v>77.56</v>
    <v>73.239999999999995</v>
    <v>72.86</v>
    <v>75.05</v>
    <v>75.099999999999994</v>
    <v>83.74</v>
    <v>87.17</v>
    <v>89.01</v>
    <v>89.52</v>
    <v>83.49</v>
    <v>85.88</v>
    <v>89.22</v>
    <v>88.42</v>
    <v>85.1</v>
    <v>88.12</v>
    <v>93.49</v>
    <v>95.08</v>
    <v>97.15</v>
    <v>95.08</v>
    <v>111.76</v>
    <v>94.17</v>
    <v>98.39</v>
    <v>99.89</v>
    <v>107.67</v>
    <v>110.48</v>
    <v>114.5</v>
  </a>
  <a r="1" c="27">
    <v>207.22</v>
    <v>201.99</v>
    <v>196.86</v>
    <v>201.35</v>
    <v>201.47</v>
    <v>188.3</v>
    <v>191</v>
    <v>174.69</v>
    <v>168.59</v>
    <v>178.86</v>
    <v>167.17</v>
    <v>170.1</v>
    <v>163.03</v>
    <v>161.66999999999999</v>
    <v>165.23</v>
    <v>166.37</v>
    <v>166.6</v>
    <v>160.12</v>
    <v>158.35</v>
    <v>149.65</v>
    <v>171.49</v>
    <v>171.4</v>
    <v>173.89</v>
    <v>158.65</v>
    <v>158.94999999999999</v>
    <v>146.02000000000001</v>
    <v>155.47999999999999</v>
  </a>
  <a r="1">
    <v>153.04</v>
  </a>
  <a r="1" c="27">
    <v>72.459999999999994</v>
    <v>76.56</v>
    <v>71.010000000000005</v>
    <v>74.05</v>
    <v>78.14</v>
    <v>74.95</v>
    <v>73.05</v>
    <v>73.150000000000006</v>
    <v>76.45</v>
    <v>79.989999999999995</v>
    <v>85.46</v>
    <v>83.96</v>
    <v>82.89</v>
    <v>83.61</v>
    <v>82.82</v>
    <v>87.28</v>
    <v>81.75</v>
    <v>79.77</v>
    <v>78.97</v>
    <v>80.650000000000006</v>
    <v>80.34</v>
    <v>84.23</v>
    <v>84.27</v>
    <v>74.27</v>
    <v>70.77</v>
    <v>69.650000000000006</v>
    <v>69.23</v>
  </a>
  <a r="1" c="27">
    <v>68.09</v>
    <v>63.37</v>
    <v>61.83</v>
    <v>61.4</v>
    <v>63.66</v>
    <v>61.44</v>
    <v>64.150000000000006</v>
    <v>66</v>
    <v>65.540000000000006</v>
    <v>67.47</v>
    <v>66</v>
    <v>66.12</v>
    <v>66.31</v>
    <v>67.44</v>
    <v>67.760000000000005</v>
    <v>68.650000000000006</v>
    <v>69.64</v>
    <v>71.7</v>
    <v>72.8</v>
    <v>72.599999999999994</v>
    <v>75.03</v>
    <v>76.31</v>
    <v>80.12</v>
    <v>76.959999999999994</v>
    <v>79.209999999999994</v>
    <v>77.33</v>
    <v>81.99</v>
  </a>
  <a r="1">
    <v>102.34</v>
  </a>
  <a r="1">
    <v>49.56</v>
  </a>
  <a r="1">
    <v>128.72</v>
  </a>
  <a r="1">
    <v>615.84</v>
  </a>
  <a r="1" c="27">
    <v>49.45</v>
    <v>49.47</v>
    <v>44.91</v>
    <v>46.19</v>
    <v>47.59</v>
    <v>46.42</v>
    <v>43.02</v>
    <v>45.3</v>
    <v>44.8</v>
    <v>48.99</v>
    <v>43.35</v>
    <v>44.39</v>
    <v>43.09</v>
    <v>43.25</v>
    <v>44.39</v>
    <v>48.71</v>
    <v>50.91</v>
    <v>50.99</v>
    <v>49</v>
    <v>55.1</v>
    <v>57.61</v>
    <v>56.67</v>
    <v>57.52</v>
    <v>67.11</v>
    <v>72.3</v>
    <v>73.319999999999993</v>
    <v>80.45</v>
  </a>
  <a r="1" c="27">
    <v>25.04</v>
    <v>24.32</v>
    <v>22.45</v>
    <v>22.94</v>
    <v>23.47</v>
    <v>22.42</v>
    <v>19.07</v>
    <v>18.29</v>
    <v>18.2</v>
    <v>18.46</v>
    <v>18.920000000000002</v>
    <v>20.86</v>
    <v>23.04</v>
    <v>22.81</v>
    <v>22.78</v>
    <v>24.53</v>
    <v>22.01</v>
    <v>20.93</v>
    <v>21.96</v>
    <v>23.32</v>
    <v>21.49</v>
    <v>24.31</v>
    <v>24.79</v>
    <v>20.05</v>
    <v>18.87</v>
    <v>18.95</v>
    <v>18.489999999999998</v>
  </a>
  <a r="1" c="27">
    <v>60.72</v>
    <v>62.18</v>
    <v>59.55</v>
    <v>63.75</v>
    <v>65.91</v>
    <v>62.97</v>
    <v>62</v>
    <v>65.88</v>
    <v>67.45</v>
    <v>69.48</v>
    <v>67.180000000000007</v>
    <v>63.26</v>
    <v>65.77</v>
    <v>67.47</v>
    <v>68.03</v>
    <v>69.099999999999994</v>
    <v>71.680000000000007</v>
    <v>73.23</v>
    <v>69.81</v>
    <v>74.819999999999993</v>
    <v>83</v>
    <v>81.39</v>
    <v>82.23</v>
    <v>73.77</v>
    <v>69.61</v>
    <v>66.62</v>
    <v>71.010000000000005</v>
  </a>
  <a r="1" c="27">
    <v>487.76</v>
    <v>469.17</v>
    <v>438.92</v>
    <v>447.64</v>
    <v>464.18</v>
    <v>453.82</v>
    <v>393.43</v>
    <v>389.83</v>
    <v>388.36</v>
    <v>418.01</v>
    <v>466.76</v>
    <v>452.95</v>
    <v>463.73</v>
    <v>477.14</v>
    <v>480.42</v>
    <v>525.17999999999995</v>
    <v>516.30999999999995</v>
    <v>501.39</v>
    <v>465.11500000000001</v>
    <v>426.88</v>
    <v>437.09</v>
    <v>439.94</v>
    <v>414</v>
    <v>437.41</v>
    <v>412.63</v>
    <v>420.32</v>
    <v>380.47</v>
  </a>
  <a r="1">
    <v>68.819999999999993</v>
  </a>
  <a r="1">
    <v>59.73</v>
  </a>
  <a r="1">
    <v>53.9</v>
  </a>
  <a r="1">
    <v>327.82</v>
  </a>
  <a r="1">
    <v>130.1</v>
  </a>
  <a r="1" c="27">
    <v>81.97</v>
    <v>83.97</v>
    <v>80.77</v>
    <v>97.5</v>
    <v>97.8</v>
    <v>94.6</v>
    <v>94.72</v>
    <v>96.01</v>
    <v>94.58</v>
    <v>96.07</v>
    <v>93.63</v>
    <v>92.84</v>
    <v>91.47</v>
    <v>89.08</v>
    <v>92.64</v>
    <v>99.99</v>
    <v>107.81</v>
    <v>113.6</v>
    <v>113.88</v>
    <v>115.86</v>
    <v>122.53</v>
    <v>121.95</v>
    <v>120.65</v>
    <v>116.67</v>
    <v>124.73</v>
    <v>118.15</v>
    <v>128.72</v>
  </a>
  <a r="1">
    <v>321.64999999999998</v>
  </a>
  <a r="1">
    <v>229.84</v>
  </a>
  <a r="1">
    <v>25.85</v>
  </a>
  <a r="1" c="27">
    <v>92.13</v>
    <v>90.09</v>
    <v>87.34</v>
    <v>83.51</v>
    <v>86.47</v>
    <v>83.29</v>
    <v>82.03</v>
    <v>85.04</v>
    <v>78.540000000000006</v>
    <v>78.7</v>
    <v>77.88</v>
    <v>79.19</v>
    <v>78.7</v>
    <v>77.45</v>
    <v>80.13</v>
    <v>82.6</v>
    <v>86.75</v>
    <v>92.38</v>
    <v>93.23</v>
    <v>92.64</v>
    <v>94.66</v>
    <v>97.18</v>
    <v>99.54</v>
    <v>115.78</v>
    <v>129.57</v>
    <v>124.9</v>
    <v>136.44999999999999</v>
  </a>
  <a r="1">
    <v>80.849999999999994</v>
  </a>
  <a r="1">
    <v>114.66</v>
  </a>
  <a r="1">
    <v>471.85</v>
  </a>
  <a r="1" c="27">
    <v>418.04</v>
    <v>432.8</v>
    <v>413.08</v>
    <v>411.83</v>
    <v>421.45</v>
    <v>437.68</v>
    <v>473.34</v>
    <v>462.61</v>
    <v>472.51</v>
    <v>497.98</v>
    <v>510.65</v>
    <v>510.05</v>
    <v>506.72</v>
    <v>519.12</v>
    <v>522.03</v>
    <v>552.09</v>
    <v>578.94000000000005</v>
    <v>571.78</v>
    <v>578.82000000000005</v>
    <v>577.73</v>
    <v>601.01</v>
    <v>593.28</v>
    <v>583.87</v>
    <v>539.23</v>
    <v>535.71</v>
    <v>533.54</v>
    <v>523.24</v>
  </a>
  <a r="1" c="27">
    <v>476.74</v>
    <v>485.04</v>
    <v>484.1</v>
    <v>471.04</v>
    <v>490.82</v>
    <v>480.3</v>
    <v>487.98</v>
    <v>479.48</v>
    <v>479.65</v>
    <v>490.78</v>
    <v>496.5</v>
    <v>486.6</v>
    <v>503.08</v>
    <v>520.04</v>
    <v>498.98</v>
    <v>531.61</v>
    <v>538.91999999999996</v>
    <v>524.04</v>
    <v>515.55999999999995</v>
    <v>452.49</v>
    <v>426.44</v>
    <v>447.82</v>
    <v>477.59</v>
    <v>471.97</v>
    <v>430.01</v>
    <v>435.12</v>
    <v>424.84</v>
  </a>
  <a r="1" c="27">
    <v>60.33</v>
    <v>61.53</v>
    <v>60.97</v>
    <v>60.58</v>
    <v>61.06</v>
    <v>58.69</v>
    <v>61.58</v>
    <v>60.56</v>
    <v>61.47</v>
    <v>62.77</v>
    <v>58.49</v>
    <v>59.33</v>
    <v>59.43</v>
    <v>59.2</v>
    <v>59.24</v>
    <v>57.98</v>
    <v>61.13</v>
    <v>59.6</v>
    <v>60.17</v>
    <v>62.33</v>
    <v>66.510000000000005</v>
    <v>65.959999999999994</v>
    <v>63.14</v>
    <v>63.24</v>
    <v>63.21</v>
    <v>59.38</v>
    <v>60.88</v>
  </a>
  <a r="1" c="27">
    <v>100.93</v>
    <v>104.8</v>
    <v>101.84</v>
    <v>104.58</v>
    <v>105.23</v>
    <v>102.95</v>
    <v>104.12</v>
    <v>91.37</v>
    <v>85.02</v>
    <v>86.35</v>
    <v>84.31</v>
    <v>83.35</v>
    <v>80.09</v>
    <v>81.99</v>
    <v>83.24</v>
    <v>89.19</v>
    <v>95.93</v>
    <v>93.59</v>
    <v>92.13</v>
    <v>95.78</v>
    <v>109.83</v>
    <v>110.29</v>
    <v>108.33</v>
    <v>105.18</v>
    <v>106.84</v>
    <v>99.61</v>
    <v>98.3</v>
  </a>
  <a r="1" c="27">
    <v>42.13</v>
    <v>41.98</v>
    <v>40.450000000000003</v>
    <v>41.4</v>
    <v>43.07</v>
    <v>36.92</v>
    <v>35.81</v>
    <v>34.29</v>
    <v>33.78</v>
    <v>35.69</v>
    <v>36.04</v>
    <v>37.19</v>
    <v>38.11</v>
    <v>38.74</v>
    <v>39.6</v>
    <v>42.98</v>
    <v>42.71</v>
    <v>43.8</v>
    <v>41.63</v>
    <v>44.14</v>
    <v>51.56</v>
    <v>48.74</v>
    <v>47.01</v>
    <v>42.85</v>
    <v>39.75</v>
    <v>36.21</v>
    <v>39.409999999999997</v>
  </a>
  <a r="1" c="27">
    <v>272.98</v>
    <v>297.89</v>
    <v>290.13</v>
    <v>298.81</v>
    <v>291.76</v>
    <v>298.43</v>
    <v>320.2</v>
    <v>336.74</v>
    <v>337.54</v>
    <v>345.46</v>
    <v>329.89</v>
    <v>317.74</v>
    <v>327.38</v>
    <v>332.93</v>
    <v>327.64</v>
    <v>326.10000000000002</v>
    <v>330.41</v>
    <v>344.75</v>
    <v>341.88</v>
    <v>384.32</v>
    <v>369.19</v>
    <v>374.75</v>
    <v>388.16</v>
    <v>369.53</v>
    <v>366.21</v>
    <v>347.8</v>
    <v>348.77</v>
  </a>
  <a r="1">
    <v>227.9</v>
  </a>
  <a r="1" c="27">
    <v>481.42</v>
    <v>489.88</v>
    <v>493.66</v>
    <v>484.65</v>
    <v>527.32000000000005</v>
    <v>543.01</v>
    <v>539.80999999999995</v>
    <v>537.54999999999995</v>
    <v>490.67</v>
    <v>509.16</v>
    <v>512.03</v>
    <v>504.78</v>
    <v>481.28</v>
    <v>481.19</v>
    <v>453.58</v>
    <v>470.61</v>
    <v>453.88</v>
    <v>452.49</v>
    <v>441.40499999999997</v>
    <v>395.5</v>
    <v>429.64</v>
    <v>388.6</v>
    <v>371.98</v>
    <v>428.99</v>
    <v>441.78</v>
    <v>409</v>
    <v>369.58</v>
  </a>
  <a r="1">
    <v>190.33</v>
  </a>
  <a r="1">
    <v>88.5</v>
  </a>
  <a r="1">
    <v>75.709999999999994</v>
  </a>
  <a r="1">
    <v>273</v>
  </a>
  <a r="1">
    <v>164.12</v>
  </a>
  <a r="1">
    <v>88.44</v>
  </a>
  <a r="1">
    <v>319.08999999999997</v>
  </a>
  <a r="1">
    <v>175.42</v>
  </a>
  <a r="1">
    <v>357.36</v>
  </a>
  <a r="1">
    <v>1232.04</v>
  </a>
  <a r="1" c="27">
    <v>161.79</v>
    <v>156.32</v>
    <v>152.96</v>
    <v>155.19</v>
    <v>152.86000000000001</v>
    <v>149.53</v>
    <v>140.51</v>
    <v>135.86000000000001</v>
    <v>130.63</v>
    <v>131.44999999999999</v>
    <v>139.33000000000001</v>
    <v>143.13999999999999</v>
    <v>141.1</v>
    <v>145.81</v>
    <v>145.31</v>
    <v>146.07</v>
    <v>144.43</v>
    <v>146.97</v>
    <v>145.44999999999999</v>
    <v>140.84</v>
    <v>158.27000000000001</v>
    <v>162.66999999999999</v>
    <v>162.13999999999999</v>
    <v>156.13</v>
    <v>153.97</v>
    <v>148.85</v>
    <v>145.71</v>
  </a>
  <a r="1">
    <v>136.81</v>
  </a>
  <a r="1">
    <v>230.31</v>
  </a>
  <a r="1" c="27">
    <v>64.42</v>
    <v>66.540000000000006</v>
    <v>60.41</v>
    <v>65.135000000000005</v>
    <v>63.17</v>
    <v>62.42</v>
    <v>56.28</v>
    <v>53.48</v>
    <v>50.9</v>
    <v>53.58</v>
    <v>65.81</v>
    <v>67.180000000000007</v>
    <v>64.91</v>
    <v>64.94</v>
    <v>65.03</v>
    <v>75.22</v>
    <v>74.7</v>
    <v>74.709999999999994</v>
    <v>75.92</v>
    <v>76.010000000000005</v>
    <v>78.56</v>
    <v>77.73</v>
    <v>74.64</v>
    <v>64.77</v>
    <v>61.94</v>
    <v>62.97</v>
    <v>62</v>
  </a>
  <a r="1" c="27">
    <v>133.31</v>
    <v>132.4</v>
    <v>124.72</v>
    <v>124.82</v>
    <v>126.03</v>
    <v>128.66999999999999</v>
    <v>129.96</v>
    <v>127.39</v>
    <v>127.13</v>
    <v>131.34</v>
    <v>133.21</v>
    <v>138.52000000000001</v>
    <v>139.46</v>
    <v>140.13999999999999</v>
    <v>139.28</v>
    <v>145.74</v>
    <v>145.57</v>
    <v>148.63</v>
    <v>149.43</v>
    <v>152.15</v>
    <v>146.38</v>
    <v>144.76</v>
    <v>143.09</v>
    <v>138.59</v>
    <v>136.91999999999999</v>
    <v>135.74</v>
    <v>134.99</v>
  </a>
  <a r="1">
    <v>179.31</v>
  </a>
  <a r="1">
    <v>73.819999999999993</v>
  </a>
  <a r="1">
    <v>209.4</v>
  </a>
  <a r="1" c="27">
    <v>261.04000000000002</v>
    <v>260</v>
    <v>244.93</v>
    <v>249.26</v>
    <v>245.75</v>
    <v>243.92</v>
    <v>245.49</v>
    <v>243.97</v>
    <v>247.77</v>
    <v>249.28</v>
    <v>249.7</v>
    <v>258.02</v>
    <v>250.14</v>
    <v>252.46</v>
    <v>249.5</v>
    <v>255.12</v>
    <v>263.47000000000003</v>
    <v>258.26</v>
    <v>261.26</v>
    <v>293.57</v>
    <v>299.60000000000002</v>
    <v>294.98</v>
    <v>290.63</v>
    <v>277.16000000000003</v>
    <v>266.99</v>
    <v>257.68</v>
    <v>259.04000000000002</v>
  </a>
  <a r="1">
    <v>452.66</v>
  </a>
  <a r="1" c="27">
    <v>109.14</v>
    <v>114.06</v>
    <v>117.04</v>
    <v>117.53</v>
    <v>115.98</v>
    <v>120.26</v>
    <v>121.43</v>
    <v>121.3</v>
    <v>120.84</v>
    <v>123.77</v>
    <v>117.54</v>
    <v>114.13</v>
    <v>114.49</v>
    <v>115.67</v>
    <v>115.81</v>
    <v>116.91</v>
    <v>119.96</v>
    <v>116.63</v>
    <v>119.77500000000001</v>
    <v>120.8</v>
    <v>129.94</v>
    <v>129.37</v>
    <v>133.82</v>
    <v>131.87</v>
    <v>133.61000000000001</v>
    <v>125.66</v>
    <v>130.1</v>
  </a>
  <a r="1">
    <v>238.79</v>
  </a>
  <a r="1">
    <v>81.91</v>
  </a>
  <a r="1">
    <v>248.8</v>
  </a>
  <a r="1">
    <v>78.09</v>
  </a>
  <a r="1">
    <v>70.08</v>
  </a>
  <a r="1">
    <v>132.32</v>
  </a>
  <a r="1" c="27">
    <v>109.05</v>
    <v>114.92</v>
    <v>108.22</v>
    <v>116.82</v>
    <v>114.71</v>
    <v>109.82</v>
    <v>103.68</v>
    <v>101.41</v>
    <v>105.24</v>
    <v>109.28</v>
    <v>116.3</v>
    <v>123.21</v>
    <v>125.42</v>
    <v>131.30000000000001</v>
    <v>129.07</v>
    <v>134.35</v>
    <v>130.69</v>
    <v>130.04</v>
    <v>126.91</v>
    <v>152.1</v>
    <v>153.80000000000001</v>
    <v>157.09</v>
    <v>155.47</v>
    <v>144.15</v>
    <v>142.1</v>
    <v>140.88</v>
    <v>138.84</v>
  </a>
  <a r="1" c="27">
    <v>226.04</v>
    <v>228.89</v>
    <v>205.37</v>
    <v>214.35</v>
    <v>219.16</v>
    <v>209.12</v>
    <v>204.56</v>
    <v>197.1</v>
    <v>191.35</v>
    <v>194.94</v>
    <v>227.95</v>
    <v>228.16</v>
    <v>226.27</v>
    <v>222.87</v>
    <v>221.28</v>
    <v>241.15</v>
    <v>237.11</v>
    <v>232.47499999999999</v>
    <v>226.14</v>
    <v>224.32</v>
    <v>244.43</v>
    <v>232.27</v>
    <v>227.01</v>
    <v>201.74</v>
    <v>190.86</v>
    <v>191.37</v>
    <v>191.66</v>
  </a>
  <a r="1">
    <v>99.69</v>
  </a>
  <a r="1">
    <v>64.2</v>
  </a>
  <a r="1">
    <v>71.2</v>
  </a>
  <a r="1">
    <v>30.86</v>
  </a>
  <a r="1">
    <v>137.61000000000001</v>
  </a>
  <a r="1">
    <v>195.51</v>
  </a>
  <a r="1" c="27">
    <v>254.95</v>
    <v>283.72000000000003</v>
    <v>280.22000000000003</v>
    <v>275.01</v>
    <v>290.64999999999998</v>
    <v>278.19</v>
    <v>252.04</v>
    <v>237.12</v>
    <v>227.1</v>
    <v>245.77</v>
    <v>257.85000000000002</v>
    <v>268.45</v>
    <v>259.39999999999998</v>
    <v>258.83</v>
    <v>264.48</v>
    <v>276.85000000000002</v>
    <v>273.27999999999997</v>
    <v>266.5</v>
    <v>195.2</v>
    <v>193.94</v>
    <v>184.1</v>
    <v>189.83</v>
    <v>190.54</v>
    <v>179.15</v>
    <v>165.43</v>
    <v>169.9</v>
    <v>169.09</v>
  </a>
  <a r="1">
    <v>64.83</v>
  </a>
  <a r="1">
    <v>108.42</v>
  </a>
  <a r="1">
    <v>22.04</v>
  </a>
  <a r="1">
    <v>11.37</v>
  </a>
  <a r="1" c="27">
    <v>145.06790000000001</v>
    <v>152.14840000000001</v>
    <v>146.60820000000001</v>
    <v>148.60419999999999</v>
    <v>146.03450000000001</v>
    <v>140.4393</v>
    <v>139.75559999999999</v>
    <v>151.70050000000001</v>
    <v>151.44900000000001</v>
    <v>152.47059999999999</v>
    <v>152.42349999999999</v>
    <v>157.86940000000001</v>
    <v>153.70439999999999</v>
    <v>154.2859</v>
    <v>153.1936</v>
    <v>159.33109999999999</v>
    <v>162.75739999999999</v>
    <v>158.57669999999999</v>
    <v>159.90479999999999</v>
    <v>165.04419999999999</v>
    <v>175.89</v>
    <v>185.39</v>
    <v>176.48</v>
    <v>167.12</v>
    <v>159.36000000000001</v>
    <v>154.13</v>
    <v>154.51</v>
  </a>
  <a r="1">
    <v>147.02000000000001</v>
  </a>
  <a r="1">
    <v>24.19</v>
  </a>
  <a r="1" c="27">
    <v>203.92</v>
    <v>217.53</v>
    <v>209.95</v>
    <v>224.99</v>
    <v>228.75</v>
    <v>233.1</v>
    <v>230.07</v>
    <v>226.01</v>
    <v>224.005</v>
    <v>252.25</v>
    <v>268</v>
    <v>259.20999999999998</v>
    <v>256.41000000000003</v>
    <v>261.89999999999998</v>
    <v>268.87</v>
    <v>301.18</v>
    <v>327.01</v>
    <v>322.38</v>
    <v>322.32</v>
    <v>322.51</v>
    <v>354.91</v>
    <v>375.38</v>
    <v>372.3</v>
    <v>324.74</v>
    <v>341.53</v>
    <v>357.06</v>
    <v>337.17</v>
  </a>
  <a r="1" c="27">
    <v>487.18</v>
    <v>479.81</v>
    <v>486.1</v>
    <v>473.19</v>
    <v>489.45</v>
    <v>487.21</v>
    <v>496.42</v>
    <v>493.9</v>
    <v>493.6</v>
    <v>498.83</v>
    <v>498.52</v>
    <v>501.03</v>
    <v>512.6</v>
    <v>529.45000000000005</v>
    <v>512.66</v>
    <v>541.94000000000005</v>
    <v>546.35</v>
    <v>533.61</v>
    <v>527.79</v>
    <v>439.28</v>
    <v>409.54</v>
    <v>417.48</v>
    <v>441.88</v>
    <v>452.36</v>
    <v>422.49</v>
    <v>424.43</v>
    <v>406.24</v>
  </a>
  <a r="1">
    <v>1140.03</v>
  </a>
  <a r="1">
    <v>119.63</v>
  </a>
  <a r="1" c="27">
    <v>122.6</v>
    <v>122.22</v>
    <v>121.7</v>
    <v>125.65</v>
    <v>133.82</v>
    <v>139.34</v>
    <v>139.09</v>
    <v>133.74</v>
    <v>131.6</v>
    <v>140.9</v>
    <v>139.36000000000001</v>
    <v>129.24</v>
    <v>135.29</v>
    <v>137.43</v>
    <v>139.71</v>
    <v>140.16</v>
    <v>154.38999999999999</v>
    <v>150.99</v>
    <v>144.08000000000001</v>
    <v>136.22999999999999</v>
    <v>146.72</v>
    <v>151.04</v>
    <v>146.06</v>
    <v>131.87</v>
    <v>133.91999999999999</v>
    <v>126.74</v>
    <v>123.62</v>
  </a>
  <a r="1">
    <v>549.98</v>
  </a>
  <a r="1" c="27">
    <v>341.68</v>
    <v>330.24</v>
    <v>316.26</v>
    <v>346.62</v>
    <v>357.56</v>
    <v>360.73</v>
    <v>368.54</v>
    <v>357.18</v>
    <v>352.89</v>
    <v>365.27</v>
    <v>370.35</v>
    <v>382.56</v>
    <v>376.51</v>
    <v>381.05</v>
    <v>372.73</v>
    <v>375.61</v>
    <v>364.79</v>
    <v>361.69</v>
    <v>352.17</v>
    <v>359.15</v>
    <v>337.5</v>
    <v>346.18</v>
    <v>308.89999999999998</v>
    <v>301</v>
    <v>299.95999999999998</v>
    <v>295.5</v>
    <v>292.27</v>
  </a>
  <a r="1" c="27">
    <v>103.16</v>
    <v>102.07</v>
    <v>101.84</v>
    <v>107.73</v>
    <v>106.17</v>
    <v>101.18</v>
    <v>102.59</v>
    <v>102.48</v>
    <v>105.32</v>
    <v>110.51</v>
    <v>115.11</v>
    <v>116.7</v>
    <v>114.36</v>
    <v>111.74</v>
    <v>112.76</v>
    <v>114.53</v>
    <v>119.7</v>
    <v>117.73</v>
    <v>119.14</v>
    <v>131.18</v>
    <v>133.88999999999999</v>
    <v>122.99</v>
    <v>127.95</v>
    <v>123.8</v>
    <v>126.52</v>
    <v>119.02</v>
    <v>122.89</v>
  </a>
  <a r="1">
    <v>44.53</v>
  </a>
  <a r="1">
    <v>195.77</v>
  </a>
  <a r="1">
    <v>169.17</v>
  </a>
  <a r="1" c="27">
    <v>75.77</v>
    <v>77.489999999999995</v>
    <v>77.900000000000006</v>
    <v>82.52</v>
    <v>81.93</v>
    <v>78.150000000000006</v>
    <v>78.989999999999995</v>
    <v>77.81</v>
    <v>78.03</v>
    <v>80.36</v>
    <v>75.63</v>
    <v>79.42</v>
    <v>77.72</v>
    <v>79.61</v>
    <v>80.13</v>
    <v>80.3</v>
    <v>78.599999999999994</v>
    <v>83.01</v>
    <v>74.52</v>
    <v>78.349999999999994</v>
    <v>78.48</v>
    <v>76.69</v>
    <v>79.900000000000006</v>
    <v>77.92</v>
    <v>76.13</v>
    <v>71.48</v>
    <v>70.08</v>
  </a>
  <a r="1">
    <v>484.24</v>
  </a>
  <a r="1" c="27">
    <v>161.35</v>
    <v>167</v>
    <v>161.16</v>
    <v>166.31</v>
    <v>167.95</v>
    <v>171.46</v>
    <v>167.96</v>
    <v>164.49</v>
    <v>170.65</v>
    <v>173.93</v>
    <v>177.54</v>
    <v>178.93</v>
    <v>177.78</v>
    <v>180.32</v>
    <v>179.06</v>
    <v>184.71</v>
    <v>196.93</v>
    <v>195.27</v>
    <v>198.55</v>
    <v>211.37</v>
    <v>210.41</v>
    <v>207.48</v>
    <v>209.47</v>
    <v>197.9</v>
    <v>188.18</v>
    <v>184.11</v>
    <v>186.55</v>
  </a>
  <a r="1">
    <v>286.39</v>
  </a>
  <a r="1">
    <v>566.64</v>
  </a>
  <a r="1" c="27">
    <v>28.8</v>
    <v>27.82</v>
    <v>26.52</v>
    <v>26.52</v>
    <v>27.22</v>
    <v>26.36</v>
    <v>25.77</v>
    <v>26.7</v>
    <v>26.54</v>
    <v>26.37</v>
    <v>27.09</v>
    <v>27.67</v>
    <v>27.61</v>
    <v>27.77</v>
    <v>26.07</v>
    <v>26.96</v>
    <v>26.1</v>
    <v>25.41</v>
    <v>23.99</v>
    <v>24.25</v>
    <v>23.72</v>
    <v>22.35</v>
    <v>22.57</v>
    <v>22.61</v>
    <v>20.68</v>
    <v>20.97</v>
    <v>18.34</v>
  </a>
  <a r="1" c="27">
    <v>126.04</v>
    <v>130.07</v>
    <v>118.77</v>
    <v>125.82</v>
    <v>127.57</v>
    <v>123.77</v>
    <v>121.55</v>
    <v>121.11</v>
    <v>123.16</v>
    <v>131.30000000000001</v>
    <v>123.91</v>
    <v>119.37</v>
    <v>107.99</v>
    <v>104.9</v>
    <v>104.22</v>
    <v>119.25</v>
    <v>118.59</v>
    <v>111.84</v>
    <v>109.35</v>
    <v>114.02</v>
    <v>122.28</v>
    <v>116.46</v>
    <v>114.36</v>
    <v>101.17</v>
    <v>94.96</v>
    <v>90.55</v>
    <v>90.25</v>
  </a>
  <a r="1">
    <v>163.85</v>
  </a>
  <a r="1" c="27">
    <v>18.18</v>
    <v>19.11</v>
    <v>18.579999999999998</v>
    <v>18.559999999999999</v>
    <v>18.29</v>
    <v>17.190000000000001</v>
    <v>17.14</v>
    <v>17.45</v>
    <v>17.77</v>
    <v>17.850000000000001</v>
    <v>17.05</v>
    <v>17.75</v>
    <v>17.350000000000001</v>
    <v>17.239999999999998</v>
    <v>17.3</v>
    <v>16.940000000000001</v>
    <v>16.96</v>
    <v>17.5</v>
    <v>18.510000000000002</v>
    <v>19.350000000000001</v>
    <v>19.760000000000002</v>
    <v>18.47</v>
    <v>19.25</v>
    <v>19.02</v>
    <v>16.41</v>
    <v>15.16</v>
    <v>15.62</v>
  </a>
  <a r="1">
    <v>125.4</v>
  </a>
  <a r="1" c="27">
    <v>92.25</v>
    <v>95.39</v>
    <v>95.26</v>
    <v>95.84</v>
    <v>96.58</v>
    <v>96.09</v>
    <v>97.19</v>
    <v>95.05</v>
    <v>93.7</v>
    <v>97.52</v>
    <v>94.22</v>
    <v>92.35</v>
    <v>91.5</v>
    <v>92.85</v>
    <v>93.86</v>
    <v>93.52</v>
    <v>96.42</v>
    <v>93.19</v>
    <v>95.89</v>
    <v>97.96</v>
    <v>105.07</v>
    <v>104.02</v>
    <v>107.11</v>
    <v>104.7</v>
    <v>105.58</v>
    <v>99.9</v>
    <v>109.88</v>
  </a>
  <a r="1">
    <v>170.99</v>
  </a>
  <a r="1">
    <v>123.62</v>
  </a>
  <a r="1" c="27">
    <v>53.38</v>
    <v>53.82</v>
    <v>49.25</v>
    <v>49.31</v>
    <v>52.18</v>
    <v>50.87</v>
    <v>51.7</v>
    <v>51.69</v>
    <v>52.3</v>
    <v>54.1</v>
    <v>55.46</v>
    <v>58.39</v>
    <v>59.19</v>
    <v>59.83</v>
    <v>59.39</v>
    <v>60.53</v>
    <v>60.82</v>
    <v>62.64</v>
    <v>62.98</v>
    <v>68.12</v>
    <v>65.099999999999994</v>
    <v>65.290000000000006</v>
    <v>60.19</v>
    <v>58.04</v>
    <v>55.64</v>
    <v>57.02</v>
    <v>57.78</v>
  </a>
  <a r="1" c="27">
    <v>65.67</v>
    <v>66.650000000000006</v>
    <v>67.040000000000006</v>
    <v>68.44</v>
    <v>69.709999999999994</v>
    <v>68.900000000000006</v>
    <v>70.55</v>
    <v>71.16</v>
    <v>72.95</v>
    <v>73.12</v>
    <v>70</v>
    <v>70.52</v>
    <v>70.06</v>
    <v>69.87</v>
    <v>69.12</v>
    <v>70.510000000000005</v>
    <v>70.44</v>
    <v>72.88</v>
    <v>74.81</v>
    <v>79.03</v>
    <v>78.680000000000007</v>
    <v>79.84</v>
    <v>81.56</v>
    <v>77.040000000000006</v>
    <v>77.34</v>
    <v>74.75</v>
    <v>75.709999999999994</v>
  </a>
  <a r="1">
    <v>77.19</v>
  </a>
  <a r="1">
    <v>75.67</v>
  </a>
  <a r="1" c="27">
    <v>55.29</v>
    <v>55.75</v>
    <v>51.4</v>
    <v>51.89</v>
    <v>52.9</v>
    <v>58.41</v>
    <v>59.48</v>
    <v>58.46</v>
    <v>59.14</v>
    <v>58.26</v>
    <v>60.89</v>
    <v>63.08</v>
    <v>63.6</v>
    <v>65.42</v>
    <v>65.959999999999994</v>
    <v>66.42</v>
    <v>65.42</v>
    <v>65.53</v>
    <v>65.569999999999993</v>
    <v>58.35</v>
    <v>51.56</v>
    <v>52.25</v>
    <v>51.73</v>
    <v>54.31</v>
    <v>52.03</v>
    <v>52.18</v>
    <v>53.38</v>
  </a>
  <a r="1" c="27">
    <v>20.239999999999998</v>
    <v>23.22</v>
    <v>21.48</v>
    <v>20.864999999999998</v>
    <v>21.33</v>
    <v>20.6</v>
    <v>21.05</v>
    <v>21.715</v>
    <v>21.984999999999999</v>
    <v>22.21</v>
    <v>22.28</v>
    <v>22.135000000000002</v>
    <v>21.585000000000001</v>
    <v>21.305</v>
    <v>21.465</v>
    <v>21.73</v>
    <v>22.13</v>
    <v>21.774999999999999</v>
    <v>22.015000000000001</v>
    <v>22.99</v>
    <v>23.52</v>
    <v>22.45</v>
    <v>23.305</v>
    <v>22.765000000000001</v>
    <v>23.33</v>
    <v>23.42</v>
    <v>23.715</v>
  </a>
  <a r="1">
    <v>295.52</v>
  </a>
  <a r="1">
    <v>163.37</v>
  </a>
  <a r="1">
    <v>878.24</v>
  </a>
  <a r="1" c="27">
    <v>85.01</v>
    <v>80.67</v>
    <v>77.62</v>
    <v>83.28</v>
    <v>86.41</v>
    <v>86.97</v>
    <v>86.04</v>
    <v>85.05</v>
    <v>83.11</v>
    <v>85.85</v>
    <v>89.83</v>
    <v>92.76</v>
    <v>93.01</v>
    <v>95.26</v>
    <v>95.2</v>
    <v>95.95</v>
    <v>88.38</v>
    <v>86.96</v>
    <v>90.49</v>
    <v>93.97</v>
    <v>86.98</v>
    <v>88.7</v>
    <v>81.45</v>
    <v>80.42</v>
    <v>74.099999999999994</v>
    <v>77.599999999999994</v>
    <v>77.19</v>
  </a>
  <a r="1">
    <v>91.68</v>
  </a>
  <a r="1">
    <v>6450.76</v>
  </a>
  <a r="1">
    <v>615.83000000000004</v>
  </a>
  <a r="1" c="27">
    <v>133.55000000000001</v>
    <v>134.59</v>
    <v>132.57</v>
    <v>128.54</v>
    <v>126.85</v>
    <v>123.62</v>
    <v>126.36</v>
    <v>130.59</v>
    <v>128.11000000000001</v>
    <v>128.9</v>
    <v>125.08</v>
    <v>125.46</v>
    <v>125.45</v>
    <v>124.84</v>
    <v>124.19</v>
    <v>125.92</v>
    <v>121.76</v>
    <v>107.42</v>
    <v>109.3</v>
    <v>110.83</v>
    <v>112.68</v>
    <v>112.21</v>
    <v>116.35</v>
    <v>109.56</v>
    <v>108.03</v>
    <v>105.46</v>
    <v>103.99</v>
  </a>
  <a r="1">
    <v>145.71</v>
  </a>
  <a r="1" c="27">
    <v>77.05</v>
    <v>77.61</v>
    <v>76.5</v>
    <v>77.52</v>
    <v>79</v>
    <v>75.02</v>
    <v>74.28</v>
    <v>72.23</v>
    <v>74.87</v>
    <v>71.62</v>
    <v>73.44</v>
    <v>80.25</v>
    <v>80.23</v>
    <v>80.03</v>
    <v>81.319999999999993</v>
    <v>79.08</v>
    <v>79.790000000000006</v>
    <v>79.790000000000006</v>
    <v>77.040000000000006</v>
    <v>69.87</v>
    <v>69</v>
    <v>83.26</v>
    <v>85.29</v>
    <v>84.93</v>
    <v>77.8</v>
    <v>75.06</v>
    <v>73.819999999999993</v>
  </a>
  <a r="1">
    <v>107</v>
  </a>
  <a r="1" c="27">
    <v>632.22</v>
    <v>631.19000000000005</v>
    <v>616.15</v>
    <v>635.4</v>
    <v>640.85</v>
    <v>629.51</v>
    <v>708.45</v>
    <v>689.93</v>
    <v>725.91</v>
    <v>752.88</v>
    <v>714.1</v>
    <v>704.2</v>
    <v>700.34</v>
    <v>688.48</v>
    <v>669.99</v>
    <v>713.35</v>
    <v>715.37</v>
    <v>693.85</v>
    <v>670.46</v>
    <v>644.61</v>
    <v>629.35</v>
    <v>635.66</v>
    <v>656.73</v>
    <v>608.41</v>
    <v>573.82000000000005</v>
    <v>577.26</v>
    <v>558.32000000000005</v>
  </a>
  <a r="1" c="27">
    <v>83.39</v>
    <v>86.42</v>
    <v>78.459999999999994</v>
    <v>85.36</v>
    <v>86.09</v>
    <v>80.87</v>
    <v>85.57</v>
    <v>84.78</v>
    <v>85.35</v>
    <v>87.11</v>
    <v>85.12</v>
    <v>85.35</v>
    <v>88.33</v>
    <v>85.08</v>
    <v>83.97</v>
    <v>88.88</v>
    <v>92.99</v>
    <v>97.62</v>
    <v>91.95</v>
    <v>99.45</v>
    <v>93.79</v>
    <v>97.49</v>
    <v>98.02</v>
    <v>98.99</v>
    <v>99.15</v>
    <v>92.55</v>
    <v>86.81</v>
  </a>
  <a r="1" c="27">
    <v>441.12</v>
    <v>452.35</v>
    <v>429.59</v>
    <v>446.13</v>
    <v>546.51</v>
    <v>534.28</v>
    <v>560</v>
    <v>549.51</v>
    <v>561.61</v>
    <v>573.48</v>
    <v>575.34</v>
    <v>542.32000000000005</v>
    <v>572.47</v>
    <v>577.80999999999995</v>
    <v>561.98</v>
    <v>586.24</v>
    <v>535</v>
    <v>523.99</v>
    <v>504.22</v>
    <v>488.15</v>
    <v>485.84</v>
    <v>504.05</v>
    <v>503.51</v>
    <v>490.16</v>
    <v>472.16</v>
    <v>477.97</v>
    <v>452.66</v>
  </a>
  <a r="1" c="27">
    <v>111.36</v>
    <v>112.32</v>
    <v>110.95</v>
    <v>107.71</v>
    <v>107.18</v>
    <v>107.19</v>
    <v>114.09</v>
    <v>114.34</v>
    <v>110.98</v>
    <v>110.31</v>
    <v>109.28</v>
    <v>110.05</v>
    <v>110.36</v>
    <v>109.9</v>
    <v>110.24</v>
    <v>109.24</v>
    <v>109.51</v>
    <v>107.09</v>
    <v>110.95</v>
    <v>117.15</v>
    <v>114.91</v>
    <v>114.03</v>
    <v>112.93</v>
    <v>111.29</v>
    <v>108.71</v>
    <v>106.22</v>
    <v>106.41</v>
  </a>
  <a r="1">
    <v>114.5</v>
  </a>
  <a r="1">
    <v>71.83</v>
  </a>
  <a r="1" c="27">
    <v>82.7</v>
    <v>86.85</v>
    <v>83.8</v>
    <v>87.57</v>
    <v>91.28</v>
    <v>93.48</v>
    <v>105.98</v>
    <v>104.15</v>
    <v>102.06</v>
    <v>104.46</v>
    <v>102.52</v>
    <v>95.41</v>
    <v>102.69</v>
    <v>100.11</v>
    <v>101.42</v>
    <v>106.87</v>
    <v>106.21</v>
    <v>101.99</v>
    <v>100.07</v>
    <v>108.39</v>
    <v>101.1</v>
    <v>101.32</v>
    <v>101.27</v>
    <v>95.94</v>
    <v>92.54</v>
    <v>90.78</v>
    <v>90.3</v>
  </a>
  <a r="1" c="27">
    <v>79.28</v>
    <v>80.260000000000005</v>
    <v>80.930000000000007</v>
    <v>81.16</v>
    <v>80.39</v>
    <v>81.17</v>
    <v>80.91</v>
    <v>80.58</v>
    <v>79.67</v>
    <v>82.11</v>
    <v>77.180000000000007</v>
    <v>75.150000000000006</v>
    <v>72.67</v>
    <v>74.42</v>
    <v>74.680000000000007</v>
    <v>74.260000000000005</v>
    <v>75.61</v>
    <v>75.010000000000005</v>
    <v>76.06</v>
    <v>75.900000000000006</v>
    <v>81.59</v>
    <v>81.55</v>
    <v>83.36</v>
    <v>82.52</v>
    <v>81.91</v>
    <v>76.77</v>
    <v>78.09</v>
  </a>
  <a r="1">
    <v>108.07</v>
  </a>
  <a r="1" c="27">
    <v>137.63</v>
    <v>125.89</v>
    <v>118.22</v>
    <v>121.38</v>
    <v>125</v>
    <v>124.31</v>
    <v>132.37</v>
    <v>130.6</v>
    <v>130.02000000000001</v>
    <v>131.85</v>
    <v>138.13</v>
    <v>148.05000000000001</v>
    <v>146.34</v>
    <v>148.52000000000001</v>
    <v>146.61000000000001</v>
    <v>145.82</v>
    <v>143.88</v>
    <v>136.31</v>
    <v>134.54</v>
    <v>133.03</v>
    <v>125.07</v>
    <v>119.72</v>
    <v>104.6</v>
    <v>108.7</v>
    <v>104.44</v>
    <v>112</v>
    <v>108.42</v>
  </a>
  <a r="1" c="27">
    <v>463.99</v>
    <v>462.88</v>
    <v>446.35</v>
    <v>458.5</v>
    <v>472.76</v>
    <v>461.63</v>
    <v>467.79</v>
    <v>476.23</v>
    <v>487.24</v>
    <v>464.49</v>
    <v>475.11</v>
    <v>484.8</v>
    <v>470.57</v>
    <v>468.93</v>
    <v>466.8</v>
    <v>488.08</v>
    <v>514.4</v>
    <v>514.42999999999995</v>
    <v>528</v>
    <v>583.11</v>
    <v>602.91999999999996</v>
    <v>662.49</v>
    <v>629.71</v>
    <v>589.77</v>
    <v>577.5</v>
    <v>559.73</v>
    <v>566.64</v>
  </a>
  <a r="1">
    <v>433.07</v>
  </a>
  <a r="1" c="27">
    <v>419.08</v>
    <v>429.54</v>
    <v>415.14</v>
    <v>426.16</v>
    <v>447.04</v>
    <v>459.68</v>
    <v>476.61</v>
    <v>472.65</v>
    <v>491</v>
    <v>508.29</v>
    <v>486.7</v>
    <v>484.77</v>
    <v>472.98</v>
    <v>477.13</v>
    <v>470.39</v>
    <v>472.07</v>
    <v>469.29</v>
    <v>470.88</v>
    <v>488.27</v>
    <v>501.69</v>
    <v>540.29</v>
    <v>532.29999999999995</v>
    <v>529.70000000000005</v>
    <v>532.80999999999995</v>
    <v>532.97</v>
    <v>493.88</v>
    <v>471.85</v>
  </a>
  <a r="1" c="27">
    <v>280.61</v>
    <v>276.94</v>
    <v>277.88</v>
    <v>285.94</v>
    <v>279.49</v>
    <v>253.96</v>
    <v>252.72</v>
    <v>266.89</v>
    <v>265.64</v>
    <v>268.77999999999997</v>
    <v>258.39</v>
    <v>264.18</v>
    <v>252.03</v>
    <v>253.89</v>
    <v>251.66</v>
    <v>251.81</v>
    <v>270.87</v>
    <v>266.66000000000003</v>
    <v>271.52</v>
    <v>277.2</v>
    <v>282.63</v>
    <v>282.67</v>
    <v>289.12</v>
    <v>269.67</v>
    <v>263.8</v>
    <v>263</v>
    <v>264.2</v>
  </a>
  <a r="1">
    <v>225.06</v>
  </a>
  <a r="1">
    <v>983.86</v>
  </a>
  <a r="1">
    <v>523.4</v>
  </a>
  <a r="1" c="27">
    <v>804.36</v>
    <v>818.01</v>
    <v>816.07</v>
    <v>827.92</v>
    <v>981.66</v>
    <v>965.58</v>
    <v>955.26</v>
    <v>909.6</v>
    <v>894.08</v>
    <v>976.94</v>
    <v>1001.48</v>
    <v>967.95</v>
    <v>940.74</v>
    <v>963.83</v>
    <v>1003.64</v>
    <v>1010.41</v>
    <v>1119.98</v>
    <v>1121.44</v>
    <v>1142.0999999999999</v>
    <v>1230.26</v>
    <v>1337.95</v>
    <v>1462.23</v>
    <v>1429.37</v>
    <v>1279.06</v>
    <v>1365.34</v>
    <v>1356.75</v>
    <v>1366.77</v>
  </a>
  <a r="1" c="27">
    <v>44.04</v>
    <v>44.74</v>
    <v>41.21</v>
    <v>42.59</v>
    <v>43.98</v>
    <v>42.96</v>
    <v>44.93</v>
    <v>44.8</v>
    <v>42.96</v>
    <v>43.06</v>
    <v>43.3</v>
    <v>44.49</v>
    <v>45.03</v>
    <v>45.57</v>
    <v>46.64</v>
    <v>47.67</v>
    <v>47.19</v>
    <v>47.71</v>
    <v>47.41</v>
    <v>52.23</v>
    <v>62.8</v>
    <v>58.92</v>
    <v>57.57</v>
    <v>51.8</v>
    <v>50.56</v>
    <v>52.23</v>
    <v>54.24</v>
  </a>
  <a r="1">
    <v>87.98</v>
  </a>
  <a r="1" c="27">
    <v>79.59</v>
    <v>78</v>
    <v>77.959999999999994</v>
    <v>79.12</v>
    <v>78</v>
    <v>77.05</v>
    <v>78.760000000000005</v>
    <v>78.05</v>
    <v>80.930000000000007</v>
    <v>80.39</v>
    <v>78.069999999999993</v>
    <v>78.34</v>
    <v>78.36</v>
    <v>79.73</v>
    <v>77.69</v>
    <v>81.48</v>
    <v>84.52</v>
    <v>86.66</v>
    <v>90.29</v>
    <v>94.41</v>
    <v>96.67</v>
    <v>95.09</v>
    <v>99.14</v>
    <v>93.56</v>
    <v>88.84</v>
    <v>85.12</v>
    <v>84.29</v>
  </a>
  <a r="1">
    <v>307.44</v>
  </a>
  <a r="1">
    <v>963</v>
  </a>
  <a r="1">
    <v>194.4</v>
  </a>
  <a r="1">
    <v>118.17</v>
  </a>
  <a r="1" c="27">
    <v>71.84</v>
    <v>72.34</v>
    <v>74.09</v>
    <v>74.78</v>
    <v>74.75</v>
    <v>73.55</v>
    <v>73.23</v>
    <v>73.94</v>
    <v>74.040000000000006</v>
    <v>75.44</v>
    <v>71.09</v>
    <v>69.84</v>
    <v>69.17</v>
    <v>69.959999999999994</v>
    <v>70.42</v>
    <v>69.989999999999995</v>
    <v>71.680000000000007</v>
    <v>70.7</v>
    <v>71.489999999999995</v>
    <v>72.84</v>
    <v>76.739999999999995</v>
    <v>75.86</v>
    <v>78.069999999999993</v>
    <v>77.16</v>
    <v>77.83</v>
    <v>74.42</v>
    <v>76.209999999999994</v>
  </a>
  <a r="1">
    <v>16.8</v>
  </a>
  <a r="1" c="27">
    <v>56.52</v>
    <v>55.83</v>
    <v>54.24</v>
    <v>55.2</v>
    <v>56.28</v>
    <v>54.11</v>
    <v>54.27</v>
    <v>55.42</v>
    <v>52.92</v>
    <v>54.78</v>
    <v>54.08</v>
    <v>51.97</v>
    <v>51.4</v>
    <v>51.39</v>
    <v>50.83</v>
    <v>51.51</v>
    <v>51.01</v>
    <v>54.69</v>
    <v>50.88</v>
    <v>55.61</v>
    <v>55.03</v>
    <v>52.96</v>
    <v>51.84</v>
    <v>50.16</v>
    <v>47.24</v>
    <v>45.77</v>
    <v>44.87</v>
  </a>
  <a r="1">
    <v>181.52</v>
  </a>
  <a r="1">
    <v>143.06</v>
  </a>
  <a r="1">
    <v>92.36</v>
  </a>
  <a r="1">
    <v>158.38999999999999</v>
  </a>
  <a r="1">
    <v>157.41999999999999</v>
  </a>
  <a r="1" c="27">
    <v>96.05</v>
    <v>96.21</v>
    <v>92.31</v>
    <v>103.24</v>
    <v>103.73</v>
    <v>98.85</v>
    <v>100.31</v>
    <v>101.01</v>
    <v>94.81</v>
    <v>100.16</v>
    <v>83</v>
    <v>87.63</v>
    <v>83.33</v>
    <v>85.21</v>
    <v>86.11</v>
    <v>84.38</v>
    <v>95.16</v>
    <v>89.79</v>
    <v>92.27</v>
    <v>97</v>
    <v>90.09</v>
    <v>97.92</v>
    <v>96.19</v>
    <v>90.77</v>
    <v>82.21</v>
    <v>89.05</v>
    <v>84.04</v>
  </a>
  <a r="1" c="27">
    <v>318</v>
    <v>309.11500000000001</v>
    <v>314.52</v>
    <v>318.58999999999997</v>
    <v>320.91000000000003</v>
    <v>313.01</v>
    <v>319.82</v>
    <v>332.7</v>
    <v>331.17</v>
    <v>327.19</v>
    <v>304.49</v>
    <v>295.7</v>
    <v>289.62</v>
    <v>288.63</v>
    <v>282.92</v>
    <v>289.04000000000002</v>
    <v>287.7</v>
    <v>271.60000000000002</v>
    <v>255.81</v>
    <v>241.93</v>
    <v>242.74</v>
    <v>241.89</v>
    <v>246.61</v>
    <v>237.01</v>
    <v>219.84</v>
    <v>227.1</v>
    <v>208.22</v>
  </a>
  <a r="1" c="27">
    <v>48.7</v>
    <v>47.88</v>
    <v>45.78</v>
    <v>42.46</v>
    <v>42.87</v>
    <v>41.15</v>
    <v>40.85</v>
    <v>40.450000000000003</v>
    <v>39.909999999999997</v>
    <v>40.4</v>
    <v>41.5</v>
    <v>42.01</v>
    <v>42.35</v>
    <v>41.56</v>
    <v>40.44</v>
    <v>41.98</v>
    <v>43.74</v>
    <v>43.89</v>
    <v>43.36</v>
    <v>47.73</v>
    <v>46.41</v>
    <v>46.22</v>
    <v>46.04</v>
    <v>46.46</v>
    <v>45.46</v>
    <v>43.76</v>
    <v>44.95</v>
  </a>
  <a r="1">
    <v>206.58</v>
  </a>
  <a r="1" c="27">
    <v>50.16</v>
    <v>49.27</v>
    <v>45.74</v>
    <v>52.53</v>
    <v>50.71</v>
    <v>50.08</v>
    <v>47.83</v>
    <v>46.92</v>
    <v>46.7</v>
    <v>50.24</v>
    <v>54.74</v>
    <v>54.96</v>
    <v>55.21</v>
    <v>54.93</v>
    <v>56.7</v>
    <v>62.16</v>
    <v>60.33</v>
    <v>61.98</v>
    <v>59.89</v>
    <v>65.2</v>
    <v>72.209999999999994</v>
    <v>69.11</v>
    <v>66.48</v>
    <v>56.87</v>
    <v>58.55</v>
    <v>59.26</v>
    <v>58.35</v>
  </a>
  <a r="1">
    <v>87.14</v>
  </a>
  <a r="1" c="27">
    <v>79.349999999999994</v>
    <v>83.56</v>
    <v>82.98</v>
    <v>84.49</v>
    <v>87.41</v>
    <v>89.08</v>
    <v>85.48</v>
    <v>82.06</v>
    <v>79.459999999999994</v>
    <v>84.2</v>
    <v>85.97</v>
    <v>88.32</v>
    <v>87.86</v>
    <v>89.57</v>
    <v>90.67</v>
    <v>85.23</v>
    <v>94.2</v>
    <v>93.3</v>
    <v>103.25</v>
    <v>122.16</v>
    <v>133.46</v>
    <v>139.51</v>
    <v>150.38</v>
    <v>123.29</v>
    <v>129.12</v>
    <v>124.58</v>
    <v>136.81</v>
  </a>
  <a r="1">
    <v>69.17</v>
  </a>
  <a r="1">
    <v>69.180000000000007</v>
  </a>
  <a r="1">
    <v>67.7</v>
  </a>
  <a r="1">
    <v>93.42</v>
  </a>
  <a r="1" c="27">
    <v>81.94</v>
    <v>82.15</v>
    <v>78.45</v>
    <v>79.91</v>
    <v>77.349999999999994</v>
    <v>74.28</v>
    <v>75.180000000000007</v>
    <v>74.709999999999994</v>
    <v>76.63</v>
    <v>76.2</v>
    <v>73.099999999999994</v>
    <v>74.34</v>
    <v>74.489999999999995</v>
    <v>74.23</v>
    <v>72.62</v>
    <v>74.28</v>
    <v>78.8</v>
    <v>76.209999999999994</v>
    <v>83.85</v>
    <v>86.53</v>
    <v>90.56</v>
    <v>90.13</v>
    <v>91.16</v>
    <v>85.23</v>
    <v>85.49</v>
    <v>81.33</v>
    <v>81.8</v>
  </a>
  <a r="1">
    <v>0.39</v>
  </a>
  <a r="1">
    <v>167.52</v>
  </a>
  <a r="1">
    <v>1057.07</v>
  </a>
  <a r="1">
    <v>41.6</v>
  </a>
  <a r="1" c="27">
    <v>17.406099999999999</v>
    <v>16.7713</v>
    <v>15.690300000000001</v>
    <v>16.1465</v>
    <v>16.354800000000001</v>
    <v>15.8886</v>
    <v>17.6937</v>
    <v>17.445799999999998</v>
    <v>17.277200000000001</v>
    <v>17.485399999999998</v>
    <v>17.118500000000001</v>
    <v>18.209399999999999</v>
    <v>18.3582</v>
    <v>18.288799999999998</v>
    <v>18.16</v>
    <v>18.440000000000001</v>
    <v>18.59</v>
    <v>18.7</v>
    <v>18.53</v>
    <v>19.350000000000001</v>
    <v>19.89</v>
    <v>20.399999999999999</v>
    <v>19.59</v>
    <v>19.23</v>
    <v>18.510000000000002</v>
    <v>18.600000000000001</v>
    <v>18.84</v>
  </a>
  <a r="1" c="27">
    <v>499.31</v>
    <v>499.95</v>
    <v>509</v>
    <v>504.52</v>
    <v>478.8</v>
    <v>446.15</v>
    <v>447.05</v>
    <v>449.5</v>
    <v>443.75</v>
    <v>446.22</v>
    <v>447.56</v>
    <v>445.86</v>
    <v>444.99</v>
    <v>450.83</v>
    <v>434.54</v>
    <v>434.81</v>
    <v>416.14</v>
    <v>407.61</v>
    <v>371.23</v>
    <v>362.42</v>
    <v>321.41000000000003</v>
    <v>335.79</v>
    <v>349.73</v>
    <v>367.5</v>
    <v>351</v>
    <v>353.68</v>
    <v>344.42</v>
  </a>
  <a r="1">
    <v>261.10000000000002</v>
  </a>
  <a r="1">
    <v>273.76</v>
  </a>
  <a r="1">
    <v>282.81</v>
  </a>
  <a r="1">
    <v>1053.01</v>
  </a>
  <a r="1" c="27">
    <v>264.20999999999998</v>
    <v>267.57</v>
    <v>260.2</v>
    <v>260.85000000000002</v>
    <v>271.32</v>
    <v>260.58</v>
    <v>291.16000000000003</v>
    <v>285.72000000000003</v>
    <v>295.83999999999997</v>
    <v>304.79000000000002</v>
    <v>292.58999999999997</v>
    <v>298.72000000000003</v>
    <v>310.16000000000003</v>
    <v>315.58</v>
    <v>313.41000000000003</v>
    <v>328.18</v>
    <v>325.88</v>
    <v>319.7</v>
    <v>315.3</v>
    <v>333.24</v>
    <v>353.89</v>
    <v>347.93</v>
    <v>341.73</v>
    <v>323.8</v>
    <v>313.81</v>
    <v>319.76</v>
    <v>317.54000000000002</v>
  </a>
  <a r="1">
    <v>201.99</v>
  </a>
  <a r="1" c="27">
    <v>187.2</v>
    <v>182.47200000000001</v>
    <v>177.74199999999999</v>
    <v>180.72</v>
    <v>186.03399999999999</v>
    <v>183.85599999999999</v>
    <v>172.374</v>
    <v>170.08600000000001</v>
    <v>162.68600000000001</v>
    <v>162.482</v>
    <v>170.87200000000001</v>
    <v>173.012</v>
    <v>155.31</v>
    <v>153.88999999999999</v>
    <v>147.44999999999999</v>
    <v>141.80000000000001</v>
    <v>127.31</v>
    <v>133.11000000000001</v>
    <v>117.01</v>
    <v>100.74</v>
    <v>107.08</v>
    <v>104.27</v>
    <v>108.01</v>
    <v>124.34</v>
    <v>113.62</v>
    <v>110.38</v>
    <v>99.41</v>
  </a>
  <a r="1" c="27">
    <v>143.12</v>
    <v>138.72</v>
    <v>126.41</v>
    <v>126.96</v>
    <v>127.74</v>
    <v>127.31</v>
    <v>104.2</v>
    <v>101.83</v>
    <v>104.21</v>
    <v>113.24</v>
    <v>113.63</v>
    <v>116</v>
    <v>114.54</v>
    <v>113.74</v>
    <v>114.15</v>
    <v>122.41</v>
    <v>124.56</v>
    <v>124.39</v>
    <v>119.84</v>
    <v>135.74</v>
    <v>134.19</v>
    <v>132.71</v>
    <v>122.07</v>
    <v>109.75</v>
    <v>106.46</v>
    <v>99.96</v>
    <v>104.56</v>
  </a>
  <a r="1">
    <v>241.11</v>
  </a>
  <a r="1" c="27">
    <v>73.67</v>
    <v>76.95</v>
    <v>74.67</v>
    <v>75.2</v>
    <v>79.540000000000006</v>
    <v>75.94</v>
    <v>65.45</v>
    <v>60.48</v>
    <v>61.95</v>
    <v>66.8</v>
    <v>61.11</v>
    <v>64.75</v>
    <v>65.33</v>
    <v>66.27</v>
    <v>65.150000000000006</v>
    <v>69.55</v>
    <v>65.95</v>
    <v>66.83</v>
    <v>60.43</v>
    <v>55.97</v>
    <v>49.8</v>
    <v>53.22</v>
    <v>63.7</v>
    <v>66.33</v>
    <v>59.79</v>
    <v>59.37</v>
    <v>55.98</v>
  </a>
  <a r="1">
    <v>90.11</v>
  </a>
  <a r="1">
    <v>93.43</v>
  </a>
  <a r="1">
    <v>153.31</v>
  </a>
  <a r="1">
    <v>50.85</v>
  </a>
  <a r="1">
    <v>139.66</v>
  </a>
  <a r="1">
    <v>46.97</v>
  </a>
  <a r="1" c="27">
    <v>16.420000000000002</v>
    <v>15.81</v>
    <v>16.649999999999999</v>
    <v>15.29</v>
    <v>15</v>
    <v>14.37</v>
    <v>16.88</v>
    <v>16.66</v>
    <v>16.64</v>
    <v>17.350000000000001</v>
    <v>16.93</v>
    <v>17.329999999999998</v>
    <v>17.02</v>
    <v>17.190000000000001</v>
    <v>17.32</v>
    <v>16.829999999999998</v>
    <v>17.2</v>
    <v>17.8</v>
    <v>17.399999999999999</v>
    <v>18.13</v>
    <v>18.7</v>
    <v>18.72</v>
    <v>19.12</v>
    <v>18.39</v>
    <v>17.489999999999998</v>
    <v>17.399999999999999</v>
    <v>17.52</v>
  </a>
  <a r="1">
    <v>84.92</v>
  </a>
  <a r="1" c="27">
    <v>141.93</v>
    <v>151.44999999999999</v>
    <v>155.94</v>
    <v>170.95</v>
    <v>179.05</v>
    <v>189.92</v>
    <v>199.26</v>
    <v>191.71</v>
    <v>178.26</v>
    <v>204.21</v>
    <v>201.71</v>
    <v>218.44</v>
    <v>230.34</v>
    <v>241.68</v>
    <v>246.06</v>
    <v>230.56</v>
    <v>243.42</v>
    <v>229.14</v>
    <v>251.81</v>
    <v>271.32</v>
    <v>303.92</v>
    <v>334.95</v>
    <v>348.7</v>
    <v>294.17</v>
    <v>337.38</v>
    <v>383.89</v>
    <v>401.61</v>
  </a>
  <a r="1" c="27">
    <v>65.34</v>
    <v>67.17</v>
    <v>69.62</v>
    <v>70.22</v>
    <v>69.69</v>
    <v>66.83</v>
    <v>69.73</v>
    <v>71.31</v>
    <v>72.040000000000006</v>
    <v>74.989999999999995</v>
    <v>73.739999999999995</v>
    <v>73.97</v>
    <v>76.260000000000005</v>
    <v>77.31</v>
    <v>76.16</v>
    <v>77.34</v>
    <v>78.17</v>
    <v>82</v>
    <v>80.760000000000005</v>
    <v>82.54</v>
    <v>81.48</v>
    <v>83.76</v>
    <v>85.3</v>
    <v>75.61</v>
    <v>77.11</v>
    <v>73.69</v>
    <v>71.83</v>
  </a>
  <a r="1" c="27">
    <v>324.87</v>
    <v>324.98</v>
    <v>331.75</v>
    <v>300.89999999999998</v>
    <v>298.33999999999997</v>
    <v>253.05</v>
    <v>245.74</v>
    <v>234</v>
    <v>234.29</v>
    <v>239.16</v>
    <v>248.12</v>
    <v>262.67</v>
    <v>256.91000000000003</v>
    <v>263.14</v>
    <v>256.63</v>
    <v>269.31</v>
    <v>268.22000000000003</v>
    <v>259.26</v>
    <v>275.61</v>
    <v>276.57</v>
    <v>273.93</v>
    <v>278.39</v>
    <v>271.36</v>
    <v>286.22000000000003</v>
    <v>289.31</v>
    <v>284.27999999999997</v>
    <v>281.98</v>
  </a>
  <a r="1" c="27">
    <v>760.55</v>
    <v>738.06</v>
    <v>763.55</v>
    <v>786</v>
    <v>801.67</v>
    <v>811.34</v>
    <v>851.99</v>
    <v>842.09</v>
    <v>866.03</v>
    <v>881.12</v>
    <v>808.62</v>
    <v>813.8</v>
    <v>820.25</v>
    <v>828.26</v>
    <v>823.44</v>
    <v>816.06</v>
    <v>840.46</v>
    <v>820.23</v>
    <v>831.21</v>
    <v>948.68</v>
    <v>934.75</v>
    <v>947.48</v>
    <v>987.37</v>
    <v>919.26</v>
    <v>940.91</v>
    <v>885.84</v>
    <v>860.16</v>
  </a>
  <a r="1">
    <v>159.16</v>
  </a>
  <a r="1" c="27">
    <v>131.15</v>
    <v>137.61000000000001</v>
    <v>120.04</v>
    <v>124.45</v>
    <v>120.53</v>
    <v>119.87</v>
    <v>119.76</v>
    <v>118.37</v>
    <v>120.32</v>
    <v>127.19</v>
    <v>126.99</v>
    <v>126.43</v>
    <v>119.74</v>
    <v>119.2</v>
    <v>119.07</v>
    <v>132.19999999999999</v>
    <v>130.22999999999999</v>
    <v>125.16</v>
    <v>125.09</v>
    <v>135.09</v>
    <v>142.56</v>
    <v>140.02000000000001</v>
    <v>137.19999999999999</v>
    <v>127.84</v>
    <v>119.19</v>
    <v>114.55</v>
    <v>114.63</v>
  </a>
  <a r="1">
    <v>380.07</v>
  </a>
  <a r="1" c="27">
    <v>163.05000000000001</v>
    <v>152.4</v>
    <v>140.88</v>
    <v>141.87</v>
    <v>149.34</v>
    <v>148.71</v>
    <v>153.88</v>
    <v>146.4</v>
    <v>147.43</v>
    <v>156.85</v>
    <v>165.46</v>
    <v>173.78</v>
    <v>165.68</v>
    <v>168.73</v>
    <v>166.33</v>
    <v>175.91</v>
    <v>169.69</v>
    <v>155.88999999999999</v>
    <v>149.66999999999999</v>
    <v>130.46</v>
    <v>133.88</v>
    <v>123.16</v>
    <v>112.01</v>
    <v>110.01</v>
    <v>101.76</v>
    <v>105.87</v>
    <v>106.28</v>
  </a>
  <a r="1" c="27">
    <v>83.72</v>
    <v>86.78</v>
    <v>82.87</v>
    <v>86.41</v>
    <v>87.22</v>
    <v>96.42</v>
    <v>95.95</v>
    <v>95.98</v>
    <v>94.66</v>
    <v>95.79</v>
    <v>94.87</v>
    <v>100.92</v>
    <v>101.92</v>
    <v>100.54</v>
    <v>101.02</v>
    <v>108.06</v>
    <v>106.91</v>
    <v>107.98</v>
    <v>106.22</v>
    <v>117.34</v>
    <v>119.24</v>
    <v>116.73</v>
    <v>115.96</v>
    <v>102.36</v>
    <v>97.21</v>
    <v>95.86</v>
    <v>94.8</v>
  </a>
  <a r="1" c="27">
    <v>24.72</v>
    <v>24.64</v>
    <v>23.73</v>
    <v>24.03</v>
    <v>23.83</v>
    <v>21.59</v>
    <v>22.03</v>
    <v>22.64</v>
    <v>22.69</v>
    <v>23.21</v>
    <v>24.34</v>
    <v>24.05</v>
    <v>23.67</v>
    <v>24.26</v>
    <v>23.39</v>
    <v>23.23</v>
    <v>24.22</v>
    <v>24.6</v>
    <v>24.61</v>
    <v>24.93</v>
    <v>23.78</v>
    <v>24.99</v>
    <v>25.6</v>
    <v>24.42</v>
    <v>22.64</v>
    <v>22.14</v>
    <v>23.07</v>
  </a>
  <a r="1" c="27">
    <v>343.58</v>
    <v>349.4</v>
    <v>333.75</v>
    <v>347.66</v>
    <v>356.48</v>
    <v>368.36</v>
    <v>373.49</v>
    <v>377.13</v>
    <v>378.73</v>
    <v>395.86</v>
    <v>404.29</v>
    <v>405.18</v>
    <v>395.87</v>
    <v>399.79</v>
    <v>398.55</v>
    <v>410.53</v>
    <v>415.52</v>
    <v>417.84</v>
    <v>421.65</v>
    <v>415.02</v>
    <v>394.37</v>
    <v>398.79</v>
    <v>407.45</v>
    <v>369.83</v>
    <v>360.93</v>
    <v>355.11</v>
    <v>351.5</v>
  </a>
  <a r="1">
    <v>83.9</v>
  </a>
  <a r="1" c="27">
    <v>184.9</v>
    <v>195.58</v>
    <v>188.03</v>
    <v>184.51</v>
    <v>189.96</v>
    <v>190.47</v>
    <v>196.98</v>
    <v>191.41</v>
    <v>186.49</v>
    <v>191.1</v>
    <v>186.82</v>
    <v>189.73</v>
    <v>184.68</v>
    <v>185.86</v>
    <v>183.47</v>
    <v>198.34</v>
    <v>194.7</v>
    <v>191.23</v>
    <v>188.28</v>
    <v>192.99</v>
    <v>176.3</v>
    <v>173.5</v>
    <v>175.1</v>
    <v>177.89</v>
    <v>173.86</v>
    <v>165.87</v>
    <v>155.53</v>
  </a>
  <a r="1" c="27">
    <v>88.59</v>
    <v>91.44</v>
    <v>90.2</v>
    <v>91.29</v>
    <v>92.78</v>
    <v>91.94</v>
    <v>93.72</v>
    <v>92</v>
    <v>92.5</v>
    <v>94.72</v>
    <v>90.66</v>
    <v>88.49</v>
    <v>86.94</v>
    <v>88.61</v>
    <v>89.71</v>
    <v>88.82</v>
    <v>92.55</v>
    <v>85.94</v>
    <v>87.01</v>
    <v>87.36</v>
    <v>94.78</v>
    <v>93.55</v>
    <v>96.27</v>
    <v>92.63</v>
    <v>95.11</v>
    <v>91.72</v>
    <v>95.88</v>
  </a>
  <a r="1" c="27">
    <v>139.31</v>
    <v>140.01</v>
    <v>140.44999999999999</v>
    <v>141.94999999999999</v>
    <v>141.84</v>
    <v>135.54</v>
    <v>136.75</v>
    <v>137.1</v>
    <v>135.77000000000001</v>
    <v>137.03</v>
    <v>131.22999999999999</v>
    <v>129.80000000000001</v>
    <v>127.64</v>
    <v>129.05000000000001</v>
    <v>130.36000000000001</v>
    <v>129.88999999999999</v>
    <v>135.51</v>
    <v>134.33000000000001</v>
    <v>134.38</v>
    <v>134.82</v>
    <v>144.94</v>
    <v>145</v>
    <v>148.24</v>
    <v>150.13</v>
    <v>149.57</v>
    <v>141.57</v>
    <v>144.47</v>
  </a>
  <a r="1" c="27">
    <v>0.11</v>
    <v>0.105</v>
    <v>0.11</v>
    <v>0.11</v>
    <v>0.12</v>
    <v>0.13750000000000001</v>
    <v>0.13500000000000001</v>
    <v>0.13250000000000001</v>
    <v>0.12</v>
    <v>0.125</v>
    <v>0.13500000000000001</v>
    <v>0.125</v>
    <v>0.12</v>
    <v>0.12</v>
    <v>0.13</v>
    <v>0.15</v>
    <v>0.16500000000000001</v>
    <v>0.16</v>
    <v>0.16</v>
    <v>0.14499999999999999</v>
    <v>0.125</v>
    <v>0.13500000000000001</v>
    <v>0.13500000000000001</v>
    <v>0.13</v>
    <v>0.12</v>
    <v>0.105</v>
    <v>0.105</v>
  </a>
  <a r="1">
    <v>63.41</v>
  </a>
  <a r="1" c="27">
    <v>36.5</v>
    <v>36.799999999999997</v>
    <v>34.270000000000003</v>
    <v>36.56</v>
    <v>36.229999999999997</v>
    <v>30.51</v>
    <v>30.22</v>
    <v>28.68</v>
    <v>26.93</v>
    <v>28.85</v>
    <v>31.25</v>
    <v>32.18</v>
    <v>33.25</v>
    <v>33</v>
    <v>33.75</v>
    <v>35.22</v>
    <v>34.979999999999997</v>
    <v>39.46</v>
    <v>36.979999999999997</v>
    <v>49.8</v>
    <v>43.49</v>
    <v>46.56</v>
    <v>42.27</v>
    <v>40.229999999999997</v>
    <v>44.07</v>
    <v>44.11</v>
    <v>37.840000000000003</v>
  </a>
  <a r="1">
    <v>111.68</v>
  </a>
  <a r="1" c="27">
    <v>30.3</v>
    <v>31.36</v>
    <v>28.68</v>
    <v>30.04</v>
    <v>30.79</v>
    <v>31.96</v>
    <v>30.37</v>
    <v>30.55</v>
    <v>29.56</v>
    <v>29.69</v>
    <v>29.45</v>
    <v>30.99</v>
    <v>29.74</v>
    <v>30.61</v>
    <v>30.03</v>
    <v>33.4</v>
    <v>33.51</v>
    <v>34.034999999999997</v>
    <v>32.85</v>
    <v>34.58</v>
    <v>34.1</v>
    <v>34.1</v>
    <v>33.11</v>
    <v>31.47</v>
    <v>29.34</v>
    <v>28.26</v>
    <v>29.18</v>
  </a>
  <a r="1" c="27">
    <v>62.71</v>
    <v>64.03</v>
    <v>58.2</v>
    <v>61.28</v>
    <v>62.7</v>
    <v>59.52</v>
    <v>61.25</v>
    <v>60.25</v>
    <v>59.53</v>
    <v>62.08</v>
    <v>61.53</v>
    <v>65.12</v>
    <v>63.56</v>
    <v>63.52</v>
    <v>64.34</v>
    <v>68.760000000000005</v>
    <v>68.67</v>
    <v>68.709999999999994</v>
    <v>69.319999999999993</v>
    <v>77.430000000000007</v>
    <v>80.08</v>
    <v>79.16</v>
    <v>75.510000000000005</v>
    <v>70.33</v>
    <v>69.25</v>
    <v>65.33</v>
    <v>71.2</v>
  </a>
  <a r="1" c="27">
    <v>152.81</v>
    <v>158.66</v>
    <v>148.75</v>
    <v>152.63999999999999</v>
    <v>168.5</v>
    <v>166.5</v>
    <v>164.84</v>
    <v>167.58</v>
    <v>168.09</v>
    <v>172.05</v>
    <v>167.48</v>
    <v>168.9</v>
    <v>161.96</v>
    <v>162.08000000000001</v>
    <v>161.82</v>
    <v>165.24</v>
    <v>167.8</v>
    <v>162.68</v>
    <v>153.16</v>
    <v>172.65</v>
    <v>171.82</v>
    <v>167.06</v>
    <v>165.32</v>
    <v>153.41</v>
    <v>150.96</v>
    <v>141.19999999999999</v>
    <v>143.04</v>
  </a>
  <a r="1">
    <v>120.57</v>
  </a>
  <a r="1">
    <v>209.24</v>
  </a>
  <a r="1" c="27">
    <v>140.44</v>
    <v>141.97999999999999</v>
    <v>150.08000000000001</v>
    <v>153.71</v>
    <v>151.55000000000001</v>
    <v>146.09</v>
    <v>142.94999999999999</v>
    <v>145.85</v>
    <v>146.33000000000001</v>
    <v>148.74</v>
    <v>145.02000000000001</v>
    <v>150.65</v>
    <v>148.16</v>
    <v>143.78</v>
    <v>142.22999999999999</v>
    <v>139.91</v>
    <v>146.32</v>
    <v>144.58000000000001</v>
    <v>153.63</v>
    <v>170.49</v>
    <v>165.94</v>
    <v>164.94</v>
    <v>169.74</v>
    <v>159.43</v>
    <v>159.88</v>
    <v>150.04</v>
    <v>153.04</v>
  </a>
  <a r="1" c="27">
    <v>42.57</v>
    <v>43.83</v>
    <v>42.86</v>
    <v>43.25</v>
    <v>43.63</v>
    <v>42.11</v>
    <v>43.55</v>
    <v>42.88</v>
    <v>42.78</v>
    <v>44.13</v>
    <v>42</v>
    <v>41.41</v>
    <v>40.97</v>
    <v>41.72</v>
    <v>42.16</v>
    <v>42.03</v>
    <v>43.93</v>
    <v>43.41</v>
    <v>44.29</v>
    <v>44.1</v>
    <v>46.36</v>
    <v>46.37</v>
    <v>47.3</v>
    <v>46.46</v>
    <v>47.39</v>
    <v>45.02</v>
    <v>45.97</v>
  </a>
  <a r="1">
    <v>46.89</v>
  </a>
  <a r="1">
    <v>145.85</v>
  </a>
  <a r="1">
    <v>202.14</v>
  </a>
  <a r="1">
    <v>79.34</v>
  </a>
  <a r="1" c="27">
    <v>330.34</v>
    <v>343.62</v>
    <v>332.94</v>
    <v>331.15</v>
    <v>350.77</v>
    <v>344.9</v>
    <v>346.34</v>
    <v>344.25</v>
    <v>340.34</v>
    <v>341.63</v>
    <v>337.31</v>
    <v>337.49</v>
    <v>339.36</v>
    <v>342.2</v>
    <v>343.4</v>
    <v>353.89</v>
    <v>367.38</v>
    <v>363.27</v>
    <v>351.09</v>
    <v>360.07</v>
    <v>347.64</v>
    <v>351.42</v>
    <v>357.05</v>
    <v>363.49</v>
    <v>351.52</v>
    <v>345.78</v>
    <v>346.76</v>
  </a>
  <a r="1" c="27">
    <v>297.49</v>
    <v>300.14999999999998</v>
    <v>288.37</v>
    <v>289.77999999999997</v>
    <v>280.5</v>
    <v>283.38</v>
    <v>284.25</v>
    <v>283.98</v>
    <v>286.29000000000002</v>
    <v>292.08999999999997</v>
    <v>294.19</v>
    <v>296.98</v>
    <v>291.41000000000003</v>
    <v>290.95999999999998</v>
    <v>287.82</v>
    <v>287.20999999999998</v>
    <v>290.63</v>
    <v>287.41000000000003</v>
    <v>291.24</v>
    <v>306.48</v>
    <v>314.94</v>
    <v>316.23</v>
    <v>314.74</v>
    <v>302.83999999999997</v>
    <v>289.37</v>
    <v>281.08999999999997</v>
    <v>283.25</v>
  </a>
  <a r="1" c="27">
    <v>552</v>
    <v>556.45000000000005</v>
    <v>549.28</v>
    <v>533.51</v>
    <v>517.66</v>
    <v>519.88</v>
    <v>517.79</v>
    <v>529.34</v>
    <v>515.58000000000004</v>
    <v>538.83000000000004</v>
    <v>601.5</v>
    <v>601.59</v>
    <v>597.88</v>
    <v>607.52</v>
    <v>620.04</v>
    <v>666.18</v>
    <v>663.48</v>
    <v>686.12</v>
    <v>647.36</v>
    <v>690.37</v>
    <v>683.4</v>
    <v>682.89</v>
    <v>684.79</v>
    <v>646.34</v>
    <v>535.72</v>
    <v>529.97</v>
    <v>510.34</v>
  </a>
  <a r="1" c="27">
    <v>64.010000000000005</v>
    <v>64.48</v>
    <v>62.61</v>
    <v>62.46</v>
    <v>57.48</v>
    <v>57.87</v>
    <v>59.58</v>
    <v>60.99</v>
    <v>59.61</v>
    <v>60.93</v>
    <v>62.81</v>
    <v>59.74</v>
    <v>58.26</v>
    <v>59.52</v>
    <v>60.85</v>
    <v>60.32</v>
    <v>61.55</v>
    <v>64.959999999999994</v>
    <v>67.260000000000005</v>
    <v>66.92</v>
    <v>72.28</v>
    <v>72.98</v>
    <v>74.72</v>
    <v>74.239999999999995</v>
    <v>73.34</v>
    <v>72.41</v>
    <v>73.58</v>
  </a>
  <a r="1" c="27">
    <v>4198.03</v>
    <v>4215.08</v>
    <v>4075.31</v>
    <v>4030.17</v>
    <v>3805.56</v>
    <v>3674.43</v>
    <v>3718.26</v>
    <v>3856.87</v>
    <v>3897.88</v>
    <v>3954.33</v>
    <v>3822.66</v>
    <v>3445.71</v>
    <v>3392.34</v>
    <v>3448.7</v>
    <v>3303.82</v>
    <v>3421.17</v>
    <v>3522.02</v>
    <v>3700</v>
    <v>3704.29</v>
    <v>3681.26</v>
    <v>3858.16</v>
    <v>3748.52</v>
    <v>3755.58</v>
    <v>3641.29</v>
    <v>3562.85</v>
    <v>3282.9</v>
    <v>3316.71</v>
  </a>
  <a r="1">
    <v>317.54000000000002</v>
  </a>
  <a r="1">
    <v>98.3</v>
  </a>
  <a r="1">
    <v>60.88</v>
  </a>
  <a r="1">
    <v>26.23</v>
  </a>
  <a r="1">
    <v>23.715</v>
  </a>
  <a r="1">
    <v>40.86</v>
  </a>
  <a r="1" c="27">
    <v>119.88</v>
    <v>118.72</v>
    <v>113.94</v>
    <v>119.07</v>
    <v>116.64</v>
    <v>117.78</v>
    <v>112.97</v>
    <v>109.44</v>
    <v>107.3</v>
    <v>111.56</v>
    <v>117.27</v>
    <v>115.66</v>
    <v>111.9</v>
    <v>110.51</v>
    <v>106.47</v>
    <v>105.39</v>
    <v>103.84</v>
    <v>97.42</v>
    <v>96.35</v>
    <v>103.34</v>
    <v>102.42</v>
    <v>102.48</v>
    <v>99.03</v>
    <v>101.06</v>
    <v>98.66</v>
    <v>101.11</v>
    <v>102.34</v>
  </a>
  <a r="1" c="27">
    <v>283.45999999999998</v>
    <v>286.14</v>
    <v>292.95999999999998</v>
    <v>291.31</v>
    <v>283.33</v>
    <v>262.61</v>
    <v>239.26</v>
    <v>222.85</v>
    <v>198.76</v>
    <v>201.95</v>
    <v>217.58</v>
    <v>189.97</v>
    <v>191.97</v>
    <v>197.99</v>
    <v>195.71</v>
    <v>198.52</v>
    <v>191.09</v>
    <v>177.16</v>
    <v>164.58</v>
    <v>142.82</v>
    <v>160.13999999999999</v>
    <v>148.08000000000001</v>
    <v>145.4</v>
    <v>152.96</v>
    <v>155.11000000000001</v>
    <v>149.68</v>
    <v>139.66</v>
  </a>
  <a r="1" c="27">
    <v>34.020000000000003</v>
    <v>34.43</v>
    <v>31.36</v>
    <v>31.35</v>
    <v>29.07</v>
    <v>26.19</v>
    <v>26.38</v>
    <v>26.67</v>
    <v>27.27</v>
    <v>27.04</v>
    <v>26.8</v>
    <v>27.66</v>
    <v>27.93</v>
    <v>27.72</v>
    <v>27.34</v>
    <v>29.02</v>
    <v>28.34</v>
    <v>28.57</v>
    <v>34.61</v>
    <v>31.4</v>
    <v>24.77</v>
    <v>25.77</v>
    <v>24.42</v>
    <v>24.76</v>
    <v>22.37</v>
    <v>23.29</v>
    <v>24.84</v>
  </a>
  <a r="1" c="27">
    <v>98.24</v>
    <v>100.78</v>
    <v>94.71</v>
    <v>101.92</v>
    <v>103.03</v>
    <v>100.56</v>
    <v>88.5</v>
    <v>89.91</v>
    <v>92.18</v>
    <v>97.52</v>
    <v>94.28</v>
    <v>91.59</v>
    <v>89.13</v>
    <v>90.77</v>
    <v>90.02</v>
    <v>92.85</v>
    <v>87.31</v>
    <v>86.6</v>
    <v>87.07</v>
    <v>89.91</v>
    <v>96.45</v>
    <v>98.75</v>
    <v>98.44</v>
    <v>94.11</v>
    <v>93.2</v>
    <v>87.87</v>
    <v>88.57</v>
  </a>
  <a r="1" c="27">
    <v>134.01</v>
    <v>127.65</v>
    <v>117.82</v>
    <v>117.6</v>
    <v>121.24</v>
    <v>118.33</v>
    <v>121.32</v>
    <v>119.92</v>
    <v>118.67</v>
    <v>122.31</v>
    <v>129.41999999999999</v>
    <v>136.6</v>
    <v>130.61000000000001</v>
    <v>130.41</v>
    <v>128.9</v>
    <v>134.65</v>
    <v>131.41999999999999</v>
    <v>121.25</v>
    <v>114.26</v>
    <v>103.2</v>
    <v>101.73</v>
    <v>101.18</v>
    <v>87.68</v>
    <v>91.33</v>
    <v>85.93</v>
    <v>90</v>
    <v>88.5</v>
  </a>
  <a r="1" c="27">
    <v>19.510000000000002</v>
    <v>18.989999999999998</v>
    <v>17.100000000000001</v>
    <v>18.190000000000001</v>
    <v>21.15</v>
    <v>22.45</v>
    <v>22.67</v>
    <v>23.03</v>
    <v>23.17</v>
    <v>24</v>
    <v>26.08</v>
    <v>29.98</v>
    <v>27.77</v>
    <v>28.8</v>
    <v>28.51</v>
    <v>28.885000000000002</v>
    <v>28.58</v>
    <v>28.58</v>
    <v>27.54</v>
    <v>27.36</v>
    <v>27.99</v>
    <v>28.75</v>
    <v>28.17</v>
    <v>27.95</v>
    <v>27.14</v>
    <v>27.42</v>
    <v>27.07</v>
  </a>
  <a r="1">
    <v>40.82</v>
  </a>
  <a r="1">
    <v>163.54</v>
  </a>
  <a r="1">
    <v>240.45</v>
  </a>
  <a r="1" c="27">
    <v>28.21</v>
    <v>28.46</v>
    <v>27.1</v>
    <v>27.38</v>
    <v>25.86</v>
    <v>26.19</v>
    <v>26.55</v>
    <v>27.42</v>
    <v>26.98</v>
    <v>27.32</v>
    <v>27.77</v>
    <v>26.73</v>
    <v>26.49</v>
    <v>27.19</v>
    <v>27.71</v>
    <v>27.12</v>
    <v>27.96</v>
    <v>29.57</v>
    <v>30.49</v>
    <v>30.5</v>
    <v>32.32</v>
    <v>32.729999999999997</v>
    <v>33.270000000000003</v>
    <v>33.58</v>
    <v>33.39</v>
    <v>32.840000000000003</v>
    <v>34.03</v>
  </a>
  <a r="1">
    <v>102.87</v>
  </a>
  <a r="1" c="27">
    <v>22.72</v>
    <v>24.04</v>
    <v>22.47</v>
    <v>22.79</v>
    <v>23</v>
    <v>23.7</v>
    <v>23.37</v>
    <v>23.52</v>
    <v>23.22</v>
    <v>24.45</v>
    <v>26.24</v>
    <v>26.26</v>
    <v>27</v>
    <v>26.96</v>
    <v>26.94</v>
    <v>28.57</v>
    <v>29.44</v>
    <v>28.4</v>
    <v>27.29</v>
    <v>26.82</v>
    <v>26.52</v>
    <v>26.47</v>
    <v>26.26</v>
    <v>23.67</v>
    <v>23</v>
    <v>23.21</v>
    <v>23.2</v>
  </a>
  <a r="1">
    <v>190.52</v>
  </a>
  <a r="1">
    <v>85.03</v>
  </a>
  <a r="1">
    <v>119.84</v>
  </a>
  <a r="1">
    <v>251.07</v>
  </a>
  <a r="1">
    <v>84.04</v>
  </a>
  <a r="1" c="27">
    <v>114.19</v>
    <v>117.06</v>
    <v>111.23</v>
    <v>124.08</v>
    <v>126.43</v>
    <v>124.09</v>
    <v>125.6</v>
    <v>122.83</v>
    <v>125.79</v>
    <v>128.53</v>
    <v>127.98</v>
    <v>130.18</v>
    <v>127.23</v>
    <v>128.71</v>
    <v>129.05000000000001</v>
    <v>129.4</v>
    <v>133.21</v>
    <v>127.15</v>
    <v>130.56</v>
    <v>136.94999999999999</v>
    <v>138.97</v>
    <v>141.51</v>
    <v>142.57</v>
    <v>134.54</v>
    <v>131.75</v>
    <v>128.01</v>
    <v>128.9</v>
  </a>
  <a r="1">
    <v>312.45</v>
  </a>
  <a r="1" c="27">
    <v>50.09</v>
    <v>50.36</v>
    <v>49.34</v>
    <v>48.39</v>
    <v>47.41</v>
    <v>46.61</v>
    <v>46.88</v>
    <v>47.41</v>
    <v>48.33</v>
    <v>47.35</v>
    <v>45.93</v>
    <v>46.69</v>
    <v>47.86</v>
    <v>47.05</v>
    <v>45.72</v>
    <v>44.6</v>
    <v>44.51</v>
    <v>44.56</v>
    <v>46.26</v>
    <v>47.87</v>
    <v>48.34</v>
    <v>44.62</v>
    <v>45.23</v>
    <v>44.29</v>
    <v>39.380000000000003</v>
    <v>37.01</v>
    <v>36.450000000000003</v>
  </a>
  <a r="1">
    <v>0.19500000000000001</v>
  </a>
  <a r="1">
    <v>275.33999999999997</v>
  </a>
  <a r="1">
    <v>79.92</v>
  </a>
  <a r="1">
    <v>62.98</v>
  </a>
  <a r="1" c="27">
    <v>139.46</v>
    <v>133.01</v>
    <v>126.76</v>
    <v>129.27000000000001</v>
    <v>134.97999999999999</v>
    <v>136.13999999999999</v>
    <v>137.94999999999999</v>
    <v>142.32</v>
    <v>133.72</v>
    <v>136.96</v>
    <v>139.36000000000001</v>
    <v>141.44</v>
    <v>128.88999999999999</v>
    <v>127.75</v>
    <v>130.57</v>
    <v>142.16</v>
    <v>138.28</v>
    <v>141.54</v>
    <v>143.56</v>
    <v>157.80000000000001</v>
    <v>159.77000000000001</v>
    <v>155.75</v>
    <v>154.33000000000001</v>
    <v>165.96</v>
    <v>172.74</v>
    <v>175.47</v>
    <v>188.28</v>
  </a>
  <a r="1" c="27">
    <v>802.51</v>
    <v>789.98</v>
    <v>764.36</v>
    <v>750.77</v>
    <v>783.88</v>
    <v>789.37</v>
    <v>786.34</v>
    <v>790.91</v>
    <v>774.03</v>
    <v>826.04</v>
    <v>854.56</v>
    <v>887.96</v>
    <v>893.48</v>
    <v>907.04</v>
    <v>914.34</v>
    <v>938.98</v>
    <v>962</v>
    <v>918.88</v>
    <v>935.41</v>
    <v>928.75</v>
    <v>905.14</v>
    <v>922.24</v>
    <v>859.57</v>
    <v>821.42</v>
    <v>782.21</v>
    <v>813.53</v>
    <v>802.89</v>
  </a>
  <a r="1">
    <v>69.23</v>
  </a>
  <a r="1">
    <v>154.43</v>
  </a>
  <a r="1" c="27">
    <v>49.44</v>
    <v>48.07</v>
    <v>45.28</v>
    <v>45.69</v>
    <v>48.26</v>
    <v>46.68</v>
    <v>47.32</v>
    <v>47.1</v>
    <v>47.78</v>
    <v>49.05</v>
    <v>51.26</v>
    <v>53.42</v>
    <v>54.16</v>
    <v>54.99</v>
    <v>53.93</v>
    <v>55.21</v>
    <v>54.4</v>
    <v>55.47</v>
    <v>56.11</v>
    <v>60.69</v>
    <v>57.69</v>
    <v>58.66</v>
    <v>54.66</v>
    <v>52.37</v>
    <v>51</v>
    <v>51.25</v>
    <v>50.85</v>
  </a>
  <a r="1">
    <v>103.99</v>
  </a>
  <a r="1" c="27">
    <v>13.24</v>
    <v>14.58</v>
    <v>14.07</v>
    <v>14.58</v>
    <v>14.55</v>
    <v>13.87</v>
    <v>14.13</v>
    <v>13.82</v>
    <v>13.75</v>
    <v>14.06</v>
    <v>13.92</v>
    <v>13.83</v>
    <v>13.53</v>
    <v>14.07</v>
    <v>14.82</v>
    <v>14.32</v>
    <v>14.19</v>
    <v>14.25</v>
    <v>14.65</v>
    <v>16.05</v>
    <v>16.28</v>
    <v>16.510000000000002</v>
    <v>17.28</v>
    <v>14.15</v>
    <v>14.19</v>
    <v>14.1</v>
    <v>14</v>
  </a>
  <a r="1" c="27">
    <v>247.18</v>
    <v>246.45</v>
    <v>237.49</v>
    <v>253.79</v>
    <v>260.51</v>
    <v>281.82</v>
    <v>279.7</v>
    <v>276.98</v>
    <v>299.64999999999998</v>
    <v>320.12</v>
    <v>322.08999999999997</v>
    <v>310.52</v>
    <v>308.61</v>
    <v>314.95999999999998</v>
    <v>315.32</v>
    <v>329.14</v>
    <v>330.34</v>
    <v>328.43</v>
    <v>338.53</v>
    <v>323.10000000000002</v>
    <v>306.02</v>
    <v>314.89999999999998</v>
    <v>311.43</v>
    <v>298.3</v>
    <v>301.45999999999998</v>
    <v>298.79000000000002</v>
    <v>273.76</v>
  </a>
  <a r="1" c="27">
    <v>312.58999999999997</v>
    <v>380.02</v>
    <v>357.01</v>
    <v>336.02</v>
    <v>354.46</v>
    <v>343.78</v>
    <v>309.14</v>
    <v>284</v>
    <v>240.41</v>
    <v>272.82</v>
    <v>269.73</v>
    <v>267.45999999999998</v>
    <v>245.12</v>
    <v>236.9</v>
    <v>236.53</v>
    <v>240.78</v>
    <v>241.15</v>
    <v>216.95</v>
    <v>194.74</v>
    <v>165.12</v>
    <v>164.32</v>
    <v>171.35</v>
    <v>175.85</v>
    <v>197.22</v>
    <v>195.53</v>
    <v>197.5</v>
    <v>161.13999999999999</v>
  </a>
  <a r="1">
    <v>88.57</v>
  </a>
  <a r="1">
    <v>410.23</v>
  </a>
  <a r="1">
    <v>271.77</v>
  </a>
  <a r="1">
    <v>292.27</v>
  </a>
  <a r="1" c="27">
    <v>465.76</v>
    <v>497.85</v>
    <v>491.3</v>
    <v>527.08000000000004</v>
    <v>522.73</v>
    <v>577.26</v>
    <v>563.1</v>
    <v>554.03</v>
    <v>550.42999999999995</v>
    <v>575.76</v>
    <v>603.16999999999996</v>
    <v>597.89</v>
    <v>576.22</v>
    <v>583</v>
    <v>598.41</v>
    <v>617.62</v>
    <v>646.89</v>
    <v>626.62</v>
    <v>657.36</v>
    <v>726.2</v>
    <v>774.2</v>
    <v>759.74</v>
    <v>742.83</v>
    <v>680.9</v>
    <v>693.99</v>
    <v>680.88</v>
    <v>695.4</v>
  </a>
  <a r="1">
    <v>115.7</v>
  </a>
  <a r="1">
    <v>171.85</v>
  </a>
  <a r="1">
    <v>128.9</v>
  </a>
  <a r="1" c="27">
    <v>594.52</v>
    <v>609.54</v>
    <v>623.49</v>
    <v>594.5</v>
    <v>605.58000000000004</v>
    <v>583.45000000000005</v>
    <v>568.61</v>
    <v>558</v>
    <v>566.70000000000005</v>
    <v>572.25</v>
    <v>548.97</v>
    <v>569.76</v>
    <v>568.46</v>
    <v>577.37</v>
    <v>585.66</v>
    <v>618.82000000000005</v>
    <v>666.9</v>
    <v>672.95</v>
    <v>692.26</v>
    <v>709.11</v>
    <v>702.57</v>
    <v>723.56</v>
    <v>724.38</v>
    <v>756.13</v>
    <v>733.71</v>
    <v>706.95</v>
    <v>679</v>
  </a>
  <a r="1">
    <v>189.69</v>
  </a>
  <a r="1">
    <v>282.83999999999997</v>
  </a>
  <a r="1" c="27">
    <v>179.56</v>
    <v>206.63</v>
    <v>198.17</v>
    <v>204.55</v>
    <v>220.52</v>
    <v>216.46</v>
    <v>210.46</v>
    <v>220.61</v>
    <v>224.9</v>
    <v>230.01</v>
    <v>225.85</v>
    <v>222.26</v>
    <v>220.69</v>
    <v>226.92</v>
    <v>225.37</v>
    <v>242.41</v>
    <v>237.68</v>
    <v>235.31</v>
    <v>230.15</v>
    <v>187.49</v>
    <v>166.94</v>
    <v>165.62</v>
    <v>178.81</v>
    <v>174.49</v>
    <v>164.72</v>
    <v>166.07</v>
    <v>163.85</v>
  </a>
  <a r="1">
    <v>510.34</v>
  </a>
  <a r="1" c="27">
    <v>360.37</v>
    <v>346.74</v>
    <v>337.51</v>
    <v>333.26</v>
    <v>353.52</v>
    <v>340.31</v>
    <v>326.95</v>
    <v>331.11</v>
    <v>324.19</v>
    <v>320.13</v>
    <v>346.26</v>
    <v>356.43</v>
    <v>355.86</v>
    <v>353.8</v>
    <v>333.3</v>
    <v>333.95</v>
    <v>296.12</v>
    <v>301.07</v>
    <v>293.25</v>
    <v>268.38</v>
    <v>263.97000000000003</v>
    <v>258.61</v>
    <v>262.41000000000003</v>
    <v>283.62</v>
    <v>249.32</v>
    <v>248.15</v>
    <v>234.84</v>
  </a>
  <a r="1" c="27">
    <v>193.15</v>
    <v>189.25</v>
    <v>184.09</v>
    <v>189.68</v>
    <v>198.51</v>
    <v>205.95</v>
    <v>206.66</v>
    <v>203.29</v>
    <v>197.28</v>
    <v>204.59</v>
    <v>190.98</v>
    <v>198.31</v>
    <v>203.49</v>
    <v>211.22</v>
    <v>211.71</v>
    <v>218.27</v>
    <v>224.89</v>
    <v>214.89</v>
    <v>208.08</v>
    <v>223.16</v>
    <v>250.21</v>
    <v>258.10000000000002</v>
    <v>262.52999999999997</v>
    <v>250.13</v>
    <v>236.75</v>
    <v>231.21</v>
    <v>227.9</v>
  </a>
  <a r="1">
    <v>138.84</v>
  </a>
  <a r="1">
    <v>51.69</v>
  </a>
  <a r="1" c="27">
    <v>83.99</v>
    <v>84.8</v>
    <v>75.58</v>
    <v>73.989999999999995</v>
    <v>77.89</v>
    <v>68.81</v>
    <v>67.52</v>
    <v>68.05</v>
    <v>67.25</v>
    <v>68.8</v>
    <v>68.010000000000005</v>
    <v>68.23</v>
    <v>65.23</v>
    <v>67.010000000000005</v>
    <v>65.69</v>
    <v>58.49</v>
    <v>65.34</v>
    <v>65.599999999999994</v>
    <v>61.5</v>
    <v>50.28</v>
    <v>44.99</v>
    <v>49.87</v>
    <v>44.63</v>
    <v>48.38</v>
    <v>43.63</v>
    <v>42.9</v>
    <v>39.770000000000003</v>
  </a>
  <a r="1">
    <v>180.19</v>
  </a>
  <a r="1">
    <v>264.2</v>
  </a>
  <a r="1" c="27">
    <v>44.86</v>
    <v>46.42</v>
    <v>43.17</v>
    <v>42.9</v>
    <v>44.26</v>
    <v>41.91</v>
    <v>32.36</v>
    <v>34.43</v>
    <v>35.33</v>
    <v>38.659999999999997</v>
    <v>38.82</v>
    <v>41.01</v>
    <v>38.47</v>
    <v>39.270000000000003</v>
    <v>39.29</v>
    <v>45.23</v>
    <v>48.83</v>
    <v>46.29</v>
    <v>44.54</v>
    <v>47.17</v>
    <v>41.43</v>
    <v>44.5</v>
    <v>43.17</v>
    <v>42.19</v>
    <v>41.84</v>
    <v>41.86</v>
    <v>40.86</v>
  </a>
  <a r="1">
    <v>81.8</v>
  </a>
  <a r="1" c="27">
    <v>204.24</v>
    <v>202.61</v>
    <v>187.96</v>
    <v>188.1</v>
    <v>190.83</v>
    <v>183.27</v>
    <v>185.07</v>
    <v>186.72</v>
    <v>185.8</v>
    <v>186.02</v>
    <v>186.75</v>
    <v>187.53</v>
    <v>187.57</v>
    <v>191.14</v>
    <v>184.88</v>
    <v>193.12</v>
    <v>195.42</v>
    <v>192.96</v>
    <v>191.39</v>
    <v>195.87</v>
    <v>193.44</v>
    <v>200.02</v>
    <v>201.13</v>
    <v>203.61</v>
    <v>194.28</v>
    <v>179.34</v>
    <v>165.71</v>
  </a>
  <a r="1" c="27">
    <v>318.61</v>
    <v>350.5</v>
    <v>353.24</v>
    <v>348.77</v>
    <v>342.35</v>
    <v>317.2</v>
    <v>317.77999999999997</v>
    <v>325.83</v>
    <v>321.73</v>
    <v>338.26</v>
    <v>330.75</v>
    <v>359.07</v>
    <v>340.69</v>
    <v>349.88</v>
    <v>354.25</v>
    <v>372.83</v>
    <v>374.87</v>
    <v>371.06</v>
    <v>345.74</v>
    <v>338.98</v>
    <v>346.8</v>
    <v>342.93</v>
    <v>320</v>
    <v>289.64</v>
    <v>291.63</v>
    <v>291.48</v>
    <v>286.39</v>
  </a>
  <a r="1">
    <v>28.33</v>
  </a>
  <a r="1">
    <v>165.71</v>
  </a>
  <a r="1" c="27">
    <v>511.46</v>
    <v>517.35</v>
    <v>510.96</v>
    <v>513.58000000000004</v>
    <v>523.61</v>
    <v>517.80999999999995</v>
    <v>496.82</v>
    <v>510.18</v>
    <v>472.12</v>
    <v>492.01</v>
    <v>483.16</v>
    <v>478.53</v>
    <v>485.92</v>
    <v>487.71</v>
    <v>472.94</v>
    <v>479.28</v>
    <v>459.86</v>
    <v>465.95</v>
    <v>430.29</v>
    <v>401.14</v>
    <v>401.32</v>
    <v>397.23</v>
    <v>392.74</v>
    <v>408.96</v>
    <v>395.55</v>
    <v>381.87</v>
    <v>356.77</v>
  </a>
  <a r="1" c="27">
    <v>82.3</v>
    <v>83.95</v>
    <v>76.099999999999994</v>
    <v>77.22</v>
    <v>79.78</v>
    <v>76.33</v>
    <v>77.5</v>
    <v>75.47</v>
    <v>78.540000000000006</v>
    <v>80.34</v>
    <v>79.86</v>
    <v>81.760000000000005</v>
    <v>79.28</v>
    <v>81.28</v>
    <v>79.760000000000005</v>
    <v>85.51</v>
    <v>88.16</v>
    <v>87.21</v>
    <v>86.09</v>
    <v>98.5</v>
    <v>98.52</v>
    <v>95.6</v>
    <v>94.14</v>
    <v>86.43</v>
    <v>82.13</v>
    <v>81.39</v>
    <v>79.45</v>
  </a>
  <a r="1" c="27">
    <v>1204.43</v>
    <v>1314.04</v>
    <v>1273.67</v>
    <v>1349.28</v>
    <v>1434.32</v>
    <v>1416.29</v>
    <v>1439.35</v>
    <v>1403.08</v>
    <v>1452.35</v>
    <v>1476.72</v>
    <v>1414.86</v>
    <v>1393.64</v>
    <v>1402.51</v>
    <v>1420.1</v>
    <v>1411.39</v>
    <v>1485.12</v>
    <v>1460.63</v>
    <v>1406.36</v>
    <v>1373.24</v>
    <v>1373.57</v>
    <v>1360.95</v>
    <v>1377.55</v>
    <v>1366.69</v>
    <v>1209.6500000000001</v>
    <v>1173.74</v>
    <v>1204.48</v>
    <v>1232.04</v>
  </a>
  <a r="1">
    <v>152.66999999999999</v>
  </a>
  <a r="1">
    <v>106.28</v>
  </a>
  <a r="1">
    <v>53.38</v>
  </a>
  <a r="1">
    <v>151.4</v>
  </a>
  <a r="1">
    <v>853.16</v>
  </a>
  <a r="1">
    <v>359.04</v>
  </a>
  <a r="1" c="27">
    <v>87.85</v>
    <v>89.03</v>
    <v>85.53</v>
    <v>90.84</v>
    <v>94.26</v>
    <v>92.72</v>
    <v>91.24</v>
    <v>89.9</v>
    <v>87.62</v>
    <v>90.62</v>
    <v>92.19</v>
    <v>97.09</v>
    <v>98.01</v>
    <v>99.55</v>
    <v>100.51</v>
    <v>105.52</v>
    <v>111.28</v>
    <v>108.1</v>
    <v>105.47</v>
    <v>115.55</v>
    <v>115.76</v>
    <v>116.69</v>
    <v>113.79</v>
    <v>120.79</v>
    <v>117.34</v>
    <v>113.26</v>
    <v>119.84</v>
  </a>
  <a r="1">
    <v>186.55</v>
  </a>
  <a r="1">
    <v>401.61</v>
  </a>
  <a r="1">
    <v>131.77000000000001</v>
  </a>
  <a r="1">
    <v>361.83</v>
  </a>
  <a r="1">
    <v>71.010000000000005</v>
  </a>
  <a r="1" c="27">
    <v>221.26</v>
    <v>216.3</v>
    <v>210.73</v>
    <v>212.94</v>
    <v>221.35</v>
    <v>201.02</v>
    <v>194.61</v>
    <v>194.52</v>
    <v>179.7</v>
    <v>189</v>
    <v>201.89</v>
    <v>204.38</v>
    <v>214.08</v>
    <v>216.44</v>
    <v>227.77</v>
    <v>234.53</v>
    <v>247.68</v>
    <v>252.15</v>
    <v>233.72</v>
    <v>243.03</v>
    <v>242.96</v>
    <v>232.03</v>
    <v>227.53</v>
    <v>231.11</v>
    <v>209.89</v>
    <v>195.12</v>
    <v>190.52</v>
  </a>
  <a r="1" c="27">
    <v>196.67</v>
    <v>200.08</v>
    <v>191.03</v>
    <v>194.15</v>
    <v>197.63</v>
    <v>204.44</v>
    <v>206.31</v>
    <v>203.92</v>
    <v>200.22</v>
    <v>208.55</v>
    <v>214.95</v>
    <v>214.41</v>
    <v>216.14</v>
    <v>219.31</v>
    <v>216.28</v>
    <v>224.42</v>
    <v>229.6</v>
    <v>230.11</v>
    <v>230.14</v>
    <v>246.32</v>
    <v>256.06</v>
    <v>264.77999999999997</v>
    <v>263.95</v>
    <v>244.68</v>
    <v>236.76</v>
    <v>236.06</v>
    <v>241.11</v>
  </a>
  <a r="1">
    <v>104.06</v>
  </a>
  <a r="1" c="27">
    <v>305.86</v>
    <v>309.61</v>
    <v>289.91000000000003</v>
    <v>290.20999999999998</v>
    <v>293.75</v>
    <v>267.06</v>
    <v>252.01</v>
    <v>242.32</v>
    <v>239.98</v>
    <v>243.6</v>
    <v>239.52</v>
    <v>240.27</v>
    <v>232.01</v>
    <v>232.49</v>
    <v>229.71</v>
    <v>252.28</v>
    <v>267.99</v>
    <v>265.02</v>
    <v>254.09</v>
    <v>266.16000000000003</v>
    <v>265.83</v>
    <v>221.62</v>
    <v>227.18</v>
    <v>213.66</v>
    <v>206.64</v>
    <v>200.34</v>
    <v>198.74</v>
  </a>
  <a r="1">
    <v>67.23</v>
  </a>
  <a r="1">
    <v>67.55</v>
  </a>
  <a r="1" c="27">
    <v>174.9</v>
    <v>175.04</v>
    <v>165.94</v>
    <v>175.09</v>
    <v>177.94</v>
    <v>181.04</v>
    <v>190.25</v>
    <v>193.82</v>
    <v>199.93</v>
    <v>208.22</v>
    <v>204.31</v>
    <v>186.73</v>
    <v>186.01</v>
    <v>187.86</v>
    <v>186.94</v>
    <v>186.08</v>
    <v>191.38</v>
    <v>183.68</v>
    <v>188.36</v>
    <v>195.92</v>
    <v>210.72</v>
    <v>208.19</v>
    <v>207.12</v>
    <v>204.29</v>
    <v>207.82</v>
    <v>195.94</v>
    <v>195.77</v>
  </a>
  <a r="1" c="27">
    <v>21.59</v>
    <v>21.47</v>
    <v>20.78</v>
    <v>21.84</v>
    <v>22.34</v>
    <v>20.66</v>
    <v>20.54</v>
    <v>20.420000000000002</v>
    <v>20.36</v>
    <v>20.66</v>
    <v>20.13</v>
    <v>20.16</v>
    <v>19.989999999999998</v>
    <v>20.36</v>
    <v>20.059999999999999</v>
    <v>20.41</v>
    <v>21.06</v>
    <v>20.96</v>
    <v>21.08</v>
    <v>21.83</v>
    <v>22.71</v>
    <v>23.17</v>
    <v>23.55</v>
    <v>23.28</v>
    <v>22.91</v>
    <v>22.34</v>
    <v>22.22</v>
  </a>
  <a r="1" c="27">
    <v>90.38</v>
    <v>91.54</v>
    <v>89.46</v>
    <v>91.29</v>
    <v>91.95</v>
    <v>92.76</v>
    <v>91.02</v>
    <v>88.77</v>
    <v>88.06</v>
    <v>88.85</v>
    <v>86.45</v>
    <v>88.14</v>
    <v>87.06</v>
    <v>87.62</v>
    <v>88.34</v>
    <v>90.27</v>
    <v>90.16</v>
    <v>90.98</v>
    <v>85.42</v>
    <v>89.85</v>
    <v>89.83</v>
    <v>92.67</v>
    <v>92.56</v>
    <v>89.22</v>
    <v>83.19</v>
    <v>79.540000000000006</v>
    <v>75.95</v>
  </a>
  <a r="1" c="27">
    <v>80.45</v>
    <v>84.66</v>
    <v>80.680000000000007</v>
    <v>84.81</v>
    <v>86.62</v>
    <v>85.12</v>
    <v>87.94</v>
    <v>79.69</v>
    <v>74.959999999999994</v>
    <v>79.64</v>
    <v>81.92</v>
    <v>77.12</v>
    <v>75.86</v>
    <v>75.180000000000007</v>
    <v>74.84</v>
    <v>76.14</v>
    <v>81.75</v>
    <v>86.44</v>
    <v>92.41</v>
    <v>109.61</v>
    <v>153.91</v>
    <v>133.62</v>
    <v>131.57</v>
    <v>120.7</v>
    <v>110.95</v>
    <v>115.36</v>
    <v>115.7</v>
  </a>
  <a r="1">
    <v>190.29</v>
  </a>
  <a r="1">
    <v>54.24</v>
  </a>
  <a r="1">
    <v>337.17</v>
  </a>
  <a r="1">
    <v>114.63</v>
  </a>
  <a r="1">
    <v>93.96</v>
  </a>
  <a r="1" c="27">
    <v>341.91</v>
    <v>347.42</v>
    <v>327.33</v>
    <v>339.75</v>
    <v>343.93</v>
    <v>335.55</v>
    <v>343.71</v>
    <v>329.98</v>
    <v>335.9</v>
    <v>340.05</v>
    <v>347.21</v>
    <v>350.83</v>
    <v>346.31</v>
    <v>354</v>
    <v>350.95</v>
    <v>362.17</v>
    <v>361.36</v>
    <v>369.1</v>
    <v>366.11</v>
    <v>369.34</v>
    <v>384.61</v>
    <v>385.88</v>
    <v>385.22</v>
    <v>372.14</v>
    <v>367.51</v>
    <v>356.9</v>
    <v>359.04</v>
  </a>
  <a r="1">
    <v>86.81</v>
  </a>
  <a r="1" c="27">
    <v>215.84</v>
    <v>202.08</v>
    <v>193.99</v>
    <v>209.34</v>
    <v>212.44</v>
    <v>220.89</v>
    <v>213.71</v>
    <v>201.87</v>
    <v>196.7</v>
    <v>210.71</v>
    <v>220.06</v>
    <v>222.37</v>
    <v>226.62</v>
    <v>236.11</v>
    <v>240.39</v>
    <v>226.15</v>
    <v>251.29</v>
    <v>243.14</v>
    <v>237.19</v>
    <v>258.25</v>
    <v>254.58</v>
    <v>271.08999999999997</v>
    <v>264.99</v>
    <v>241.09</v>
    <v>250.65</v>
    <v>253.63</v>
    <v>261.10000000000002</v>
  </a>
  <a r="1" c="27">
    <v>220.61</v>
    <v>233.91</v>
    <v>230.5</v>
    <v>229.57</v>
    <v>227.99</v>
    <v>218.04</v>
    <v>219.16</v>
    <v>232.36</v>
    <v>236.28</v>
    <v>227.7</v>
    <v>226.08</v>
    <v>223.32</v>
    <v>226.82</v>
    <v>229.98</v>
    <v>229.31</v>
    <v>220.08</v>
    <v>214.35</v>
    <v>219.26</v>
    <v>223.01</v>
    <v>223.43</v>
    <v>231.5</v>
    <v>224.81</v>
    <v>232.08</v>
    <v>230.11</v>
    <v>219.68</v>
    <v>205.07</v>
    <v>209.4</v>
  </a>
  <a r="1">
    <v>327.44</v>
  </a>
  <a r="1">
    <v>292.19</v>
  </a>
  <a r="1" c="27">
    <v>83.85</v>
    <v>83.8</v>
    <v>73.92</v>
    <v>74.989999999999995</v>
    <v>77.41</v>
    <v>58.22</v>
    <v>55.61</v>
    <v>52.29</v>
    <v>50.89</v>
    <v>53.67</v>
    <v>45.48</v>
    <v>46.64</v>
    <v>47.94</v>
    <v>48.6</v>
    <v>48.97</v>
    <v>53.97</v>
    <v>57.89</v>
    <v>59.69</v>
    <v>54.64</v>
    <v>55.9</v>
    <v>52.49</v>
    <v>53.65</v>
    <v>54.04</v>
    <v>50.73</v>
    <v>48.41</v>
    <v>47.39</v>
    <v>46.04</v>
  </a>
  <a r="1" c="27">
    <v>148.56</v>
    <v>177.33</v>
    <v>167.03</v>
    <v>178.52</v>
    <v>197.04</v>
    <v>180.07</v>
    <v>168.05</v>
    <v>167.81</v>
    <v>167.64</v>
    <v>178.14</v>
    <v>184.31</v>
    <v>193.03</v>
    <v>197.06</v>
    <v>203.66</v>
    <v>202.42</v>
    <v>220.91</v>
    <v>219.7</v>
    <v>219.61</v>
    <v>210.48</v>
    <v>189.21</v>
    <v>161.35</v>
    <v>168.92</v>
    <v>178.49</v>
    <v>174.46</v>
    <v>155.46</v>
    <v>153.6</v>
    <v>159.16</v>
  </a>
  <a r="1">
    <v>198.33</v>
  </a>
  <a r="1" c="27">
    <v>119.99</v>
    <v>130.9</v>
    <v>119.42</v>
    <v>128.13</v>
    <v>131.91</v>
    <v>124.47</v>
    <v>109.4</v>
    <v>107</v>
    <v>110.23</v>
    <v>114.42</v>
    <v>120.5</v>
    <v>126.88</v>
    <v>121.89</v>
    <v>122.76</v>
    <v>122.4</v>
    <v>112.81</v>
    <v>103</v>
    <v>103.4</v>
    <v>104.37</v>
    <v>108.42</v>
    <v>103.75</v>
    <v>115.45</v>
    <v>122.06</v>
    <v>113.31</v>
    <v>107.32</v>
    <v>105.41</v>
    <v>116.22</v>
  </a>
  <a r="1">
    <v>381.2</v>
  </a>
  <a r="1">
    <v>261.95999999999998</v>
  </a>
  <a r="1">
    <v>202.64</v>
  </a>
  <a r="1" c="27">
    <v>291.70999999999998</v>
    <v>328.39</v>
    <v>331</v>
    <v>334.59</v>
    <v>359.5</v>
    <v>349.6</v>
    <v>371.69</v>
    <v>379.4</v>
    <v>393.99</v>
    <v>403.42</v>
    <v>394.81</v>
    <v>385.33</v>
    <v>378.03</v>
    <v>386.06</v>
    <v>381.96</v>
    <v>396.75</v>
    <v>387.37</v>
    <v>392.31</v>
    <v>370.72</v>
    <v>381.29</v>
    <v>323.37</v>
    <v>333.33</v>
    <v>319.38</v>
    <v>302.54000000000002</v>
    <v>286.57</v>
    <v>298.99</v>
    <v>289.16000000000003</v>
  </a>
  <a r="1">
    <v>79.45</v>
  </a>
  <a r="1" c="27">
    <v>369.29</v>
    <v>375.72</v>
    <v>329.24</v>
    <v>333.81</v>
    <v>351.2</v>
    <v>306.54000000000002</v>
    <v>303.99</v>
    <v>318.31</v>
    <v>309.88</v>
    <v>374.5</v>
    <v>399.77</v>
    <v>455.68</v>
    <v>450.22</v>
    <v>438.47</v>
    <v>400.25</v>
    <v>463.09</v>
    <v>443.12</v>
    <v>473.31</v>
    <v>401.11</v>
    <v>403.67</v>
    <v>342.87</v>
    <v>336.62</v>
    <v>334.16</v>
    <v>317.7</v>
    <v>300.14999999999998</v>
    <v>281.27999999999997</v>
    <v>302.04000000000002</v>
  </a>
  <a r="1">
    <v>492</v>
  </a>
  <a r="1" c="27">
    <v>1.4</v>
    <v>1.33</v>
    <v>1.25</v>
    <v>1</v>
    <v>1.6</v>
    <v>1.3</v>
    <v>1.375</v>
    <v>1.3</v>
    <v>1.24</v>
    <v>0.97499999999999998</v>
    <v>0.875</v>
    <v>0.84</v>
    <v>0.57499999999999996</v>
    <v>0.52500000000000002</v>
    <v>0.29499999999999998</v>
    <v>0.32500000000000001</v>
    <v>0.39200000000000002</v>
    <v>0.34399999999999997</v>
    <v>0.307</v>
    <v>0.28499999999999998</v>
    <v>0.245</v>
    <v>0.245</v>
    <v>0.2</v>
    <v>0.23100000000000001</v>
    <v>0.23</v>
    <v>0.22500000000000001</v>
    <v>0.19500000000000001</v>
  </a>
  <a r="1">
    <v>300.68</v>
  </a>
  <a r="1">
    <v>259.02</v>
  </a>
  <a r="1" c="27">
    <v>164.37</v>
    <v>159.27000000000001</v>
    <v>145.04</v>
    <v>152.44999999999999</v>
    <v>158.16</v>
    <v>159.37</v>
    <v>142.44999999999999</v>
    <v>145.08000000000001</v>
    <v>140.19999999999999</v>
    <v>144.22</v>
    <v>146.25</v>
    <v>144.93</v>
    <v>140.65</v>
    <v>139.71</v>
    <v>133.16</v>
    <v>133.49</v>
    <v>131.75</v>
    <v>126</v>
    <v>126.39</v>
    <v>142.62</v>
    <v>126.86</v>
    <v>124.64</v>
    <v>122.64</v>
    <v>123.42</v>
    <v>116.16</v>
    <v>120.27</v>
    <v>118.17</v>
  </a>
  <a r="1">
    <v>101.74</v>
  </a>
  <a r="1" c="27">
    <v>97.91</v>
    <v>95.33</v>
    <v>96.67</v>
    <v>99.14</v>
    <v>99.31</v>
    <v>94.04</v>
    <v>97.43</v>
    <v>95.03</v>
    <v>92.2</v>
    <v>101.96</v>
    <v>104.95</v>
    <v>106.84</v>
    <v>113.99</v>
    <v>114.04</v>
    <v>113.01</v>
    <v>117.32</v>
    <v>113.49</v>
    <v>107.74</v>
    <v>102.32</v>
    <v>115.91</v>
    <v>109.29</v>
    <v>113.03</v>
    <v>106.3</v>
    <v>92.07</v>
    <v>86.6</v>
    <v>89.95</v>
    <v>88.44</v>
  </a>
  <a r="1" c="27">
    <v>128.33000000000001</v>
    <v>145.81</v>
    <v>131.37</v>
    <v>141.51</v>
    <v>151.68</v>
    <v>157.46</v>
    <v>159.35</v>
    <v>148.26</v>
    <v>142.65</v>
    <v>156</v>
    <v>158.69999999999999</v>
    <v>160.52000000000001</v>
    <v>172.27</v>
    <v>178.07</v>
    <v>185.06</v>
    <v>218.36</v>
    <v>222.96</v>
    <v>217.94</v>
    <v>233.46</v>
    <v>231.01</v>
    <v>235.53</v>
    <v>244.92</v>
    <v>233.89</v>
    <v>199.33</v>
    <v>212.2</v>
    <v>228.36</v>
    <v>211.41</v>
  </a>
  <a r="1">
    <v>95.55</v>
  </a>
  <a r="1" c="27">
    <v>305.24</v>
    <v>300.98</v>
    <v>297.01</v>
    <v>308.08999999999997</v>
    <v>305.79000000000002</v>
    <v>298.43</v>
    <v>299.66000000000003</v>
    <v>307.02999999999997</v>
    <v>309.35000000000002</v>
    <v>311.82</v>
    <v>311.23</v>
    <v>316.72000000000003</v>
    <v>315.83999999999997</v>
    <v>310.68</v>
    <v>303.26</v>
    <v>307.32</v>
    <v>307.43</v>
    <v>309.25</v>
    <v>315</v>
    <v>327.16000000000003</v>
    <v>327.58</v>
    <v>329.23</v>
    <v>341.06</v>
    <v>328.06</v>
    <v>326.45999999999998</v>
    <v>308.85000000000002</v>
    <v>305.89999999999998</v>
  </a>
  <a r="1" c="27">
    <v>113.67</v>
    <v>119.96</v>
    <v>116.03</v>
    <v>117.46</v>
    <v>120.17</v>
    <v>119.1</v>
    <v>113</v>
    <v>109.57</v>
    <v>110.15</v>
    <v>119.96</v>
    <v>119.49</v>
    <v>126.4</v>
    <v>124.42</v>
    <v>128.94</v>
    <v>126.44</v>
    <v>131.38</v>
    <v>122.97</v>
    <v>122.84</v>
    <v>122.41</v>
    <v>127.13</v>
    <v>125.97</v>
    <v>124.04</v>
    <v>119.98</v>
    <v>106.41</v>
    <v>99.82</v>
    <v>100.47</v>
    <v>101.74</v>
  </a>
  <a r="1">
    <v>1366.77</v>
  </a>
</arrayData>
</file>

<file path=xl/richData/rdrichvalue.xml><?xml version="1.0" encoding="utf-8"?>
<rvData xmlns="http://schemas.microsoft.com/office/spreadsheetml/2017/richdata" count="2992">
  <rv s="0">
    <v>https://www.bing.com/financeapi/forcetrigger?t=a1wxjc&amp;q=XNAS%3aLITE&amp;form=skydnc</v>
    <v>Learn more on Bing</v>
  </rv>
  <rv s="1">
    <v>0</v>
    <v>1</v>
    <v>Lumentum Holdings Inc. (XNAS:LITE)</v>
    <v>3</v>
    <v>4</v>
    <v>Finance</v>
    <v>5</v>
    <v>de-DE</v>
    <v>a1wxjc</v>
    <v>268435456</v>
    <v>1</v>
    <v>Unterstützt von Refinitiv</v>
    <v>808.8</v>
    <v>45.65</v>
    <v>61.89</v>
    <v>8.8066999999999993E-2</v>
    <v>71400000</v>
    <v>Lumentum Holdings Inc. Ist ein Designer und Hersteller optischer und photonischer Produkte, die optische Netzwerke und Laseranwendungen weltweit ermöglichen. Zu den Segmenten zählen Cloud &amp; Networking und Industrial Tech. Die Produkte des Segments Cloud &amp; Networking umfassen ein umfassendes Portfolio optischer und photonischer Komponenten, Module und Subsysteme, die an Betreiber von Cloud- und Kommunikationsnetzwerken und Hersteller von Netzwerkgeräten geliefert werden, die eine Cloud-Rechenzentrumsinfrastruktur aufbauen, einschließlich Produkte für künstliche Intelligenz und maschinelles Lernen (KI/ML) und Data Center Interconnect (DCI) sowie Kommunikationsdienstleister-Netzwerke, einschließlich Produkte für den Zugang (lokal), Metro (Intracity), Langstreckennetzwerke (Stadt-zu Stadt-Netzwerken und Untersee). Das Segment Industrial Tech umfasst Festkörperlaser, Faserlaser der Kilowatt-Klasse, Diodenlaser, ultraschnelle Laser und Gaslaser, für Anwendungen in zahlreichen Endmärkten.</v>
    <v>1.3905000000000001</v>
    <v>54596010000</v>
    <v>Nasdaq Stock Market</v>
    <v>XNAS</v>
    <v>XNAS</v>
    <v>1001 Ridder Park Dr, SAN JOSE, CA, 95131-2314 US</v>
    <v>784.89380000000006</v>
    <v>Communications &amp; Networking</v>
    <v>Aktie</v>
    <v>233.8065</v>
    <v>0</v>
    <v>46113.999984131253</v>
    <v>10562</v>
    <v>Lumentum Holdings Inc.</v>
    <v>732</v>
    <v>Lumentum Holdings Inc.</v>
    <v>734.875</v>
    <v>764.65</v>
    <v>702.76</v>
    <v>LITE</v>
    <v>Lumentum Holdings Inc. (XNAS:LITE)</v>
    <v>2015</v>
    <v>59733</v>
    <v>7316589</v>
    <v>USD</v>
  </rv>
  <rv s="2">
    <v>1</v>
  </rv>
  <rv s="3">
    <fb>702.73</fb>
    <v>6</v>
  </rv>
  <rv s="4">
    <v>7</v>
    <v>8</v>
    <v>Sandisk US (XNAS:SNDK)</v>
    <v>9</v>
    <v>4</v>
    <v>Finance</v>
    <v>5</v>
    <v>de-DE</v>
    <v>cfwqww</v>
    <v>268435456</v>
    <v>1</v>
    <v>Unterstützt von Refinitiv</v>
    <v>777.6</v>
    <v>27.885000000000002</v>
    <v>57.39</v>
    <v>9.0329999999999994E-2</v>
    <v>147601000</v>
    <v>SanDisk Corporation is a developer, manufacturer and provider of data storage devices and solutions based on NAND flash technology and has consumer brands and franchises globally. The Company's solutions include a range of solid state drives (SSDs) embedded products, removable cards, universal serial bus (USB) drives, and wafers and components. Its broad portfolio of technology and products addresses multiple end markets of Datacenter, Edge and Consumer. Its Datacenter end market is composed primarily of products for public or private cloud environments and enterprise customers. The Company, through the Edge end market, provides original equipment manufacturer and channel customers a broad array of high-performance flash solutions across personal computer, mobile, gaming, automotive, virtual reality headsets, at-home entertainment, and industrial spaces. The Company serves the Consumer end market with a broad range of retail and other end-user products.</v>
    <v>2.5259999999999998</v>
    <v>102247640730</v>
    <v>Nasdaq Stock Market</v>
    <v>XNAS</v>
    <v>XNAS</v>
    <v>951 Sandisk Drive, MILPITAS, CA, 95035 US</v>
    <v>710.85</v>
    <v>Computers, Phones &amp; Household Electronics</v>
    <v>Aktie</v>
    <v>0</v>
    <v>46113.999941423441</v>
    <v>11000</v>
    <v>Sandisk US</v>
    <v>645.1</v>
    <v>Sandisk US</v>
    <v>652.29</v>
    <v>692.73</v>
    <v>635.34</v>
    <v>SNDK</v>
    <v>Sandisk US (XNAS:SNDK)</v>
    <v>2024</v>
    <v>179800</v>
    <v>18865432</v>
    <v>USD</v>
  </rv>
  <rv s="2">
    <v>4</v>
  </rv>
  <rv s="3">
    <fb>615.83000000000004</fb>
    <v>6</v>
  </rv>
  <rv s="0">
    <v>https://www.bing.com/financeapi/forcetrigger?t=a1ppvh&amp;q=XNYS%3aCIEN&amp;form=skydnc</v>
    <v>Learn more on Bing</v>
  </rv>
  <rv s="1">
    <v>0</v>
    <v>1</v>
    <v>CIENA CORPORATION (XNYS:CIEN)</v>
    <v>3</v>
    <v>4</v>
    <v>Finance</v>
    <v>5</v>
    <v>de-DE</v>
    <v>a1ppvh</v>
    <v>268435456</v>
    <v>1</v>
    <v>Unterstützt von Refinitiv</v>
    <v>446.88990000000001</v>
    <v>49.21</v>
    <v>27.16</v>
    <v>6.9958999999999993E-2</v>
    <v>141398400</v>
    <v>Ciena Corporation ist ein Netzwerksystem-, Software- und Serviceunternehmen, das Hardware, Software und Services für eine Reihe von Netzwerkbetreibern bereitstellt und eine verbesserte Netzwerkkapazität, Servicebereitstellung und Automatisierung ermöglicht. Zu den Segmenten gehören Netzwerkplattformen, Plattformsoftware und -services, Blue Planet Automation Software und Services sowie Global Services. Das Segment Netzwerkplattformen besteht aus den Portfolios für optische Netzwerke sowie Routing und Switching. Plattformsoftware und -services bietet Tools und Anwendungen für Domänenkontrollverwaltung, Analysen, Daten und Planung, um Kunden bei der Verwaltung ihrer Netzwerke zu unterstützen. Blue Planet Automation Software und Services umfasst Bestandsverwaltung (BPI), Multi-Domain-Service-Orchestrierung, Multi-Cloud-Orchestrierung, Routenoptimierung und -analyse (ROA) sowie Unified Assurance und Analytics (UAA). Das Segment Global Services bietet eine Reihe von Mehrwertdiensten, die seinen Kunden beim Aufbau, Betrieb und der Verbesserung ihrer Netzwerke helfen.</v>
    <v>1.0169999999999999</v>
    <v>58735481376</v>
    <v>New York Stock Exchange</v>
    <v>XNYS</v>
    <v>XNYS</v>
    <v>7035 Ridge Road, HANOVER, MD, 21076 US</v>
    <v>421.99</v>
    <v>Communications &amp; Networking</v>
    <v>Aktie</v>
    <v>489.06810000000002</v>
    <v>7</v>
    <v>46113.999651654689</v>
    <v>8898</v>
    <v>CIENA CORPORATION</v>
    <v>399.82</v>
    <v>CIENA CORPORATION</v>
    <v>401.71</v>
    <v>415.39</v>
    <v>388.23</v>
    <v>CIEN</v>
    <v>CIENA CORPORATION (XNYS:CIEN)</v>
    <v>1992</v>
    <v>10502</v>
    <v>3383501</v>
    <v>USD</v>
  </rv>
  <rv s="2">
    <v>8</v>
  </rv>
  <rv s="3">
    <fb>401.61</fb>
    <v>6</v>
  </rv>
  <rv s="0">
    <v>https://www.bing.com/financeapi/forcetrigger?t=a1nkur&amp;q=XNAS%3aAPA&amp;form=skydnc</v>
    <v>Learn more on Bing</v>
  </rv>
  <rv s="1">
    <v>0</v>
    <v>1</v>
    <v>APA CORPORATION (XNAS:APA)</v>
    <v>3</v>
    <v>4</v>
    <v>Finance</v>
    <v>5</v>
    <v>de-DE</v>
    <v>a1nkur</v>
    <v>268435456</v>
    <v>1</v>
    <v>Unterstützt von Refinitiv</v>
    <v>45.66</v>
    <v>13.584</v>
    <v>-1.0900000000000001</v>
    <v>-2.5682999999999997E-2</v>
    <v>353251500</v>
    <v>APA Corporation ist ein unabhängiges Energieunternehmen. Das Unternehmen besitzt Tochtergesellschaften, die Öl und Erdgas in den Vereinigten Staaten, Ägypten und dem Vereinigten Königreich suchen und fördern und Öl und Erdgas vor der Küste Suriname suchen. Das vorgelagerte Geschäft des Unternehmens ist in drei geografischen Gebieten Erdöl- und Erdgasaktivitäten tätig: Den Vereinigten Staaten, Ägypten und dem Vereinigten Königreich in der Nordsee (Nordsee). Außerdem unterhält es aktive Explorations- und Bewertungsaktivitäten in Suriname sowie Beteiligungen in Uruguay und anderen internationalen Standorten. Sie unterhält ein diversifiziertes Portfolio an Vermögenswerten, einschließlich konventioneller und unkonventioneller Beteiligungen, Onshore- und Offshore-Aktivitäten sowie Explorations- und Förderinteressen für Öl und Erdgas. In den Vereinigten Staaten konzentriert sich der Betrieb hauptsächlich auf das Permian Basin in West Texas. Das Unternehmen verfügt über konventionelle Onshore-Anlagen in der westlichen Wüste Ägyptens und Offshore-Anlagen auf dem britischen Kontinentalsockel.</v>
    <v>0.48430000000000001</v>
    <v>14606949525</v>
    <v>Nasdaq Stock Market</v>
    <v>XNAS</v>
    <v>XNAS</v>
    <v>2000 W Sam Houston Pkwy S, Suite 200, HOUSTON, TX, 77042 US</v>
    <v>42.46</v>
    <v>Oil &amp; Gas</v>
    <v>Aktie</v>
    <v>10.3721</v>
    <v>11</v>
    <v>46113.99754732578</v>
    <v>1791</v>
    <v>APA CORPORATION</v>
    <v>40.369999999999997</v>
    <v>APA CORPORATION</v>
    <v>41.35</v>
    <v>41.35</v>
    <v>42.44</v>
    <v>APA</v>
    <v>APA CORPORATION (XNAS:APA)</v>
    <v>2021</v>
    <v>28223</v>
    <v>10572408</v>
    <v>USD</v>
  </rv>
  <rv s="2">
    <v>12</v>
  </rv>
  <rv s="3">
    <fb>44.39</fb>
    <v>6</v>
  </rv>
  <rv s="0">
    <v>https://www.bing.com/financeapi/forcetrigger?t=a1x8c7&amp;q=XNYS%3aLYB&amp;form=skydnc</v>
    <v>Learn more on Bing</v>
  </rv>
  <rv s="5">
    <v>10</v>
    <v>11</v>
    <v>LyondellBasell Industries NV (XNYS:LYB)</v>
    <v>3</v>
    <v>12</v>
    <v>Finance</v>
    <v>5</v>
    <v>de-DE</v>
    <v>a1x8c7</v>
    <v>268435456</v>
    <v>1</v>
    <v>Unterstützt von Refinitiv</v>
    <v>83.94</v>
    <v>41.58</v>
    <v>-3.85</v>
    <v>-4.7789999999999999E-2</v>
    <v>322170000</v>
    <v>LyondellBasell Industries N.V. ist ein globales, unabhängiges Chemieunternehmen, das Lösungen für ein nachhaltiges Leben im Alltag entwickelt. Die Segmente des Unternehmens umfassen Olefine und Polyolefine-Americas (O&amp;P-Americas), Olefine und Polyolefine-Europa, Asien, International (O&amp;P-EAI), Intermediate and Derivates (I&amp;D), Advanced Polymer Solutions (APS) und Technology. Die Segmente O&amp;P-Americas und O&amp;P-EAI produzieren und vermarkten Olefine und Nebenprodukte, Polyethylen und Polypropylen. Das I&amp;D-Segment produziert und vermarktet Propylenoxid (PO) und seine Derivate, Oxyfuel und verwandte Produkte sowie Zwischenchemikalien wie Styrol-Monomer (SM) und Acetyle. Das APS-Segment produziert und vermarktet Compoundierung und Lösungen wie Polypropylenverbindungen, technische Kunststoffe, Masterbatches, technische Verbundwerkstoffe, Farben, und Pulver. Das Segment Technology entwickelt und lizenziert chemische und Polyolefin-Prozesstechnologien und produziert und verkauft Polyolefin-Katalysatoren.</v>
    <v>0.40789999999999998</v>
    <v>24713660699</v>
    <v>New York Stock Exchange</v>
    <v>XNYS</v>
    <v>XNYS</v>
    <v>4th Floor, One Vine Street, LONDON, W1J 0AH GB</v>
    <v>80.599999999999994</v>
    <v>Chemicals</v>
    <v>Aktie</v>
    <v>15</v>
    <v>46113.996663378908</v>
    <v>18970</v>
    <v>LyondellBasell Industries NV</v>
    <v>74.3</v>
    <v>LyondellBasell Industries NV</v>
    <v>79.989999999999995</v>
    <v>76.709999999999994</v>
    <v>80.56</v>
    <v>LYB</v>
    <v>LyondellBasell Industries NV (XNYS:LYB)</v>
    <v>2009</v>
    <v>6590</v>
    <v>9859180</v>
    <v>USD</v>
  </rv>
  <rv s="2">
    <v>16</v>
  </rv>
  <rv s="3">
    <fb>80.45</fb>
    <v>6</v>
  </rv>
  <rv s="0">
    <v>https://www.bing.com/financeapi/forcetrigger?t=bpifbh&amp;q=XNYS%3aDOW&amp;form=skydnc</v>
    <v>Learn more on Bing</v>
  </rv>
  <rv s="5">
    <v>10</v>
    <v>11</v>
    <v>Dow Inc. (XNYS:DOW)</v>
    <v>3</v>
    <v>12</v>
    <v>Finance</v>
    <v>5</v>
    <v>de-DE</v>
    <v>bpifbh</v>
    <v>268435456</v>
    <v>1</v>
    <v>Unterstützt von Refinitiv</v>
    <v>42.74</v>
    <v>20.401900000000001</v>
    <v>-0.96</v>
    <v>-2.3049E-2</v>
    <v>719619400</v>
    <v>Dow Inc. Fungiert als Holdinggesellschaft für die Dow Chemical Company und ihre Tochtergesellschaften. Das Unternehmen betreibt seine Aktivitäten über sechs globale Geschäftsbereiche, die in Segmente wie Verpackung und Spezialkunststoffe, industrielle Zwischenprodukte und Infrastruktur sowie Performance Materials &amp; Coatings gegliedert sind. Das Segment Verpackungen und Spezialkunststoffe besteht aus zwei integrierten globalen Geschäftsbereichen: Kohlenwasserstoffe &amp; Energie sowie Verpackungen und Spezialkunststoffe. In diesem Segment wird ein Polyolefin-Produktportfolio eingesetzt. Das Segment Industrial Intermediates &amp; Infrastructure besteht aus zwei kundenorientierten globalen Geschäftsbereichen: Industrial Solutions und Polyurethane &amp; Construction Chemicals, die Zwischenchemikalien entwickeln, die für Fertigungsprozesse unerlässlich sind, sowie nachgelagerten, maßgeschneiderten Materialien und Rezepturen, die fortschrittliche Entwicklungstechnologien verwenden. Das Segment Performance Materials &amp; Coatings umfasst zwei globale Geschäftsbereiche: Coatings &amp; Performance Monomers und Consumer Solutions.</v>
    <v>0.49509999999999998</v>
    <v>29281313386</v>
    <v>New York Stock Exchange</v>
    <v>XNYS</v>
    <v>XNYS</v>
    <v>2211 H.H. Dow Way, MIDLAND, MI, 48674 US</v>
    <v>41.755000000000003</v>
    <v>Chemicals</v>
    <v>Aktie</v>
    <v>19</v>
    <v>46113.999660659378</v>
    <v>34600</v>
    <v>Dow Inc.</v>
    <v>39.585000000000001</v>
    <v>Dow Inc.</v>
    <v>41.59</v>
    <v>40.69</v>
    <v>41.65</v>
    <v>DOW</v>
    <v>Dow Inc. (XNYS:DOW)</v>
    <v>2018</v>
    <v>16315</v>
    <v>15662514</v>
    <v>USD</v>
  </rv>
  <rv s="2">
    <v>20</v>
  </rv>
  <rv s="3">
    <fb>40.82</fb>
    <v>6</v>
  </rv>
  <rv s="0">
    <v>https://www.bing.com/financeapi/forcetrigger?t=a1pidm&amp;q=XNYS%3aCF&amp;form=skydnc</v>
    <v>Learn more on Bing</v>
  </rv>
  <rv s="1">
    <v>0</v>
    <v>1</v>
    <v>CF INDUSTRIES HOLDINGS, INC. (XNYS:CF)</v>
    <v>3</v>
    <v>4</v>
    <v>Finance</v>
    <v>5</v>
    <v>de-DE</v>
    <v>a1pidm</v>
    <v>268435456</v>
    <v>1</v>
    <v>Unterstützt von Refinitiv</v>
    <v>141.96</v>
    <v>67.34</v>
    <v>-1.86</v>
    <v>-1.4325000000000001E-2</v>
    <v>153616400</v>
    <v>CF Industries Holdings, Inc. Ist ein weltweit tätiger Hersteller von Wasserstoff- und Stickstoffprodukten. Das Unternehmen konzentriert sich auf die Dekarbonisierung seines Ammoniakproduktionsnetzes, um kohlenstoffarme Wasserstoff- und Stickstoffprodukte für Energie, Düngemittel, Emissionsminderung und andere industrielle Aktivitäten zu ermöglichen. Zu den Segmenten des Unternehmens gehören Ammoniak, Granulatharnstoff, HAN, AN und andere. Das Ammoniaksegment produziert wasserfreies Ammoniak (Ammoniak), das von ihm hergestellte Basisprodukt (82 % Stickstoff und 18 % Wasserstoff). Das Segment granulares Harnstoff produziert granularen Harnstoff, der 46 % Stickstoff enthält. Im Segment HAN wird Harnstoff-Ammoniumnitratlösung (HAN) hergestellt. EIN Segment produziert Ammoniumnitrat (AN). Das andere Segment umfasst hauptsächlich Produkte wie Diesel Exhaust Fluid (DEF), Harnstofflauge und Salpetersäure. Seine Fertigungskomplexe in den USA, Kanada und Großbritannien, ein Lager-, Transport- und Vertriebsnetz in Nordamerika sowie Logistikfunktionen ermöglichen eine globale Reichweite.</v>
    <v>0.51600000000000001</v>
    <v>19659826872</v>
    <v>New York Stock Exchange</v>
    <v>XNYS</v>
    <v>XNYS</v>
    <v>2375 Waterview Drive, NORTHBROOK, IL, 60062 US</v>
    <v>129.65</v>
    <v>Chemicals</v>
    <v>Aktie</v>
    <v>14.226000000000001</v>
    <v>23</v>
    <v>46113.99780131875</v>
    <v>2900</v>
    <v>CF INDUSTRIES HOLDINGS, INC.</v>
    <v>124.5</v>
    <v>CF INDUSTRIES HOLDINGS, INC.</v>
    <v>127.45</v>
    <v>127.98</v>
    <v>129.84</v>
    <v>CF</v>
    <v>CF INDUSTRIES HOLDINGS, INC. (XNYS:CF)</v>
    <v>2005</v>
    <v>17347</v>
    <v>6659165</v>
    <v>USD</v>
  </rv>
  <rv s="2">
    <v>24</v>
  </rv>
  <rv s="3">
    <fb>136.44999999999999</fb>
    <v>6</v>
  </rv>
  <rv s="0">
    <v>https://www.bing.com/financeapi/forcetrigger?t=a1zez2&amp;q=XNYS%3aOXY&amp;form=skydnc</v>
    <v>Learn more on Bing</v>
  </rv>
  <rv s="1">
    <v>0</v>
    <v>1</v>
    <v>OCCIDENTAL PETROLEUM CORPORATION (XNYS:OXY)</v>
    <v>3</v>
    <v>4</v>
    <v>Finance</v>
    <v>5</v>
    <v>de-DE</v>
    <v>a1zez2</v>
    <v>268435456</v>
    <v>1</v>
    <v>Unterstützt von Refinitiv</v>
    <v>67.45</v>
    <v>34.784999999999997</v>
    <v>-2.77</v>
    <v>-4.2615E-2</v>
    <v>991695200</v>
    <v>Die Occidental Petroleum Corporation ist ein internationales Energieunternehmen mit Vermögenswerten in den USA, im Nahen Osten und in Nordafrika. Das Unternehmen ist ein Öl- und Gasproduzent in den Vereinigten Staaten, einschließlich eines Produzenten im Perm- und DJ-Becken und im Golf von Mexiko. Das Unternehmen ist in drei Segmenten tätig: Öl und Gas, Chemie und Midstream sowie Marketing. Das Öl- und Gassegment erforscht, entwickelt und produziert Öl (einschließlich Kondensat), Erdgasflüssigkeiten (NGL) und Erdgas. Das Segment Chemie produziert und vermarktet hauptsächlich Basischemikalien und Vinyl. Das Midstream- und Marketingsegment Einkäufe, Märkte, Sammlungen, Prozesse, Transporte, und speichert Öl (einschließlich Kondensat), NGL, Erdgas, Kohlendioxid (CO2) und Strom. Das Midstream- und Marketing-Segment bietet eine Flusssicherung und maximiert den Wert von Öl und Gas. Darüber hinaus optimiert es seine Transport- und Lagerkapazitäten und investiert in Unternehmen, die ähnliche Tätigkeiten ausüben.</v>
    <v>0.23039999999999999</v>
    <v>61713192296</v>
    <v>New York Stock Exchange</v>
    <v>XNYS</v>
    <v>XNYS</v>
    <v>5 GREENWAY PLAZA, SUITE 110, HOUSTON, TX, 77046 US</v>
    <v>65.569999999999993</v>
    <v>Oil &amp; Gas</v>
    <v>Aktie</v>
    <v>46.082000000000001</v>
    <v>27</v>
    <v>46113.999998286716</v>
    <v>10412</v>
    <v>OCCIDENTAL PETROLEUM CORPORATION</v>
    <v>61.17</v>
    <v>OCCIDENTAL PETROLEUM CORPORATION</v>
    <v>64.08</v>
    <v>62.23</v>
    <v>65</v>
    <v>OXY</v>
    <v>OCCIDENTAL PETROLEUM CORPORATION (XNYS:OXY)</v>
    <v>1986</v>
    <v>216225</v>
    <v>21348092</v>
    <v>USD</v>
  </rv>
  <rv s="2">
    <v>28</v>
  </rv>
  <rv s="3">
    <fb>65.319999999999993</fb>
    <v>6</v>
  </rv>
  <rv s="0">
    <v>https://www.bing.com/financeapi/forcetrigger?t=a24fh7&amp;q=XNYS%3aTPL&amp;form=skydnc</v>
    <v>Learn more on Bing</v>
  </rv>
  <rv s="1">
    <v>0</v>
    <v>1</v>
    <v>TEXAS PACIFIC LAND CORPORATION (XNYS:TPL)</v>
    <v>3</v>
    <v>4</v>
    <v>Finance</v>
    <v>5</v>
    <v>de-DE</v>
    <v>a24fh7</v>
    <v>268435456</v>
    <v>1</v>
    <v>Unterstützt von Refinitiv</v>
    <v>547.20000000000005</v>
    <v>269.23309999999998</v>
    <v>-35.36</v>
    <v>-7.4511000000000008E-2</v>
    <v>68941550</v>
    <v>Die Texas Pacific Land Corporation ist ein Landbesitzer im Bundesstaat Texas mit etwa 873.000 Hektar Land, hauptsächlich im Permian Basin. Das Unternehmen ist in zwei Segmenten tätig: Land- und Ressourcenmanagement sowie Wasserdienstleistungen und -Betrieb. Das Segment Land and Resource Management umfasst die Verwaltung von rund 873.000 Hektar Land und rund 207.000 NRA an Lizenzgebühren für Öl und Gas, die sich hauptsächlich im Permischen Becken befinden. Dieses Segment umfasst Lizenzgebühren aus Öl und Gas, Einnahmen aus Dienstgütern, gewerblichen Mietverhältnissen und erneuerbaren Energien sowie Verkauf von Grundstücken und Materialien. Das Segment Water Services and Operations ist im Bereich der Bereitstellung von Vollservice-Wasserangeboten für Betreiber im Permian Basin über seine hundertprozentige Tochtergesellschaft Texas Pacific Water Resources LLC (TPWR) tätig. Zu diesen umfassenden Wasserangeboten gehören Wasserbeschaffung, Abwasseraufbereitung, Infrastrukturentwicklung und Entsorgungslösungen.</v>
    <v>0.76370000000000005</v>
    <v>30279128760</v>
    <v>New York Stock Exchange</v>
    <v>XNYS</v>
    <v>XNYS</v>
    <v>2699 Howell Street, Suite 800, DALLAS, TX, 75204 US</v>
    <v>474.839</v>
    <v>Oil &amp; Gas</v>
    <v>Aktie</v>
    <v>62.982399999999998</v>
    <v>31</v>
    <v>46113.99861524297</v>
    <v>114</v>
    <v>TEXAS PACIFIC LAND CORPORATION</v>
    <v>438.78</v>
    <v>TEXAS PACIFIC LAND CORPORATION</v>
    <v>465</v>
    <v>439.2</v>
    <v>474.56</v>
    <v>TPL</v>
    <v>TEXAS PACIFIC LAND CORPORATION (XNYS:TPL)</v>
    <v>2020</v>
    <v>142</v>
    <v>541456</v>
    <v>USD</v>
  </rv>
  <rv s="2">
    <v>32</v>
  </rv>
  <rv s="3">
    <fb>511.75</fb>
    <v>6</v>
  </rv>
  <rv s="0">
    <v>http://en.wikipedia.org/wiki/Public_domain</v>
    <v>Public domain</v>
  </rv>
  <rv s="0">
    <v>http://en.wikipedia.org/wiki/Western_Digital</v>
    <v>Wikipedia</v>
  </rv>
  <rv s="6">
    <v>35</v>
    <v>36</v>
  </rv>
  <rv s="7">
    <v>18</v>
    <v>https://www.bing.com/th?id=AMMS_b9efb984265253a027f300c3dcbbcbc0&amp;qlt=95</v>
    <v>37</v>
    <v>0</v>
    <v>https://www.bing.com/images/search?form=xlimg&amp;q=western+digital</v>
    <v>Image of WESTERN DIGITAL CORPORATION</v>
  </rv>
  <rv s="0">
    <v>https://www.bing.com/financeapi/forcetrigger?t=a25rnm&amp;q=XNAS%3aWDC&amp;form=skydnc</v>
    <v>Learn more on Bing</v>
  </rv>
  <rv s="8">
    <v>13</v>
    <v>14</v>
    <v>WESTERN DIGITAL CORPORATION (XNAS:WDC)</v>
    <v>16</v>
    <v>17</v>
    <v>Finance</v>
    <v>5</v>
    <v>de-DE</v>
    <v>a25rnm</v>
    <v>268435456</v>
    <v>1</v>
    <v>Unterstützt von Refinitiv</v>
    <v>319.62</v>
    <v>28.83</v>
    <v>27.24</v>
    <v>0.100706</v>
    <v>339037900</v>
    <v>WESTERN Digital Corporation ist Entwickler, Hersteller und Anbieter von Datenspeichergeräten und -Lösungen, die sowohl auf Festplatten- als auch auf NAND-Flash-Technologien basieren. Das Unternehmen produziert, vermarktet und verkauft Datenspeichergeräte und -Lösungen in den USA und im Ausland über seine Vertriebspersonal, Händler, Distributoren, Einzelhändler und Tochtergesellschaften. Es verwaltet und erstellt Berichte in zwei Segmenten: Festplattenlaufwerke (HDD) und Flash-basierte Produkte (Flash). Sein Portfolio an Technologien und Produkten richtet sich an verschiedene Endmärkte: Cloud, Client und Consumer. Die Cloud besteht hauptsächlich aus Produkten für öffentliche oder private Cloud-Umgebungen und Endkunden. Über den Client End Market bietet es seinen OEM- und Channel-Kunden eine Reihe von Festplatten- und Flash-Lösungen für PCs, Mobilgeräte, Spiele, Automobil, Virtual-Reality-Headsets, Home Entertainment und Industriebereiche. Der Endmarkt für Endverbraucher bietet eine Reihe von Einzelhandels- und anderen Endverbraucherprodukten an.</v>
    <v>1.7789999999999999</v>
    <v>38</v>
    <v>100941753967</v>
    <v>Nasdaq Stock Market</v>
    <v>XNAS</v>
    <v>XNAS</v>
    <v>5601 Great Oaks Parkway, SAN JOSE, CA, 95119 US</v>
    <v>304.95</v>
    <v>Computers, Phones &amp; Household Electronics</v>
    <v>Aktie</v>
    <v>28.1418</v>
    <v>39</v>
    <v>46113.999808818749</v>
    <v>40000</v>
    <v>WESTERN DIGITAL CORPORATION</v>
    <v>280.5</v>
    <v>WESTERN DIGITAL CORPORATION</v>
    <v>280.5</v>
    <v>297.73</v>
    <v>270.49</v>
    <v>WDC</v>
    <v>WESTERN DIGITAL CORPORATION (XNAS:WDC)</v>
    <v>2000</v>
    <v>26312</v>
    <v>9049745</v>
    <v>USD</v>
  </rv>
  <rv s="2">
    <v>40</v>
  </rv>
  <rv s="3">
    <fb>275.33999999999997</fb>
    <v>6</v>
  </rv>
  <rv s="0">
    <v>https://www.bing.com/financeapi/forcetrigger?t=bo5fpr&amp;q=XNAS%3aMRNA&amp;form=skydnc</v>
    <v>Learn more on Bing</v>
  </rv>
  <rv s="1">
    <v>0</v>
    <v>1</v>
    <v>MODERNA, INC. (XNAS:MRNA)</v>
    <v>3</v>
    <v>4</v>
    <v>Finance</v>
    <v>5</v>
    <v>de-DE</v>
    <v>bo5fpr</v>
    <v>268435456</v>
    <v>1</v>
    <v>Unterstützt von Refinitiv</v>
    <v>59.55</v>
    <v>22.28</v>
    <v>-0.77</v>
    <v>-1.5157E-2</v>
    <v>396586900</v>
    <v>Moderna, Inc. Ist ein Biotechnologieunternehmen. Das Unternehmen entwickelt eine neue Klasse von Arzneimitteln, die aus Botenstoff Ribonukleinsäure (mRNA) hergestellt werden. Es entwickelt Therapeutika und Impfstoffe für Infektionskrankheiten, Immunonkologie, seltene Krankheiten und Autoimmunerkrankungen. MRNA-Arzneimittel sollen die Zellen des Körpers dazu bringen, intrazelluläre, membranförmige oder sezernierte Proteine zu produzieren, die einen therapeutischen oder präventiven Nutzen mit dem Potenzial haben, ein Spektrum von Krankheiten zu behandeln. Die vielfältige Entwicklungspipeline des Unternehmens besteht aus 44 therapeutischen und Impfprogrammen, von denen 11 sich in der späten Entwicklungsphase befinden. Zu den kommerziellen Produkten gehören Spikevax (sein COVID-Impfstoff) und mRESVIA (sein Respiratory Syncytial Virus (RSV)-Impfstoff). Darüber hinaus hat es vier positive Phase-III-Daten für seinen COVID-Impfstoff (mRNA-1283), seinen RSV-Impfstoff für Hochrisiko-Erwachsene im Alter von 18 bis 59 Jahren (mRNA-1345), seinen saisonalen Grippe+COVID-Impfstoff (mRNA-1083) und seinen saisonalen Grippeimpfstoff (mRNA-1010) erreicht.</v>
    <v>1.3358000000000001</v>
    <v>19841242607</v>
    <v>Nasdaq Stock Market</v>
    <v>XNAS</v>
    <v>XNAS</v>
    <v>325 BINNEY STREET, Cambridge, MA, 02142 US</v>
    <v>52.78</v>
    <v>Pharmaceuticals</v>
    <v>Aktie</v>
    <v>0</v>
    <v>43</v>
    <v>46113.997726006251</v>
    <v>4700</v>
    <v>MODERNA, INC.</v>
    <v>49.58</v>
    <v>MODERNA, INC.</v>
    <v>51.64</v>
    <v>50.03</v>
    <v>50.8</v>
    <v>MRNA</v>
    <v>MODERNA, INC. (XNAS:MRNA)</v>
    <v>2016</v>
    <v>7241</v>
    <v>8522770</v>
    <v>USD</v>
  </rv>
  <rv s="2">
    <v>44</v>
  </rv>
  <rv s="3">
    <fb>49.56</fb>
    <v>6</v>
  </rv>
  <rv s="0">
    <v>https://www.bing.com/financeapi/forcetrigger?t=a1pffr&amp;q=XNYS%3aCE&amp;form=skydnc</v>
    <v>Learn more on Bing</v>
  </rv>
  <rv s="5">
    <v>10</v>
    <v>11</v>
    <v>CELANESE CORPORATION (XNYS:CE)</v>
    <v>3</v>
    <v>12</v>
    <v>Finance</v>
    <v>5</v>
    <v>de-DE</v>
    <v>a1pffr</v>
    <v>268435456</v>
    <v>1</v>
    <v>Unterstützt von Refinitiv</v>
    <v>67.819999999999993</v>
    <v>35.130000000000003</v>
    <v>-2.2200000000000002</v>
    <v>-3.3753999999999999E-2</v>
    <v>111922800</v>
    <v>Celanese Corporation ist ein weltweit tätiges Unternehmen für Chemie- und Spezialmaterialien. Das Unternehmen ist ein weltweit tätiger Hersteller von technischen Polymeren, die in einer Vielzahl von Anwendungen eingesetzt werden. Zu den Segmenten gehören Engineered Materials und die Acetylkette. Das Segment Engineered Materials des Unternehmens umfasst den Geschäftsbereich Engineered Materials und bestimmte strategische Tochtergesellschaften. Der Geschäftsbereich Engineered Materials entwickelt, produziert und liefert ein breites Portfolio an Hochleistungs-Spezialpolymeren für Automobil- und Medizinanwendungen sowie Industrieprodukte und Unterhaltungselektronik. Das Segment Acetyl Chain des Unternehmens umfasst die integrierte Kette von Essigsäure, Vinylacetatmonomer (VAM), Essigsäureanhydrid, Acetatestern, Emulsionspolymeren, Ethylenvinylacetat (EVA)-Polymeren, Redispersionspulvern (RDP) und Acetatschleppen. Der Geschäftsbereich Acetyl Chain produziert und liefert Acetylprodukte, einschließlich Essigsäure, VAM, Essigsäureanhydrid und Acetatester.</v>
    <v>0.84789999999999999</v>
    <v>7112693940</v>
    <v>New York Stock Exchange</v>
    <v>XNYS</v>
    <v>XNYS</v>
    <v>222 W. Las Colinas Blvd., Suite 900N, IRVING, TX, 75039-5421 US</v>
    <v>65.254999999999995</v>
    <v>Chemicals</v>
    <v>Aktie</v>
    <v>47</v>
    <v>46113.988543888285</v>
    <v>11434</v>
    <v>CELANESE CORPORATION</v>
    <v>62.33</v>
    <v>CELANESE CORPORATION</v>
    <v>65.14</v>
    <v>63.55</v>
    <v>65.77</v>
    <v>CE</v>
    <v>CELANESE CORPORATION (XNYS:CE)</v>
    <v>2004</v>
    <v>1235</v>
    <v>2856555</v>
    <v>USD</v>
  </rv>
  <rv s="2">
    <v>48</v>
  </rv>
  <rv s="3">
    <fb>63.41</fb>
    <v>6</v>
  </rv>
  <rv s="0">
    <v>https://www.bing.com/financeapi/forcetrigger?t=a25e77&amp;q=XNYS%3aVLO&amp;form=skydnc</v>
    <v>Learn more on Bing</v>
  </rv>
  <rv s="1">
    <v>0</v>
    <v>1</v>
    <v>VALERO ENERGY CORPORATION (XNYS:VLO)</v>
    <v>3</v>
    <v>4</v>
    <v>Finance</v>
    <v>5</v>
    <v>de-DE</v>
    <v>a25e77</v>
    <v>268435456</v>
    <v>1</v>
    <v>Unterstützt von Refinitiv</v>
    <v>258.42989999999998</v>
    <v>99</v>
    <v>-5.62</v>
    <v>-2.2745999999999999E-2</v>
    <v>298953700</v>
    <v>Die Valero Energy Corporation ist über ihre Tochtergesellschaften ein multinationaler Hersteller und Vermarkter von flüssigen Transportkraftstoffen auf Erdölbasis und kohlenstoffarmen Kohlenwasserstoffen sowie petrochemischen Produkten. Das Unternehmen verkauft seine Produkte hauptsächlich in den USA, Kanada, Großbritannien, Irland und Lateinamerika. Das Unternehmen ist in drei Segmenten tätig: Raffination, erneuerbarer Diesel und Ethanol. Das Segment Raffinerie umfasst den Betrieb seiner Erdölraffinerien, die damit verbundenen Aktivitäten zur Vermarktung seiner raffinierten Erdölprodukte und die Logistikanlagen, die diese Tätigkeiten unterstützen. Das Segment Renewable Diesel umfasst die Aktivitäten von Diamond Green Diesel (DGD) und die damit verbundenen Aktivitäten zur Vermarktung von erneuerbarem Diesel und erneuerbarem Naphtha. Das Segment Ethanol umfasst die Tätigkeiten seiner Ethanolanlagen und die damit verbundenen Aktivitäten zur Vermarktung von Ethanol und Nebenprodukten. Das Unternehmen besitzt über 15 Erdölraffinerien in den USA, Kanada und Großbritannien.</v>
    <v>0.61250000000000004</v>
    <v>72185360402</v>
    <v>New York Stock Exchange</v>
    <v>XNYS</v>
    <v>XNYS</v>
    <v>P.O. Box 696000, SAN ANTONIO, TX, 78269-6000 US</v>
    <v>245.01</v>
    <v>Oil &amp; Gas</v>
    <v>Aktie</v>
    <v>31.5745</v>
    <v>51</v>
    <v>46113.999406885938</v>
    <v>9785</v>
    <v>VALERO ENERGY CORPORATION</v>
    <v>235.69</v>
    <v>VALERO ENERGY CORPORATION</v>
    <v>242.75</v>
    <v>241.46</v>
    <v>247.08</v>
    <v>VLO</v>
    <v>VALERO ENERGY CORPORATION (XNYS:VLO)</v>
    <v>1981</v>
    <v>1179</v>
    <v>4710108</v>
    <v>USD</v>
  </rv>
  <rv s="2">
    <v>52</v>
  </rv>
  <rv s="3">
    <fb>254.32</fb>
    <v>6</v>
  </rv>
  <rv s="0">
    <v>https://www.bing.com/financeapi/forcetrigger?t=a1tym7&amp;q=XNYS%3aGLW&amp;form=skydnc</v>
    <v>Learn more on Bing</v>
  </rv>
  <rv s="1">
    <v>0</v>
    <v>1</v>
    <v>CORNING INCORPORATED (XNYS:GLW)</v>
    <v>3</v>
    <v>4</v>
    <v>Finance</v>
    <v>5</v>
    <v>de-DE</v>
    <v>a1tym7</v>
    <v>268435456</v>
    <v>1</v>
    <v>Unterstützt von Refinitiv</v>
    <v>162.09989999999999</v>
    <v>37.31</v>
    <v>6.41</v>
    <v>4.7142999999999997E-2</v>
    <v>859014800</v>
    <v>Corning Incorporated ist ein innovatives Unternehmen in der Materialwissenschaft. Zu seinen Segmenten gehören optische Kommunikation, Display-Technologien, Spezialmaterialien, Umwelttechnologien und Biowissenschaften. Das Segment Optische Kommunikation stellt Komponenten für Betreibernetze und Unternehmensnetze für die Telekommunikationsbranche her. Das Segment Display Technologies stellt Glassubstrate für Flachbildschirme her, darunter Flüssigkristallanzeigen und organische Leuchtdioden. Das Segment Specialty Materials stellt Produkte her, die Materialformulierungen für Glas, Glaskeramik und Fluoridkristalle für Kundenbedürfnisse bieten. Das Segment Environmental Technologies stellt keramische Substrate und Filter für Emissionskontrollsysteme in mobilen Anwendungen her. Das Segment Biowissenschaften entwickelt, fertigt und liefert Laborprodukte, darunter Laborgeräte, Ausrüstungen, Medien, Serum und Reagenzien, die Workflow-Lösungen für die Arzneimittelforschung und Bioproduktion ermöglichen.</v>
    <v>1.0529999999999999</v>
    <v>122306527224</v>
    <v>New York Stock Exchange</v>
    <v>XNYS</v>
    <v>XNYS</v>
    <v>One Riverfront Plaza, CORNING, NY, 14831 US</v>
    <v>144.69999999999999</v>
    <v>Electronic Equipment &amp; Parts</v>
    <v>Aktie</v>
    <v>77.518199999999993</v>
    <v>55</v>
    <v>46113.999880138283</v>
    <v>67200</v>
    <v>CORNING INCORPORATED</v>
    <v>137.9</v>
    <v>CORNING INCORPORATED</v>
    <v>138</v>
    <v>142.38</v>
    <v>135.97</v>
    <v>GLW</v>
    <v>CORNING INCORPORATED (XNYS:GLW)</v>
    <v>1936</v>
    <v>53800</v>
    <v>13895740</v>
    <v>USD</v>
  </rv>
  <rv s="2">
    <v>56</v>
  </rv>
  <rv s="3">
    <fb>136.81</fb>
    <v>6</v>
  </rv>
  <rv s="0">
    <v>https://www.bing.com/financeapi/forcetrigger?t=a244ur&amp;q=XNAS%3aTER&amp;form=skydnc</v>
    <v>Learn more on Bing</v>
  </rv>
  <rv s="1">
    <v>0</v>
    <v>1</v>
    <v>TERADYNE, INC. (XNAS:TER)</v>
    <v>3</v>
    <v>4</v>
    <v>Finance</v>
    <v>5</v>
    <v>de-DE</v>
    <v>a244ur</v>
    <v>268435456</v>
    <v>1</v>
    <v>Unterstützt von Refinitiv</v>
    <v>344.91500000000002</v>
    <v>65.77</v>
    <v>15.74</v>
    <v>5.3093000000000001E-2</v>
    <v>156559400</v>
    <v>Teradyne, Inc. Ist ein globaler Anbieter von automatisierten Testgeräten und Robotiklösungen. Das Unternehmen entwirft, entwickelt, produziert und verkauft automatisierte Testsysteme und Robotikprodukte. Das Segment umfasst Halbleitertest, Robotik und Produkttest. Das Segment Halbleitertest umfasst Tätigkeiten im Zusammenhang mit der Entwicklung, Herstellung und Vermarktung von Halbleitertestprodukten und -Dienstleistungen, einschließlich Speicher- und Testprodukten auf Systemebene. Das Segment Robotik umfasst Tätigkeiten im Zusammenhang mit der Entwicklung, Herstellung und Vermarktung von kollaborativen Roboterarmen und autonomen mobilen Robotern. Das Segment Product Test umfasst Aktivitäten im Zusammenhang mit der Entwicklung, Herstellung und Vermarktung von Produkten und Dienstleistungen für Verteidigungs-/Luft- und Raumfahrttests, Leiterplattentests, drahtlose Testsysteme und Silizium-Photonik-Tests. Das Angebot umfasst auch Prüfgeräte und -Systeme für die Verteidigung/Luft- und Raumfahrt, Test- und Inspektionssysteme für Leiterplatten (Produktionsplatinen-Test) und drahtlose Testsysteme.</v>
    <v>1.7945</v>
    <v>48877844680</v>
    <v>Nasdaq Stock Market</v>
    <v>XNAS</v>
    <v>XNAS</v>
    <v>600 Riverpark Dr, NORTH READING, MA, 01864-2634 US</v>
    <v>316.81</v>
    <v>Semiconductors &amp; Semiconductor Equipment</v>
    <v>Aktie</v>
    <v>89.636099999999999</v>
    <v>59</v>
    <v>46113.998173020314</v>
    <v>6600</v>
    <v>TERADYNE, INC.</v>
    <v>300.3</v>
    <v>TERADYNE, INC.</v>
    <v>301.97000000000003</v>
    <v>312.2</v>
    <v>296.45999999999998</v>
    <v>TER</v>
    <v>TERADYNE, INC. (XNAS:TER)</v>
    <v>1960</v>
    <v>4347</v>
    <v>3459253</v>
    <v>USD</v>
  </rv>
  <rv s="2">
    <v>60</v>
  </rv>
  <rv s="3">
    <fb>295.61</fb>
    <v>6</v>
  </rv>
  <rv s="0">
    <v>https://www.bing.com/financeapi/forcetrigger?t=a1rew7&amp;q=XNYS%3aDVN&amp;form=skydnc</v>
    <v>Learn more on Bing</v>
  </rv>
  <rv s="1">
    <v>0</v>
    <v>1</v>
    <v>DEVON ENERGY CORPORATION (XNYS:DVN)</v>
    <v>3</v>
    <v>4</v>
    <v>Finance</v>
    <v>5</v>
    <v>de-DE</v>
    <v>a1rew7</v>
    <v>268435456</v>
    <v>1</v>
    <v>Unterstützt von Refinitiv</v>
    <v>52.71</v>
    <v>25.89</v>
    <v>-1.73</v>
    <v>-3.4380000000000001E-2</v>
    <v>621440300</v>
    <v>Die Devon Energy Corporation ist ein Öl- und Gasproduzent in den Vereinigten Staaten mit einem diversifizierten Portfolio an mehreren Becken, das durch eine Anbaufläche im Delaware Basin gekennzeichnet ist. Das Unternehmen ist in erster Linie in der Exploration, Erschließung und Produktion von Erdöl, Erdgas und Erdgasflüssigkeiten (NGL) tätig. Sie besitzt ein Portfolio von Vermögenswerten im Delaware Basin, Rockies, Eagle Ford und Anadarko Basin. Das Delaware Basin operiert im Südosten von New Mexico und über die Staatsgrenze bis nach West Texas. Es bietet Explorations- und Erschließungsmöglichkeiten aus vielen geologischen Reservoirs und Spielarten, darunter die ölreichen Formationen Wolfcamp, Bone Spring, Avalon und Delaware. Die Entwicklung der Rockies umfasst das Williston Basin und das Powder River Basin. Der Betrieb von Eagle Ford befindet sich im DeWitt County und Karnes County in Texas. Das Anadarko Basin liegt im westlichen Oklahoma. Es hat ein Joint Venture mit Dow, um einen Teil des Anadarko Basin Areage zu erschließen.</v>
    <v>0.52580000000000005</v>
    <v>30195784177</v>
    <v>New York Stock Exchange</v>
    <v>XNYS</v>
    <v>XNYS</v>
    <v>333 W. SHERIDAN AVENUE, OKLAHOMA CITY, OK, 73102 US</v>
    <v>49.82</v>
    <v>Oil &amp; Gas</v>
    <v>Aktie</v>
    <v>11.633800000000001</v>
    <v>63</v>
    <v>46113.998786793753</v>
    <v>2200</v>
    <v>DEVON ENERGY CORPORATION</v>
    <v>47.64</v>
    <v>DEVON ENERGY CORPORATION</v>
    <v>49.1</v>
    <v>48.59</v>
    <v>50.32</v>
    <v>DVN</v>
    <v>DEVON ENERGY CORPORATION (XNYS:DVN)</v>
    <v>1999</v>
    <v>26736</v>
    <v>17863801</v>
    <v>USD</v>
  </rv>
  <rv s="2">
    <v>64</v>
  </rv>
  <rv s="3">
    <fb>52.07</fb>
    <v>6</v>
  </rv>
  <rv s="0">
    <v>https://www.bing.com/financeapi/forcetrigger?t=a1ufm7&amp;q=XNYS%3aHAL&amp;form=skydnc</v>
    <v>Learn more on Bing</v>
  </rv>
  <rv s="1">
    <v>0</v>
    <v>1</v>
    <v>HALLIBURTON COMPANY (XNYS:HAL)</v>
    <v>3</v>
    <v>4</v>
    <v>Finance</v>
    <v>5</v>
    <v>de-DE</v>
    <v>a1ufm7</v>
    <v>268435456</v>
    <v>1</v>
    <v>Unterstützt von Refinitiv</v>
    <v>41.18</v>
    <v>18.72</v>
    <v>-0.99</v>
    <v>-2.5391E-2</v>
    <v>837548300</v>
    <v>Halliburton Company ist ein Anbieter von Produkten und Dienstleistungen für die Energiewirtschaft. Das Unternehmen ist in zwei Segmenten tätig: Fertigstellung und Produktion sowie Bohrungen und Evaluierung. Das Segment Completion and Production bietet Zementierung, Stimulation, Spezialchemikalien, Intervention, Druckkontrolle, künstliche Hebebühne sowie Fertigungsprodukte und -Dienstleistungen. Das Segment umfasst künstliche Hebebühnen, Zementierung, Fertigstellungswerkzeuge, Pipeline- und Prozessdienstleistungen, Produktionsverbesserung und Produktionslösungen. Das Segment Bohren und Evaluierung bietet Lösungen für Feld- und Reservoirmodellierung, Bohrflüssigkeiten, Evaluierung und präzise Bohrlochplatzierung, mit denen Kunden ihre Bohrlochbauaktivitäten modellieren, messen, bohren und optimieren können. Zu den Produktservicelinien gehören Baroid, Bohrer und Dienstleistungen, Halliburton Projektmanagement, Landmark Software und Services, Sperry Bohren, Testen und Unterwasser- und Drahtlocharbeiten.</v>
    <v>0.69320000000000004</v>
    <v>31826835400</v>
    <v>New York Stock Exchange</v>
    <v>XNYS</v>
    <v>XNYS</v>
    <v>3000 North Sam Houston Parkway East, HOUSTON, TX, 77032 US</v>
    <v>38.799999999999997</v>
    <v>Oil &amp; Gas Related Equipment and Services</v>
    <v>Aktie</v>
    <v>25.264299999999999</v>
    <v>67</v>
    <v>46113.999349571095</v>
    <v>46000</v>
    <v>HALLIBURTON COMPANY</v>
    <v>37.634999999999998</v>
    <v>HALLIBURTON COMPANY</v>
    <v>38.47</v>
    <v>38</v>
    <v>38.99</v>
    <v>HAL</v>
    <v>HALLIBURTON COMPANY (XNYS:HAL)</v>
    <v>1996</v>
    <v>4141</v>
    <v>17825445</v>
    <v>USD</v>
  </rv>
  <rv s="2">
    <v>68</v>
  </rv>
  <rv s="3">
    <fb>40.42</fb>
    <v>6</v>
  </rv>
  <rv s="0">
    <v>https://www.bing.com/financeapi/forcetrigger?t=a1q5nm&amp;q=XNYS%3aCOP&amp;form=skydnc</v>
    <v>Learn more on Bing</v>
  </rv>
  <rv s="1">
    <v>0</v>
    <v>1</v>
    <v>CONOCOPHILLIPS (XNYS:COP)</v>
    <v>3</v>
    <v>4</v>
    <v>Finance</v>
    <v>5</v>
    <v>de-DE</v>
    <v>a1q5nm</v>
    <v>268435456</v>
    <v>1</v>
    <v>Unterstützt von Refinitiv</v>
    <v>135.87</v>
    <v>79.88</v>
    <v>-3.62</v>
    <v>-2.7424E-2</v>
    <v>1218853000</v>
    <v>ConocoPhillips ist ein Explorations- und Produktionsunternehmen. Das Segment Alaska umfasst in erster Linie die Erkundung, Förderung, den Transport und die Vermarktung von Erdöl, Erdgas und NGL. Das Segment Lower 48 besteht aus Betrieben in den 48 zusammenhängenden Bundesstaaten der Vereinigten Staaten und im Golf von Mexiko. Die kanadischen Aktivitäten bestehen aus der Erschließung der Surmont-Ölsandvorkommen in Alberta, dem flüssigkeitsreichen unkonventionellen Montney-Vorkommen in British Columbia und den kommerziellen Aktivitäten. Das Segment Europa, Naher Osten und Nordafrika besteht aus Betrieben, die hauptsächlich im norwegischen Teil der Nordsee, in der Norwegischen See, in Katar, Libyen und Äquatorialguinea angesiedelt sind, sowie aus kommerziellen Betrieben und Terminals im Vereinigten Königreich. Das Segment Asien-Pazifik umfasst Explorations- und Produktionsaktivitäten in China, Malaysia und Australien sowie kommerzielle Aktivitäten in China, Singapur und Japan. Das Segment Sonstiges Ausland umfasst Beteiligungen in Kolumbien sowie Eventualverbindlichkeiten im Zusammenhang mit früheren Tätigkeiten in anderen Ländern.</v>
    <v>0.19270000000000001</v>
    <v>156476348140</v>
    <v>New York Stock Exchange</v>
    <v>XNYS</v>
    <v>XNYS</v>
    <v>925 N. Eldridge Parkway, HOUSTON, TX, 77079-2703 US</v>
    <v>129.93</v>
    <v>Oil &amp; Gas</v>
    <v>Aktie</v>
    <v>20.2712</v>
    <v>71</v>
    <v>46113.999985821094</v>
    <v>9900</v>
    <v>CONOCOPHILLIPS</v>
    <v>126.44</v>
    <v>CONOCOPHILLIPS</v>
    <v>128.14500000000001</v>
    <v>128.38</v>
    <v>132</v>
    <v>COP</v>
    <v>CONOCOPHILLIPS (XNYS:COP)</v>
    <v>2001</v>
    <v>16948</v>
    <v>11591601</v>
    <v>USD</v>
  </rv>
  <rv s="2">
    <v>72</v>
  </rv>
  <rv s="3">
    <fb>133.80000000000001</fb>
    <v>6</v>
  </rv>
  <rv s="0">
    <v>https://www.bing.com/financeapi/forcetrigger?t=a1vgar&amp;q=XNAS%3aIIVI&amp;form=skydnc</v>
    <v>Learn more on Bing</v>
  </rv>
  <rv s="1">
    <v>0</v>
    <v>1</v>
    <v>Coherent Corp. (XNYS:COHR)</v>
    <v>3</v>
    <v>4</v>
    <v>Finance</v>
    <v>5</v>
    <v>de-DE</v>
    <v>a1vgar</v>
    <v>268435456</v>
    <v>1</v>
    <v>Unterstützt von Refinitiv</v>
    <v>300.2</v>
    <v>45.58</v>
    <v>9.59</v>
    <v>4.0259000000000003E-2</v>
    <v>195270000</v>
    <v>Coherent Corp., spezialisiert auf Materialien, Netzwerke und Laser, ist ein vertikal integriertes Fertigungsunternehmen, das technische Materialien, optoelektronische Komponenten und Geräte sowie Laser für den Einsatz in Industrie, Kommunikation, Elektronik und Instrumentierung entwickelt, herstellt und vermarktet. Zu den Segmenten gehören Netzwerke, Materialien und Laser. Das Segment Networking nutzt seine Plattformen für die Verbindungshalbleitertechnologie und das Wissen über Endbenutzeranwendungen für seine wichtigsten Endmärkte, um differenzierte Komponenten und Subsysteme zu liefern. Das Segment Materialien umfasst technische Materialien und optoelektronische Geräte, wie z. B. solche auf der Basis von Zinkselenid (ZnSe), Zinksulfid (ZnS), Galliumarsenid (GaAs), Indiumphosphid (InP), Galliumantimonid (GaSb), und Siliziumcarbid (SiC). Die Laser- und Optikprodukte des Segments Laser bedienen industrielle Kunden in den Bereichen Halbleiter- und Displayanlagen, Präzisionsfertigung sowie Luft- und Raumfahrt und Verteidigung und andere.</v>
    <v>1.9056999999999999</v>
    <v>48387906000</v>
    <v>New York Stock Exchange</v>
    <v>XNYS</v>
    <v>XNYS</v>
    <v>375 Saxonburg Blvd, SAXONBURG, PA, 16056 US</v>
    <v>256.88</v>
    <v>Electronic Equipment &amp; Parts</v>
    <v>Aktie</v>
    <v>405.35899999999998</v>
    <v>75</v>
    <v>46113.999650138285</v>
    <v>30216</v>
    <v>Coherent Corp.</v>
    <v>244.14</v>
    <v>Coherent Corp.</v>
    <v>244.14</v>
    <v>247.8</v>
    <v>238.21</v>
    <v>COHR</v>
    <v>Coherent Corp. (XNYS:COHR)</v>
    <v>1971</v>
    <v>19877</v>
    <v>9820694</v>
    <v>USD</v>
  </rv>
  <rv s="2">
    <v>76</v>
  </rv>
  <rv s="3">
    <fb>243.48</fb>
    <v>6</v>
  </rv>
  <rv s="0">
    <v>https://www.bing.com/financeapi/forcetrigger?t=a1q44c&amp;q=XNYS%3aCTRA&amp;form=skydnc</v>
    <v>Learn more on Bing</v>
  </rv>
  <rv s="1">
    <v>0</v>
    <v>1</v>
    <v>COTERRA ENERGY INC. (XNYS:CTRA)</v>
    <v>3</v>
    <v>4</v>
    <v>Finance</v>
    <v>5</v>
    <v>de-DE</v>
    <v>a1q44c</v>
    <v>268435456</v>
    <v>1</v>
    <v>Unterstützt von Refinitiv</v>
    <v>36.880000000000003</v>
    <v>22.33</v>
    <v>-1.22</v>
    <v>-3.4717999999999999E-2</v>
    <v>759352600</v>
    <v>Coterra Energy Inc. ist ein Explorations- und Produktionsunternehmen mit Sitz in Houston, Texas, das sich auf das Permian Basin, den Marcellus Shale und das Anadarko Basin konzentriert. Das Unternehmen ist in der Entwicklung, Exploration und Produktion von Öl, Erdgas und Flüssiggas ausschließlich in den kontinentalen Vereinigten Staaten tätig. Der Betrieb im Permian Basin umfasst rund 345.000 Acres (ca. 149.000 Hektar). Die Entwicklungsaktivitäten konzentrieren sich hauptsächlich auf den Wolfcamp Shale und die Bone Spring-Formation in den Counties Culberson und Reeves in Texas sowie Lea und Eddy in New Mexico. Der Betrieb im Marcellus Shale umfasst Konzessionsgebiete, die sich hauptsächlich in Susquehanna County, Pennsylvania, befinden, wo das Unternehmen rund 186.000 Acres (ca. 74.000 Hektar) im trockenen Gasfenster des Marcellus Shale besitzt. Der Betrieb im Anadarko Basin umfasst rund 182.000 Acres (ca. 63.000 Hektar) in Oklahoma. Die Entwicklungsaktivitäten konzentrieren sich hauptsächlich auf die Woodford Shale- und die Meramec-Formationen.</v>
    <v>0.28239999999999998</v>
    <v>25757240192</v>
    <v>New York Stock Exchange</v>
    <v>XNYS</v>
    <v>XNYS</v>
    <v>Three Memorial City Plaza, 840 Gessner Road, Suite 1400, HOUSTON, TX, 77024 US</v>
    <v>34.799999999999997</v>
    <v>Oil &amp; Gas</v>
    <v>Aktie</v>
    <v>14.924300000000001</v>
    <v>79</v>
    <v>46113.999060231246</v>
    <v>1075</v>
    <v>COTERRA ENERGY INC.</v>
    <v>33.290100000000002</v>
    <v>COTERRA ENERGY INC.</v>
    <v>34.270000000000003</v>
    <v>33.92</v>
    <v>35.14</v>
    <v>CTRA</v>
    <v>COTERRA ENERGY INC. (XNYS:CTRA)</v>
    <v>1989</v>
    <v>1515</v>
    <v>11626801</v>
    <v>USD</v>
  </rv>
  <rv s="2">
    <v>80</v>
  </rv>
  <rv s="3">
    <fb>36.31</fb>
    <v>6</v>
  </rv>
  <rv s="0">
    <v>https://www.bing.com/financeapi/forcetrigger?t=a269ec&amp;q=XNYS%3aXOM&amp;form=skydnc</v>
    <v>Learn more on Bing</v>
  </rv>
  <rv s="1">
    <v>0</v>
    <v>1</v>
    <v>EXXON MOBIL CORPORATION (XNYS:XOM)</v>
    <v>3</v>
    <v>4</v>
    <v>Finance</v>
    <v>5</v>
    <v>de-DE</v>
    <v>a269ec</v>
    <v>268435456</v>
    <v>1</v>
    <v>Unterstützt von Refinitiv</v>
    <v>176.41</v>
    <v>97.8</v>
    <v>-8.8800000000000008</v>
    <v>-5.2339999999999998E-2</v>
    <v>4166764000</v>
    <v>Die Exxon Mobil Corporation ist ein Energieversorger und Chemikalienhersteller. Das Hauptgeschäft des Unternehmens umfasst die Exploration und Produktion von Rohöl und Erdgas, die Herstellung, den Handel, den Transport und den Verkauf von Rohöl, Erdgas, Erdölprodukten, Petrochemikalien und einer Vielzahl von Spezialprodukten sowie die Verfolgung emissionsärmerer und anderer neuer Geschäftsmöglichkeiten, einschließlich Kohlenstoffabscheidung und -Speicherung, Wasserstoff, emissionsärmere Kraftstoffe, Proxxima-Systeme, Kohlenstoffmaterialien, und Lithium. Das Upstream-Segment erforscht und produziert Rohöl und Erdgas. In den Segmenten Energieprodukte, chemische Produkte und Spezialprodukte werden Erdölprodukte und Petrochemikalien hergestellt und verkauft. Das Segment Energieprodukte umfasst Kraftstoffe, Aromaten und Katalysatoren sowie Lizenzen. Das Segment der chemischen Produkte besteht aus Olefinen, Polyolefinen und Zwischenprodukten. Das Segment Spezialprodukte umfasst fertige Schmiermittel, Grundschmierstoffe und Wachse, Kunststoffe sowie Elastomere und Harze.</v>
    <v>0.28839999999999999</v>
    <v>669932315920</v>
    <v>New York Stock Exchange</v>
    <v>XNYS</v>
    <v>XNYS</v>
    <v>22777 SPRINGWOODS VILLAGE PARKWAY, SPRING, TX, 77389-1425 US</v>
    <v>168</v>
    <v>Oil &amp; Gas</v>
    <v>Aktie</v>
    <v>24.0672</v>
    <v>83</v>
    <v>46113.99996366875</v>
    <v>58000</v>
    <v>EXXON MOBIL CORPORATION</v>
    <v>159.53</v>
    <v>EXXON MOBIL CORPORATION</v>
    <v>165.77</v>
    <v>160.78</v>
    <v>169.66</v>
    <v>XOM</v>
    <v>EXXON MOBIL CORPORATION (XNYS:XOM)</v>
    <v>1882</v>
    <v>106548</v>
    <v>24445606</v>
    <v>USD</v>
  </rv>
  <rv s="2">
    <v>84</v>
  </rv>
  <rv s="3">
    <fb>170.99</fb>
    <v>6</v>
  </rv>
  <rv s="0">
    <v>https://www.bing.com/financeapi/forcetrigger?t=a1s24c&amp;q=XNYS%3aEOG&amp;form=skydnc</v>
    <v>Learn more on Bing</v>
  </rv>
  <rv s="1">
    <v>0</v>
    <v>1</v>
    <v>EOG RESOURCES, INC. (XNYS:EOG)</v>
    <v>3</v>
    <v>4</v>
    <v>Finance</v>
    <v>5</v>
    <v>de-DE</v>
    <v>a1s24c</v>
    <v>268435456</v>
    <v>1</v>
    <v>Unterstützt von Refinitiv</v>
    <v>151.87</v>
    <v>101.5936</v>
    <v>-4.1500000000000004</v>
    <v>-2.8705999999999999E-2</v>
    <v>535715800</v>
    <v>EOG Resources, Inc. Ist ein Unternehmen zur Exploration und Förderung von Erdöl und Erdgas. Das Unternehmen erforscht, entwickelt, produziert und vermarktet Rohöl, Erdgasflüssigkeiten (NGL) und Erdgas hauptsächlich in großen Förderbecken in den Vereinigten Staaten, der Republik Trinidad und Tobago (Trinidad) und wählt von Zeit zu Zeit andere internationale Gebiete aus. Seine Aktivitäten befinden sich in den Einzugsgebieten der Vereinigten Staaten mit Schwerpunkt auf Erdöl und Erdgas. Es konzentriert sich auf das Wolfcamp, die Bone Spring und Leonard Theaterstücke. In South Texas spielen die Eagle Ford und die Dorado Gas Play. Es hat etwa 535.000 Netto-Acres im Spiel der Eagle Ford und etwa 160.000 Netto-Acres im Gasspiel Dorado. In Trinidad hält das Unternehmen über seine Tochtergesellschaften, einschließlich EOG Resources Trinidad Limited, Anteile an Explorations- und Produktionslizenzen, die das South East Coast Consortium (SECC) und Pelican Blocks, die Gebiete Banyan und Sercan und andere abdecken.</v>
    <v>0.3236</v>
    <v>75225212636</v>
    <v>New York Stock Exchange</v>
    <v>XNYS</v>
    <v>XNYS</v>
    <v>1111 Bagby, Sky Lobby 2, HOUSTON, TX, 77002 US</v>
    <v>142.58000000000001</v>
    <v>Oil &amp; Gas</v>
    <v>Aktie</v>
    <v>15.411899999999999</v>
    <v>87</v>
    <v>46113.999951747654</v>
    <v>3400</v>
    <v>EOG RESOURCES, INC.</v>
    <v>138.46</v>
    <v>EOG RESOURCES, INC.</v>
    <v>140.91999999999999</v>
    <v>140.41999999999999</v>
    <v>144.57</v>
    <v>EOG</v>
    <v>EOG RESOURCES, INC. (XNYS:EOG)</v>
    <v>1985</v>
    <v>1879</v>
    <v>6048937</v>
    <v>USD</v>
  </rv>
  <rv s="2">
    <v>88</v>
  </rv>
  <rv s="3">
    <fb>149.56</fb>
    <v>6</v>
  </rv>
  <rv s="0">
    <v>https://www.bing.com/financeapi/forcetrigger?t=a1wh7w&amp;q=XNYS%3aKEYS&amp;form=skydnc</v>
    <v>Learn more on Bing</v>
  </rv>
  <rv s="1">
    <v>0</v>
    <v>1</v>
    <v>KEYSIGHT TECHNOLOGIES, INC. (XNYS:KEYS)</v>
    <v>3</v>
    <v>4</v>
    <v>Finance</v>
    <v>5</v>
    <v>de-DE</v>
    <v>a1wh7w</v>
    <v>268435456</v>
    <v>1</v>
    <v>Unterstützt von Refinitiv</v>
    <v>317</v>
    <v>121.43</v>
    <v>7.47</v>
    <v>2.6455000000000003E-2</v>
    <v>171502500</v>
    <v>Keysight Technologies, Inc. Ist auf den Markt für Computer, Kommunikation und Elektronik spezialisiert. Das Portfolio an Hardware, Software und Services ermöglicht den technischen Workflows seiner Kunden bei der Entwicklung, Herstellung, Bereitstellung und Optimierung ihrer Produkte und Lösungen. Zu den Segmenten zählen die Communications Solutions Group (CSG) und die Electronic Industrial Solutions Group (EISG). CSG-Lösungen bestehen aus elektronischer Design- und Testsoftware, Instrumentierung, Systemen und zugehörigen Services, die Kunden auf den globalen Märkten für kommerzielle Kommunikation sowie Luft- und Raumfahrt, Verteidigung und Behörden bedienen. EISG-Lösungen bestehen aus elektronischer Design-, Test- und Simulationssoftware, optischen Design- und photonischen Simulationstools, Instrumentierung, Systemen und zugehörigen Dienstleistungen. Sie bedienen Kunden in verschiedenen Endmärkten mit Schwerpunkt Automotive und Energie, Halbleiterlösungen und allgemeine Elektronik. Zu den Produktkategorien gehören u. a. Oszilloskope und Digitalmultimeter.</v>
    <v>1.1523000000000001</v>
    <v>49708284599</v>
    <v>New York Stock Exchange</v>
    <v>XNYS</v>
    <v>XNYS</v>
    <v>1400 Fountaingrove Pkwy, SANTA ROSA, CA, 95403 US</v>
    <v>294.37</v>
    <v>Electronic Equipment &amp; Parts</v>
    <v>Aktie</v>
    <v>51.113399999999999</v>
    <v>91</v>
    <v>46113.99986320547</v>
    <v>16600</v>
    <v>KEYSIGHT TECHNOLOGIES, INC.</v>
    <v>285.29000000000002</v>
    <v>KEYSIGHT TECHNOLOGIES, INC.</v>
    <v>286.75</v>
    <v>289.83999999999997</v>
    <v>282.37</v>
    <v>KEYS</v>
    <v>KEYSIGHT TECHNOLOGIES, INC. (XNYS:KEYS)</v>
    <v>2013</v>
    <v>35</v>
    <v>1771495</v>
    <v>USD</v>
  </rv>
  <rv s="2">
    <v>92</v>
  </rv>
  <rv s="3">
    <fb>279.06</fb>
    <v>6</v>
  </rv>
  <rv s="0">
    <v>https://www.bing.com/financeapi/forcetrigger?t=a24gur&amp;q=XNYS%3aTRGP&amp;form=skydnc</v>
    <v>Learn more on Bing</v>
  </rv>
  <rv s="1">
    <v>0</v>
    <v>1</v>
    <v>TARGA RESOURCES CORP. (XNYS:TRGP)</v>
    <v>3</v>
    <v>4</v>
    <v>Finance</v>
    <v>5</v>
    <v>de-DE</v>
    <v>a24gur</v>
    <v>268435456</v>
    <v>1</v>
    <v>Unterstützt von Refinitiv</v>
    <v>253.4</v>
    <v>144.13999999999999</v>
    <v>-5.94</v>
    <v>-2.3691E-2</v>
    <v>214802000</v>
    <v>Targa Resources Corp. Ist ein Anbieter von Midstream-Diensten in Nordamerika. Das Unternehmen besitzt, betreibt, erwirbt und entwickelt ein diversifiziertes Portfolio komplementärer inländischer Midstream-Infrastrukturanlagen und liefert Energie in den Vereinigten Staaten. Das Unternehmen beschäftigt sich mit dem Sammeln, Verdichten, behandeln, Verarbeiten, Transportieren, und den Kauf und Verkauf von Erdgas; Transport, Lagerung, Fraktionierung, Behandlung, und den Kauf und Verkauf von Erdgasflüssigkeiten (NGL) und NGL-Produkten, einschließlich Dienstleistungen für Flüssiggas (LPG)-Exporteure, sowie das Sammeln, Lagern, Endfertigen und Ankauf und Verkauf von Rohöl. Seine Segmente sind Sammeln und Verarbeiten sowie Logistik und Transport. Das Segment Sammlung und Verarbeitung umfasst Vermögenswerte, die für die Sammlung und/oder den Kauf und Verkauf von Erdgas aus Erdöl- und Erdgasbohrungen verwendet werden. Das Segment Logistik und Transport umfasst die Aktivitäten und Vermögenswerte, die für die Umwandlung gemischter NGL in NGL-Produkte erforderlich sind.</v>
    <v>0.81169999999999998</v>
    <v>52581381580</v>
    <v>New York Stock Exchange</v>
    <v>XNYS</v>
    <v>XNYS</v>
    <v>811 Louisiana Street, Suite 2100, HOUSTON, TX, 77002 US</v>
    <v>249.30500000000001</v>
    <v>Oil &amp; Gas Related Equipment and Services</v>
    <v>Aktie</v>
    <v>28.799399999999999</v>
    <v>95</v>
    <v>46113.986608147658</v>
    <v>3570</v>
    <v>TARGA RESOURCES CORP.</v>
    <v>241.82</v>
    <v>TARGA RESOURCES CORP.</v>
    <v>245.76</v>
    <v>244.79</v>
    <v>250.73</v>
    <v>TRGP</v>
    <v>TARGA RESOURCES CORP. (XNYS:TRGP)</v>
    <v>2005</v>
    <v>1</v>
    <v>1645052</v>
    <v>USD</v>
  </rv>
  <rv s="2">
    <v>96</v>
  </rv>
  <rv s="3">
    <fb>250.23</fb>
    <v>6</v>
  </rv>
  <rv s="0">
    <v>https://www.bing.com/financeapi/forcetrigger?t=b19hc7&amp;q=XNYS%3aVRT&amp;form=skydnc</v>
    <v>Learn more on Bing</v>
  </rv>
  <rv s="1">
    <v>0</v>
    <v>1</v>
    <v>VERTIV HOLDINGS CO (XNYS:VRT)</v>
    <v>3</v>
    <v>4</v>
    <v>Finance</v>
    <v>5</v>
    <v>de-DE</v>
    <v>b19hc7</v>
    <v>268435456</v>
    <v>1</v>
    <v>Unterstützt von Refinitiv</v>
    <v>282.05</v>
    <v>53.6</v>
    <v>8.7899999999999991</v>
    <v>3.5078999999999999E-2</v>
    <v>382598400</v>
    <v>Vertiv Holdings Co. Ist ein globaler Anbieter kritischer digitaler Infrastrukturen. Es bietet unternehmenskritische Technologien für digitale Infrastrukturen und Lifecycle-Services in erster Linie für Rechenzentren, Kommunikationsnetzwerke sowie kommerzielle und industrielle Umgebungen. Das Angebot umfasst Wechselstrom- (AC) und Gleichstrom- (DC) Energieverwaltungsprodukte, Schaltanlagen und Sammelschienen, Produkte für das Wärmemanagement, integrierte Racksysteme, modulare Lösungen, Managementsysteme zur Überwachung und Steuerung digitaler Infrastruktur sowie Services. Zu den Geschäftssegmenten zählen Amerika, Asien-Pazifik sowie Europa, Naher Osten und Afrika. Das Segment Nord- und Südamerika umfasst Produkte wie AC- und DC-Leistungsmanagement, Wärmemanagement, Nieder-/Mittelspannungs-Schaltanlagen, Sammelschienen, integrierte modulare Lösungen, Racks, einphasige USV, Rack-Stromverteilung, Rack-Thermosysteme, konfigurierbare integrierte Lösungen, Energiespeicherlösungen, Hardware und Software für die Verwaltung von IT-Geräten.</v>
    <v>2.0487000000000002</v>
    <v>99234547008</v>
    <v>New York Stock Exchange</v>
    <v>XNYS</v>
    <v>XNYS</v>
    <v>505 N. Cleveland Ave., WESTERVILLE, OH, 43082 US</v>
    <v>265.55</v>
    <v>Machinery, Equipment &amp; Components</v>
    <v>Aktie</v>
    <v>76.064499999999995</v>
    <v>99</v>
    <v>46113.999981017965</v>
    <v>34000</v>
    <v>VERTIV HOLDINGS CO</v>
    <v>257</v>
    <v>VERTIV HOLDINGS CO</v>
    <v>257</v>
    <v>259.37</v>
    <v>250.58</v>
    <v>VRT</v>
    <v>VERTIV HOLDINGS CO (XNYS:VRT)</v>
    <v>2016</v>
    <v>22572</v>
    <v>10697862</v>
    <v>USD</v>
  </rv>
  <rv s="2">
    <v>100</v>
  </rv>
  <rv s="3">
    <fb>251.07</fb>
    <v>6</v>
  </rv>
  <rv s="0">
    <v>https://www.bing.com/financeapi/forcetrigger?t=a1xvzr&amp;q=XNYS%3aMPC&amp;form=skydnc</v>
    <v>Learn more on Bing</v>
  </rv>
  <rv s="1">
    <v>0</v>
    <v>1</v>
    <v>MARATHON PETROLEUM CORPORATION (XNYS:MPC)</v>
    <v>3</v>
    <v>4</v>
    <v>Finance</v>
    <v>5</v>
    <v>de-DE</v>
    <v>a1xvzr</v>
    <v>268435456</v>
    <v>1</v>
    <v>Unterstützt von Refinitiv</v>
    <v>255.77</v>
    <v>115.1</v>
    <v>-6.02</v>
    <v>-2.4653999999999999E-2</v>
    <v>294496900</v>
    <v>Marathon Petroleum Corporation ist ein integriertes, nachgelagertes Energieunternehmen. Zu den Segmenten des Unternehmens gehören Refining &amp; Marketing, Midstream und Renewable Diesel. Das Segment Refining &amp; Marketing veredelt Rohöl und andere Ausgangsstoffe in seinen Raffinerien an der Golfküste, dem Mittleren Kontinent und der Westküste der Vereinigten Staaten. Sie verkauft raffinierte Produkte an Großhandelsvermarktungskunden im in- und Ausland, an Käufer auf dem Spotmarkt und an unabhängige Unternehmer, die hauptsächlich Geschäfte unter der Marke Marathon betreiben. Das Segment Midstream sammelt, transportiert, lagert und vertreibt Rohöl, raffinierte Produkte, einschließlich erneuerbarer Dieselkraftstoffe, und andere Produkte auf Kohlenwasserstoffbasis, hauptsächlich für das Segment Raffinerie &amp; Marketing über Raffinerieleistungen, Pipelines, Terminals und andere. Das Segment Renewable Diesel verarbeitet erneuerbare Ausgangsstoffe zu erneuerbarem Diesel, vermarktet erneuerbaren Diesel und vertreibt erneuerbare Produkte über sein Midstream-Segment und Dritte.</v>
    <v>0.57699999999999996</v>
    <v>70137381704</v>
    <v>New York Stock Exchange</v>
    <v>XNYS</v>
    <v>XNYS</v>
    <v>539 SOUTH MAIN STREET, FINDLAY, OH, 45840-3229 US</v>
    <v>242.9999</v>
    <v>Oil &amp; Gas</v>
    <v>Aktie</v>
    <v>17.860399999999998</v>
    <v>103</v>
    <v>46113.999923610936</v>
    <v>18500</v>
    <v>MARATHON PETROLEUM CORPORATION</v>
    <v>233.17</v>
    <v>MARATHON PETROLEUM CORPORATION</v>
    <v>241.35</v>
    <v>238.16</v>
    <v>244.18</v>
    <v>MPC</v>
    <v>MARATHON PETROLEUM CORPORATION (XNYS:MPC)</v>
    <v>2009</v>
    <v>40</v>
    <v>3132198</v>
    <v>USD</v>
  </rv>
  <rv s="2">
    <v>104</v>
  </rv>
  <rv s="3">
    <fb>251.91</fb>
    <v>6</v>
  </rv>
  <rv s="0">
    <v>https://www.bing.com/financeapi/forcetrigger?t=a21d27&amp;q=XNYS%3aPSX&amp;form=skydnc</v>
    <v>Learn more on Bing</v>
  </rv>
  <rv s="1">
    <v>0</v>
    <v>1</v>
    <v>PHILLIPS 66 (XNYS:PSX)</v>
    <v>3</v>
    <v>4</v>
    <v>Finance</v>
    <v>5</v>
    <v>de-DE</v>
    <v>a21d27</v>
    <v>268435456</v>
    <v>1</v>
    <v>Unterstützt von Refinitiv</v>
    <v>190.61</v>
    <v>91.01</v>
    <v>-6.54</v>
    <v>-3.5899E-2</v>
    <v>400744000</v>
    <v>Phillips 66 ist ein diversifizierter und integrierter nachgelagerter Energieversorger, der Produkte herstellt, transportiert und vermarktet. Das Midstream-Segment des Unternehmens bietet Dienstleistungen für den Transport von Rohöl und raffinierten Erdölprodukten sowie Dienstleistungen für den Transport, die Endbearbeitung und die Verarbeitung von Erdgas und Erdgasflüssigkeiten (NGL), die Lagerung, die Fraktionierung, die Sammlung, die Verarbeitung und das Marketing. Das Segment Chemicals umfasst eine 50%ige Beteiligung an Chevron Phillips Chemical Company LLC, die Petrochemie und Kunststoffe weltweit herstellt und vermarktet. Das Segment Raffinerie raffiniert Rohöl und andere Ausgangsstoffe zu Erdölprodukten wie Benzin, Destillaten, einschließlich Flugkraftstoffen. Das Segment Marketing und Spezialitäten kauft für den Wiederverkauf und vermarktet raffinierte Produkte, hauptsächlich in den USA und Europa. Das Segment erneuerbare Brennstoffe verarbeitet erneuerbare Rohstoffe in erneuerbare Produkte im Rodeo Renewable Energy Complex und in der Raffinerie Humber.</v>
    <v>0.75529999999999997</v>
    <v>70386676160</v>
    <v>New York Stock Exchange</v>
    <v>XNYS</v>
    <v>XNYS</v>
    <v>2331 Citywest Blvd., HOUSTON, TX, 77042 US</v>
    <v>181.26</v>
    <v>Oil &amp; Gas</v>
    <v>Aktie</v>
    <v>16.308800000000002</v>
    <v>107</v>
    <v>46113.999490890623</v>
    <v>12600</v>
    <v>PHILLIPS 66</v>
    <v>173.15</v>
    <v>PHILLIPS 66</v>
    <v>180.01</v>
    <v>175.64</v>
    <v>182.18</v>
    <v>PSX</v>
    <v>PHILLIPS 66 (XNYS:PSX)</v>
    <v>2011</v>
    <v>1154</v>
    <v>3806371</v>
    <v>USD</v>
  </rv>
  <rv s="2">
    <v>108</v>
  </rv>
  <rv s="3">
    <fb>188.28</fb>
    <v>6</v>
  </rv>
  <rv s="0">
    <v>https://www.bing.com/financeapi/forcetrigger?t=a1n977&amp;q=XNYS%3aALB&amp;form=skydnc</v>
    <v>Learn more on Bing</v>
  </rv>
  <rv s="5">
    <v>10</v>
    <v>11</v>
    <v>ALBEMARLE CORPORATION (XNYS:ALB)</v>
    <v>3</v>
    <v>12</v>
    <v>Finance</v>
    <v>5</v>
    <v>de-DE</v>
    <v>a1n977</v>
    <v>268435456</v>
    <v>1</v>
    <v>Unterstützt von Refinitiv</v>
    <v>206</v>
    <v>49.430300000000003</v>
    <v>-1.06</v>
    <v>-5.9040000000000004E-3</v>
    <v>117886900</v>
    <v>Albemarle Corporation beschäftigt sich mit der Umwandlung wichtiger Ressourcen in entscheidende Bestandteile für Mobilität, Energie, Konnektivität und Gesundheit. Zu den Geschäftsbereichen des Unternehmens gehören Energy Storage, Specialties und Ketjen. Das Segment Energiespeicherung entwickelt und produziert eine Reihe von Lithium-Basisverbindungen, darunter Lithiumcarbonat, Lithiumhydroxid und Lithiumchlorid. Der Geschäftsbereich Specialties optimiert sein Portfolio an Brom- und hochspezialisierten Lithiumlösungen. Der Geschäftsbereich Specialties beliefert eine Vielzahl von Branchen, darunter Energie, Mobilität, Konnektivität und Gesundheit. Spezialprodukte sind sowohl in Verbrennungs- als auch in Elektrofahrzeugen unverzichtbar, von Hochspannungskabeln und Antriebssträngen bis hin zu Airbags und Reifen. Das Segment Ketjen umfasst Technologien für saubere Kraftstoffe (CFT), Katalysatoren und Additive für das katalytische Wirbelschicht-Cracken (FCC) sowie leistungsfähige Katalysatorlösungen (PCS). Das Unternehmen beliefert verschiedene Märkte wie Netzspeicher, Automobil, Luft- und Raumfahrt, konventionelle Energie und andere.</v>
    <v>1.4329000000000001</v>
    <v>21039275043</v>
    <v>New York Stock Exchange</v>
    <v>XNYS</v>
    <v>XNYS</v>
    <v>4250 Congress Street, Suite 900, CHARLOTTE, NC, 28209 US</v>
    <v>185.69</v>
    <v>Chemicals</v>
    <v>Aktie</v>
    <v>111</v>
    <v>46113.999292013279</v>
    <v>7800</v>
    <v>ALBEMARLE CORPORATION</v>
    <v>176.08</v>
    <v>ALBEMARLE CORPORATION</v>
    <v>182.72</v>
    <v>178.47</v>
    <v>179.53</v>
    <v>ALB</v>
    <v>ALBEMARLE CORPORATION (XNYS:ALB)</v>
    <v>1993</v>
    <v>1514</v>
    <v>2188876</v>
    <v>USD</v>
  </rv>
  <rv s="2">
    <v>112</v>
  </rv>
  <rv s="3">
    <fb>179.45</fb>
    <v>6</v>
  </rv>
  <rv s="0">
    <v>https://www.bing.com/financeapi/forcetrigger?t=a232mw&amp;q=XNYS%3aSLB&amp;form=skydnc</v>
    <v>Learn more on Bing</v>
  </rv>
  <rv s="1">
    <v>0</v>
    <v>1</v>
    <v>SLB N.V. (XNYS:SLB)</v>
    <v>3</v>
    <v>4</v>
    <v>Finance</v>
    <v>5</v>
    <v>de-DE</v>
    <v>a232mw</v>
    <v>268435456</v>
    <v>1</v>
    <v>Unterstützt von Refinitiv</v>
    <v>54.8</v>
    <v>31.11</v>
    <v>-1.36</v>
    <v>-2.6463999999999998E-2</v>
    <v>1501133000</v>
    <v>SLB N.V. ist ein globales Technologieunternehmen. Zu den Segmenten des Unternehmens gehören Digital, Reservoire Performance, Brunnenbau, Produktionssysteme und alle anderen. Das digitale Segment umfasst Produkte, Dienstleistungen und Lösungen, die die gesamte Wertschöpfungskette von der Charakterisierung des Untergrundes über die Feldentwicklung und Kohlenwasserstoffproduktion bis hin zum Kohlenstoffmanagement und der Integration benachbarter Energiesysteme abdecken. Das Segment „Reservoirleistung“ besteht aus Technologien und Services, die für die Optimierung der Produktivität und Leistung des Reservoirs von entscheidender Bedeutung sind. Das Segment Well Construction bietet Betreibern und Herstellern von Bohrgeräten Dienstleistungen und Produkte im Zusammenhang mit der Konstruktion und dem Bau eines Brunnens. Das Segment Production Systems entwickelt Technologien und bietet Fachkenntnisse, die die Produktion und Gewinnung von unterirdischen Reservoirs bis an die Oberfläche, in Pipelines und in Raffinerien verbessern. Alle anderen Segmente umfassen Asset Performance-Lösungen, Rechenzentrumslösungen und SLB Capturi.</v>
    <v>0.6946</v>
    <v>75101683990</v>
    <v>New York Stock Exchange</v>
    <v>XNYS</v>
    <v>XNYS</v>
    <v>5599 San Felipe, 17Th Floor, HOUSTON, TX, 77056 US</v>
    <v>51.38</v>
    <v>Oil &amp; Gas Related Equipment and Services</v>
    <v>Aktie</v>
    <v>21.166599999999999</v>
    <v>115</v>
    <v>46113.999683032031</v>
    <v>109000</v>
    <v>SLB N.V.</v>
    <v>49.534999999999997</v>
    <v>SLB N.V.</v>
    <v>50.344999999999999</v>
    <v>50.03</v>
    <v>51.39</v>
    <v>SLB</v>
    <v>SLB N.V. (XNYS:SLB)</v>
    <v>1956</v>
    <v>8025</v>
    <v>20903028</v>
    <v>USD</v>
  </rv>
  <rv s="2">
    <v>116</v>
  </rv>
  <rv s="3">
    <fb>53.5</fb>
    <v>6</v>
  </rv>
  <rv s="0">
    <v>https://www.bing.com/financeapi/forcetrigger?t=a1skmw&amp;q=XNAS%3aFANG&amp;form=skydnc</v>
    <v>Learn more on Bing</v>
  </rv>
  <rv s="1">
    <v>0</v>
    <v>1</v>
    <v>DIAMONDBACK ENERGY, INC. (XNAS:FANG)</v>
    <v>3</v>
    <v>4</v>
    <v>Finance</v>
    <v>5</v>
    <v>de-DE</v>
    <v>a1skmw</v>
    <v>268435456</v>
    <v>1</v>
    <v>Unterstützt von Refinitiv</v>
    <v>204.91</v>
    <v>114</v>
    <v>-7.17</v>
    <v>-3.6251000000000005E-2</v>
    <v>281303900</v>
    <v>Diamondback Energy, Inc. Ist ein unabhängiges Öl- und Erdgasunternehmen, das sich auf den Erwerb, die Erschließung, die Exploration und die Erschließung unkonventioneller Erdöl- und Erdgasreserven an Land konzentriert, hauptsächlich im Permian Basin in in West Texas. Die Aktivitäten des Unternehmens konzentrieren sich hauptsächlich auf die horizontale Entwicklung der Formationen Wolfcamp und Spraberry im Midland Basin sowie der Formationen Wolfcamp und Bone Spring im Delaware Basin im Permian Basin. Die Tochtergesellschaft Viper Energy, Inc. Konzentriert sich auf den Besitz und Erwerb von Mineralanteilen und Lizenzanteilen an Öl- und Erdgasgrundstücken, die hauptsächlich im Permian Basin liegen, und zieht daraus Lizenzeinnahmen und Leasingbonuseinnahmen ab. Das Unternehmen verfügt über etwa 859.203 Hektar Netto, das hauptsächlich aus 742.522 Hektar Netto-Acre im Midland Basin und 116.681 Hektar Netto-Acre im Delaware Basin besteht. Zu den Tochtergesellschaften zählen Diamondback E&amp;P LLC, Rattler Midstream GP LLC, Rattler Midstream LP und QEP Resources, Inc</v>
    <v>0.4783</v>
    <v>53622149418</v>
    <v>Nasdaq Stock Market</v>
    <v>XNAS</v>
    <v>XNAS</v>
    <v>500 WEST TEXAS AVENUE, SUITE 100, MIDLAND, TX, 79701 US</v>
    <v>195.74</v>
    <v>Oil &amp; Gas</v>
    <v>Aktie</v>
    <v>33.803400000000003</v>
    <v>119</v>
    <v>46113.999691122655</v>
    <v>1762</v>
    <v>DIAMONDBACK ENERGY, INC.</v>
    <v>187.34</v>
    <v>DIAMONDBACK ENERGY, INC.</v>
    <v>190.53</v>
    <v>190.62</v>
    <v>197.79</v>
    <v>FANG</v>
    <v>DIAMONDBACK ENERGY, INC. (XNAS:FANG)</v>
    <v>2011</v>
    <v>3002</v>
    <v>3976291</v>
    <v>USD</v>
  </rv>
  <rv s="2">
    <v>120</v>
  </rv>
  <rv s="3">
    <fb>201.84</fb>
    <v>6</v>
  </rv>
  <rv s="0">
    <v>https://www.bing.com/financeapi/forcetrigger?t=a1sxp2&amp;q=XNYS%3aFIX&amp;form=skydnc</v>
    <v>Learn more on Bing</v>
  </rv>
  <rv s="1">
    <v>0</v>
    <v>1</v>
    <v>COMFORT SYSTEMS USA, INC. (XNYS:FIX)</v>
    <v>3</v>
    <v>4</v>
    <v>Finance</v>
    <v>5</v>
    <v>de-DE</v>
    <v>a1sxp2</v>
    <v>268435456</v>
    <v>1</v>
    <v>Unterstützt von Refinitiv</v>
    <v>1500</v>
    <v>276.44</v>
    <v>49.53</v>
    <v>3.5917999999999999E-2</v>
    <v>35174970</v>
    <v>Comfort Systems USA, Inc. Ist ein Anbieter von Dienstleistungen für gewerbliche, industrielle und institutionelle Heizung, Lüftung, Klimatisierung (HLK) und elektrische Auftragsvergabe. Das Unternehmen ist in zwei Segmenten tätig: Mechanisch und elektrisch. Das Segment Mechanical umfasst Heizungs-, Lüftungs-, Lüftungs-, Installations-, Rohrleitungs- und Steuerungen sowie den Bau, die Überwachung und den Brandschutz außerhalb des Standorts. Außerdem werden Verbindungs- und Verteilungselemente wie Rohre und Kanäle installiert. Das Segment Elektrik umfasst die Installation und Wartung elektrischer Systeme. Das Unternehmen baut, installiert, wartet, repariert und ersetzt mechanische, elektrische und Sanitäranlagen (MEP) in seinen 47 Betriebseinheiten mit 178 Standorten in 136 Städten im ganzen Land. Das Unternehmen bietet Engineering-, Design- und schlüsselfertige, direkt vermietete Bauleistungen modularer Systeme für die fortschrittliche Technologie-, Energie- und Industriebranche an. Darüber hinaus erbringt sie Dienstleistungen im Maschinenbau für den gewerblichen und industriellen Sektor.</v>
    <v>1.5987</v>
    <v>50248148144</v>
    <v>New York Stock Exchange</v>
    <v>XNYS</v>
    <v>XNYS</v>
    <v>9753 Katy Freeway, Suite 700, HOUSTON, TX, 77024 US</v>
    <v>1465.44</v>
    <v>Construction &amp; Engineering</v>
    <v>Aktie</v>
    <v>49.439799999999998</v>
    <v>123</v>
    <v>46113.999892094529</v>
    <v>22700</v>
    <v>COMFORT SYSTEMS USA, INC.</v>
    <v>1393.75</v>
    <v>COMFORT SYSTEMS USA, INC.</v>
    <v>1393.75</v>
    <v>1428.52</v>
    <v>1378.99</v>
    <v>FIX</v>
    <v>COMFORT SYSTEMS USA, INC. (XNYS:FIX)</v>
    <v>1996</v>
    <v>24</v>
    <v>448243</v>
    <v>USD</v>
  </rv>
  <rv s="2">
    <v>124</v>
  </rv>
  <rv s="3">
    <fb>1366.77</fb>
    <v>6</v>
  </rv>
  <rv s="0">
    <v>https://www.bing.com/financeapi/forcetrigger?t=a1n7yc&amp;q=XNAS%3aAKAM&amp;form=skydnc</v>
    <v>Learn more on Bing</v>
  </rv>
  <rv s="1">
    <v>0</v>
    <v>1</v>
    <v>AKAMAI TECHNOLOGIES, INC. (XNAS:AKAM)</v>
    <v>3</v>
    <v>4</v>
    <v>Finance</v>
    <v>5</v>
    <v>de-DE</v>
    <v>a1n7yc</v>
    <v>268435456</v>
    <v>1</v>
    <v>Unterstützt von Refinitiv</v>
    <v>121.12</v>
    <v>67.510000000000005</v>
    <v>0.9</v>
    <v>7.8359999999999992E-3</v>
    <v>144888100</v>
    <v>Akamai Technologies, Inc. Ist ein Unternehmen für Cybersicherheit und Cloud-Computing. Das Unternehmen entwickelt und bietet Lösungen für globale Unternehmen, um ihre Anwendungen und digitalen Erlebnisse zu entwickeln, zu sichern und zu beschleunigen. Akamai Connected Cloud, die Plattform des Unternehmens, besteht aus einer Edge- und Cloud-Architektur und einem zugrundeliegenden Netzwerk für Cloud Computing, Sicherheit und Content Delivery Services. Die Cloud-Computing-Services umfassen Computing-, Speicher-, Netzwerk-, Datenbank- und Container-Management-Services, die für die Erstellung, Bereitstellung und Sicherung von Anwendungen und Workloads erforderlich sind. Die Sicherheitslösungen der IT-Abteilung sind darauf ausgelegt, Infrastruktur, Websites, Anwendungen, Anwendungsprogrammierschnittstellen und Benutzer vor einer Vielzahl von Cyberangriffen und Online-Bedrohungen zu schützen und gleichzeitig die Leistung zu verbessern. Die Lösungen für die Inhaltsbereitstellung bestehen aus Lösungen für die Web- und mobile Performance sowie Lösungen für die Medienbereitstellung. Außerdem bietet das Unternehmen seinen Kunden Services und Support bei der Nutzung seiner Lösungen.</v>
    <v>0.59440000000000004</v>
    <v>16770797575</v>
    <v>Nasdaq Stock Market</v>
    <v>XNAS</v>
    <v>XNAS</v>
    <v>145 Broadway, CAMBRIDGE, MA, 02142 US</v>
    <v>117.6375</v>
    <v>Software &amp; IT Services</v>
    <v>Aktie</v>
    <v>37.635800000000003</v>
    <v>127</v>
    <v>46113.999465844528</v>
    <v>11000</v>
    <v>AKAMAI TECHNOLOGIES, INC.</v>
    <v>114.99</v>
    <v>AKAMAI TECHNOLOGIES, INC.</v>
    <v>115.99</v>
    <v>115.75</v>
    <v>114.85</v>
    <v>AKAM</v>
    <v>AKAMAI TECHNOLOGIES, INC. (XNAS:AKAM)</v>
    <v>1998</v>
    <v>3983</v>
    <v>4532889</v>
    <v>USD</v>
  </rv>
  <rv s="2">
    <v>128</v>
  </rv>
  <rv s="3">
    <fb>114.5</fb>
    <v>6</v>
  </rv>
  <rv s="0">
    <v>https://www.bing.com/financeapi/forcetrigger?t=a1qlz2&amp;q=XNYS%3aCVX&amp;form=skydnc</v>
    <v>Learn more on Bing</v>
  </rv>
  <rv s="1">
    <v>0</v>
    <v>1</v>
    <v>CHEVRON CORPORATION (XNYS:CVX)</v>
    <v>3</v>
    <v>4</v>
    <v>Finance</v>
    <v>5</v>
    <v>de-DE</v>
    <v>a1qlz2</v>
    <v>268435456</v>
    <v>1</v>
    <v>Unterstützt von Refinitiv</v>
    <v>214.71</v>
    <v>132.04</v>
    <v>-9.49</v>
    <v>-4.5867999999999999E-2</v>
    <v>1995385000</v>
    <v>Die Chevron Corporation ist ein integriertes Energieunternehmen. Das Unternehmen produziert Rohöl und Erdgas, stellt Kraftstoffe, Schmierstoffe, Petrochemikalien und Additive für den Transport her und entwickelt Technologien, die sein Geschäft und seine Industrie verbessern. Die Segmente des Unternehmens umfassen Upstream und Downstream. Die vorgelagerten Tätigkeiten umfassen in erster Linie die Exploration, Entwicklung, Produktion und Beförderung von Erdöl und Erdgas, die Verflüssigung, den Transport und die Rückvergasung im Zusammenhang mit LNG, den Transport von Rohöl über wichtige internationale Ölexportpipelines, die Verarbeitung, den Transport, die Lagerung und Vermarktung von Erdgas, die Abscheidung und Speicherung von Kohlenstoff und eine Gas-to-Liquid-Anlage. Die nachgelagerten Tätigkeiten umfassen in erster Linie die Raffination von Rohöl zu Erdölprodukten, die Vermarktung von Rohöl, raffinierten Produkten und Schmierstoffen, die Herstellung und Vermarktung erneuerbarer Kraftstoffe sowie den Transport von Rohöl und raffinierten Produkten per Pipeline, Schiff, Motorausrüstung und Schienenfahrzeug.</v>
    <v>0.58720000000000006</v>
    <v>393908952850</v>
    <v>New York Stock Exchange</v>
    <v>XNYS</v>
    <v>XNYS</v>
    <v>1400 SMITH STREET, HOUSTON, TX, 77002 US</v>
    <v>204.78</v>
    <v>Oil &amp; Gas</v>
    <v>Aktie</v>
    <v>29.704000000000001</v>
    <v>131</v>
    <v>46113.999893066408</v>
    <v>43039</v>
    <v>CHEVRON CORPORATION</v>
    <v>194.91</v>
    <v>CHEVRON CORPORATION</v>
    <v>201.99</v>
    <v>197.41</v>
    <v>206.9</v>
    <v>CVX</v>
    <v>CHEVRON CORPORATION (XNYS:CVX)</v>
    <v>1926</v>
    <v>46390</v>
    <v>14500939</v>
    <v>USD</v>
  </rv>
  <rv s="2">
    <v>132</v>
  </rv>
  <rv s="3">
    <fb>211.15</fb>
    <v>6</v>
  </rv>
  <rv s="0">
    <v>https://www.bing.com/financeapi/forcetrigger?t=a1retc&amp;q=XNYS%3aDELL&amp;form=skydnc</v>
    <v>Learn more on Bing</v>
  </rv>
  <rv s="1">
    <v>0</v>
    <v>1</v>
    <v>DELL TECHNOLOGIES INC. (XNYS:DELL)</v>
    <v>3</v>
    <v>4</v>
    <v>Finance</v>
    <v>5</v>
    <v>de-DE</v>
    <v>a1retc</v>
    <v>268435456</v>
    <v>1</v>
    <v>Unterstützt von Refinitiv</v>
    <v>186.39</v>
    <v>66.245000000000005</v>
    <v>5.25</v>
    <v>3.1987000000000002E-2</v>
    <v>645748500</v>
    <v>Dell Technologies Inc. Ist in den Bereichen Design, Entwicklung, Herstellung, Marketing, Verkauf, und unterstützt eine breite Palette an umfassenden und integrierten Lösungen, Produkten und Services. Das Unternehmen ist in zwei Segmenten tätig: Infrastructure Solutions Group (ISG) und Client Solutions Group (CSG). Das ISG-Segment ermöglicht den Kunden des Unternehmens die digitale Transformation mit Lösungen für künstliche Intelligenz (KI), maschinelles Lernen, Datenanalyse und Multi-Cloud-Umgebungen. Das umfassende Speicherportfolio umfasst moderne und traditionelle Speicherlösungen, darunter All-Flash-Arrays, Scale-out-Dateien, Objektplattformen, hyperkonvergente Infrastruktur, und softwaredefinierter Speicher. Das CSG-Segment bietet PCs (PCs) mit Markenbezeichnung, darunter Notebooks, Desktop-PCs und Workstations, sowie Peripheriegeräte von Marken, darunter Displays, Dockingstationen, Tastaturen, Mäuse, Webcam- und Audiogeräte, sowie Software und Peripheriegeräte von Drittanbietern.</v>
    <v>0.87719999999999998</v>
    <v>109376880930</v>
    <v>New York Stock Exchange</v>
    <v>XNYS</v>
    <v>XNYS</v>
    <v>ONE DELL WAY, ROUND ROCK, TX, 78682 US</v>
    <v>171.33</v>
    <v>Computers, Phones &amp; Household Electronics</v>
    <v>Aktie</v>
    <v>19.4253</v>
    <v>135</v>
    <v>46113.999952198435</v>
    <v>97000</v>
    <v>DELL TECHNOLOGIES INC.</v>
    <v>164.76</v>
    <v>DELL TECHNOLOGIES INC.</v>
    <v>166.98</v>
    <v>169.38</v>
    <v>164.13</v>
    <v>DELL</v>
    <v>DELL TECHNOLOGIES INC. (XNYS:DELL)</v>
    <v>2013</v>
    <v>12129</v>
    <v>10897712</v>
    <v>USD</v>
  </rv>
  <rv s="2">
    <v>136</v>
  </rv>
  <rv s="3">
    <fb>171.81</fb>
    <v>6</v>
  </rv>
  <rv s="0">
    <v>https://www.bing.com/financeapi/forcetrigger?t=a1oeww&amp;q=XNYS%3aBG&amp;form=skydnc</v>
    <v>Learn more on Bing</v>
  </rv>
  <rv s="1">
    <v>0</v>
    <v>1</v>
    <v>Bunge Global Ltd (XNYS:BG)</v>
    <v>3</v>
    <v>4</v>
    <v>Finance</v>
    <v>5</v>
    <v>de-DE</v>
    <v>a1oeww</v>
    <v>268435456</v>
    <v>1</v>
    <v>Unterstützt von Refinitiv</v>
    <v>131.5</v>
    <v>68.330100000000002</v>
    <v>1.1200000000000001</v>
    <v>8.8050000000000003E-3</v>
    <v>193509100</v>
    <v>Bunge Global SA ist ein globales Agrar- und Lebensmittelunternehmen. Das Unternehmen ist in der Verarbeitung von Ölsaaten sowie in der Produktion und Lieferung von pflanzlichen Spezialölen und -Fetten tätig. Zu den Segmenten zählen die Segmente Agribusiness, Refined Oils und Spezialöle sowie Milling. Das Segment Agribusiness ist hauptsächlich in den Bereichen Einkauf, Lagerung, Transport, Verarbeitung und Verkauf von Agrarrohstoffen und -Produkten tätig. Das Segment Raffinerieöle und Spezialöle umfasst die Verarbeitung, Herstellung und Vermarktung von Produkten aus pflanzlichen Ölen und Fetten, einschließlich Speiseölen, Kürzungen, Spezialzutaten und erneuerbaren Dieselrohstoffen. Das Segment Milling umfasst die Verarbeitung, Produktion und Vermarktung von Produkten, die hauptsächlich aus Weizen und Mais gewonnen werden. Es beliefert eine Vielzahl von Branchen, darunter Tierfutter und Heimtierfutter, Bäckerei, Getränke, Biokraftstoffe, Süßwaren, kulinarische Snacks und Braten, Milchprodukte, Gastronomie, Fleisch, Ernährung, Körperpflege und vieles mehr.</v>
    <v>0.69589999999999996</v>
    <v>24831087712</v>
    <v>New York Stock Exchange</v>
    <v>XNYS</v>
    <v>XNYS</v>
    <v>1391 Timberlake Manor Parkway, MO, 63017 US</v>
    <v>129.4999</v>
    <v>Food &amp; Tobacco</v>
    <v>Aktie</v>
    <v>23.6235</v>
    <v>139</v>
    <v>46113.986580485936</v>
    <v>34000</v>
    <v>Bunge Global Ltd</v>
    <v>124.98</v>
    <v>Bunge Global Ltd</v>
    <v>128.41</v>
    <v>128.32</v>
    <v>127.2</v>
    <v>BG</v>
    <v>Bunge Global Ltd (XNYS:BG)</v>
    <v>2023</v>
    <v>94</v>
    <v>2049408</v>
    <v>USD</v>
  </rv>
  <rv s="2">
    <v>140</v>
  </rv>
  <rv s="3">
    <fb>128.72</fb>
    <v>6</v>
  </rv>
  <rv s="4">
    <v>7</v>
    <v>8</v>
    <v>GE VERNOVA INC. (XNYS:GEV)</v>
    <v>9</v>
    <v>4</v>
    <v>Finance</v>
    <v>5</v>
    <v>de-DE</v>
    <v>ccmvww</v>
    <v>268435456</v>
    <v>1</v>
    <v>Unterstützt von Refinitiv</v>
    <v>948.38</v>
    <v>252.25</v>
    <v>21.88</v>
    <v>2.5066000000000001E-2</v>
    <v>269529400</v>
    <v>GE Vernova Inc. Ist ein speziell entwickeltes globales Energieunternehmen, das die Segmente Energie, Wind und Elektrifizierung umfasst und von seinen Accelerator-Geschäftsbereichen unterstützt wird. Sie entwirft, produziert, liefert und wartet Technologien zur Schaffung eines nachhaltigen Stromsystems, das Elektrifizierung und Dekarbonisierung ermöglicht. Das Leistungssegment umfasst die Entwicklung, Herstellung und Wartung von Gas-, Kernenergie-, Wasserkraft- und Dampftechnologien, die eine entscheidende Grundlage für eine verteilbare, flexible, stabile und zuverlässige Stromversorgung bilden. Das Windsegment umfasst seine Technologien zur Windenergieerzeugung, einschließlich Onshore- und Offshore-Windturbinen und -Rotorblätter. Das Segment Elektrifizierung umfasst Netzlösungen, Stromumwandlung und -Speicherung sowie Elektrifizierungssoftwaretechnologien, die für die Übertragung, Verteilung, Umwandlung, Speicherung und Orchestrierung von Strom vom Erzeugungsort bis zum Verbrauchsort erforderlich sind. Das Accelerator-Geschäft umfasst fortgeschrittene Forschung, Beratungsdienste und Finanzdienstleistungen.</v>
    <v>1.353</v>
    <v>241169516532</v>
    <v>New York Stock Exchange</v>
    <v>XNYS</v>
    <v>XNYS</v>
    <v>58 Charles Street, CAMBRIDGE, MA, 02141 US</v>
    <v>912.62</v>
    <v>Electrical Utilities &amp; IPPs</v>
    <v>Aktie</v>
    <v>50.162599999999998</v>
    <v>46113.999784120315</v>
    <v>75000</v>
    <v>GE VERNOVA INC.</v>
    <v>887.49</v>
    <v>GE VERNOVA INC.</v>
    <v>888.49</v>
    <v>894.78</v>
    <v>872.9</v>
    <v>GEV</v>
    <v>GE VERNOVA INC. (XNYS:GEV)</v>
    <v>2023</v>
    <v>7971</v>
    <v>2687234</v>
    <v>USD</v>
  </rv>
  <rv s="2">
    <v>143</v>
  </rv>
  <rv s="3">
    <fb>853.16</fb>
    <v>6</v>
  </rv>
  <rv s="0">
    <v>https://www.bing.com/financeapi/forcetrigger?t=a1vp77&amp;q=XNAS%3aIPGP&amp;form=skydnc</v>
    <v>Learn more on Bing</v>
  </rv>
  <rv s="1">
    <v>0</v>
    <v>1</v>
    <v>IPG PHOTONICS CORPORATION (XNAS:IPGP)</v>
    <v>3</v>
    <v>4</v>
    <v>Finance</v>
    <v>19</v>
    <v>de-DE</v>
    <v>a1vp77</v>
    <v>268435456</v>
    <v>1</v>
    <v>Unterstützt von Refinitiv</v>
    <v>155.82</v>
    <v>48.59</v>
    <v>0.9</v>
    <v>7.8539999999999999E-3</v>
    <v>42191350</v>
    <v>IPG Photonics Corporation entwickelt, produziert und verkauft Faserlaser und Diodenlaser, die für verschiedene Anwendungen in der Materialverarbeitung eingesetzt werden. Sein Portfolio an Laserlösungen wird in der Materialverarbeitung, Medizin, fortgeschrittenen Anwendungen und Kommunikation eingesetzt. Das Unternehmen entwirft und fertigt Komponenten, die in seinen Endprodukten verwendet werden, von Halbleiterdioden über Vorformen für optische Fasern bis hin zu fertigen Faserlasern und ergänzenden Produkten. Darüber hinaus werden ergänzende Produkte hergestellt und verkauft, die mit seinen Lasern verwendet werden, darunter optische Zulaufkabel, Faserkupplungen, Strahlschalter, optische Verarbeitungsköpfe, Inline-Sensoren und Kältemaschinen. Es bietet laserbasierte und nicht laserbasierte Systeme für bestimmte Märkte und Anwendungen an. Das Unternehmen verkauft seine Produkte weltweit an Erstausrüster (OEMs), Systemintegratoren und Endbenutzer. Das Unternehmen vermarktet seine Produkte international, hauptsächlich über seine Direktvertriebskräfte. Das Portfolio des Unternehmens umfasst auch Laserreinigungssysteme.</v>
    <v>1.0143</v>
    <v>4872679011</v>
    <v>Nasdaq Stock Market</v>
    <v>XNAS</v>
    <v>XNAS</v>
    <v>377 Simarano Drive, MARLBOROUGH, MA, 01752 US</v>
    <v>118.86499999999999</v>
    <v>Electronic Equipment &amp; Parts</v>
    <v>Aktie</v>
    <v>158.2987</v>
    <v>146</v>
    <v>46113.974610323436</v>
    <v>4840</v>
    <v>IPG PHOTONICS CORPORATION</v>
    <v>115.05</v>
    <v>IPG PHOTONICS CORPORATION</v>
    <v>116.66</v>
    <v>115.49</v>
    <v>114.59</v>
    <v>IPGP</v>
    <v>IPG PHOTONICS CORPORATION (XNAS:IPGP)</v>
    <v>1998</v>
    <v>316470</v>
    <v>484133</v>
    <v>USD</v>
  </rv>
  <rv s="2">
    <v>147</v>
  </rv>
  <rv s="3">
    <fb>115.7</fb>
    <v>6</v>
  </rv>
  <rv s="0">
    <v>https://www.bing.com/financeapi/forcetrigger?t=a1z6nm&amp;q=XNYS%3aOKE&amp;form=skydnc</v>
    <v>Learn more on Bing</v>
  </rv>
  <rv s="1">
    <v>0</v>
    <v>1</v>
    <v>ONEOK, INC. (XNYS:OKE)</v>
    <v>3</v>
    <v>4</v>
    <v>Finance</v>
    <v>19</v>
    <v>de-DE</v>
    <v>a1z6nm</v>
    <v>268435456</v>
    <v>1</v>
    <v>Unterstützt von Refinitiv</v>
    <v>100.565</v>
    <v>64.02</v>
    <v>-3.03</v>
    <v>-3.3521000000000002E-2</v>
    <v>629783600</v>
    <v>ONEOK, Inc. Ist ein Midstream-Betreiber, der Dienstleistungen wie Sammeln, Verarbeiten, Fraktionieren, Transport, Lagerung und Export auf See anbietet. Zu den Segmenten des Unternehmens gehören die Gewinnung und Verarbeitung von Erdgas, Flüssiggas, Erdgaspipelines sowie raffinierte Produkte und Rohöl. Das Segment Natural Gas Gathering and Processing erbringt Midstream-Dienstleistungen für Produzenten in der Region Rocky Mountain, der Region des mittleren Kontinents, der Region Permian Basin und der Region North Texas. Das Segment Natural Gas Liquids besitzt und betreibt Anlagen, die Erdgasflüssigkeiten sammeln, aufbereiten und verteilen und Reinheitsflüssigkeiten speichern, vor allem in der Region Rocky Mountain, der Region des mittleren Kontinents, dem Permian Basin und der Region an der Golfküste (einschließlich Louisiana). Das Segment Erdgaspipelines transportiert, speichert und vermarktet Erdgas. Das Segment Raffinerieprodukte und Rohöl sammelt, transportiert, lagert, vertreibt, mischt und vermarktet Raffinerieprodukte und Rohöl.</v>
    <v>0.80900000000000005</v>
    <v>55017895296</v>
    <v>New York Stock Exchange</v>
    <v>XNYS</v>
    <v>XNYS</v>
    <v>100 W 5th St, TULSA, OK, 74103 US</v>
    <v>90.08</v>
    <v>Oil &amp; Gas Related Equipment and Services</v>
    <v>Aktie</v>
    <v>16.1374</v>
    <v>150</v>
    <v>46113.995308205471</v>
    <v>6326</v>
    <v>ONEOK, INC.</v>
    <v>86.07</v>
    <v>ONEOK, INC.</v>
    <v>89.2</v>
    <v>87.36</v>
    <v>90.39</v>
    <v>OKE</v>
    <v>ONEOK, INC. (XNYS:OKE)</v>
    <v>1997</v>
    <v>879</v>
    <v>5625762</v>
    <v>USD</v>
  </rv>
  <rv s="2">
    <v>151</v>
  </rv>
  <rv s="3">
    <fb>93.96</fb>
    <v>6</v>
  </rv>
  <rv s="0">
    <v>https://www.bing.com/financeapi/forcetrigger?t=a23rjc&amp;q=XNAS%3aSTX&amp;form=skydnc</v>
    <v>Learn more on Bing</v>
  </rv>
  <rv s="1">
    <v>0</v>
    <v>1</v>
    <v>SEAGATE TECHNOLOGY HOLDINGS PUBLIC LIMITED COMPANY (XNAS:STX)</v>
    <v>3</v>
    <v>4</v>
    <v>Finance</v>
    <v>5</v>
    <v>de-DE</v>
    <v>a23rjc</v>
    <v>268435456</v>
    <v>1</v>
    <v>Unterstützt von Refinitiv</v>
    <v>459.84</v>
    <v>63.19</v>
    <v>31.36</v>
    <v>8.0048999999999995E-2</v>
    <v>224025400</v>
    <v>Seagate Technology Holdings plc bietet eine Infrastrukturlösung für Massendatenspeicher. Die wichtigsten Produkte des Unternehmens sind Festplatten, die allgemein als Festplatten, Festplatten (HDDs) bezeichnet werden. Neben HDDs produziert das Unternehmen eine Reihe von Datenspeicherprodukten, darunter Solid-State-Laufwerke (SSDs), Solid-State-Hybridlaufwerke, Speichersubsysteme sowie eine skalierbare Edge-to-Cloud-Massendatenplattform. Die HDD-Produkte wurden für Massenspeicher und ältere Märkte entwickelt. Massenspeicher umfasst Anwendungsfälle wie Hyperscale-Rechenzentren und Public Clouds sowie neue Anwendungsfälle. Das HDD- und SSD-Produktportfolio des Unternehmens umfasst Serial Advanced Technology Attachment, Serial Attachment SCSI und Non-Volatile Memory Express-basierte Designs zur Unterstützung einer Vielzahl von Massenkapazität und Legacy-Anwendungen. Das Systemportfolio umfasst Speichersubsysteme für Unternehmen, Cloud-Service-Provider, Scale-out-Speicherserver und Erstausrüster.</v>
    <v>1.6348</v>
    <v>94789627248</v>
    <v>Nasdaq Stock Market</v>
    <v>XNAS</v>
    <v>XNAS</v>
    <v>121 Woodlands Avenue 5, 739009 SG</v>
    <v>428.18</v>
    <v>Computers, Phones &amp; Household Electronics</v>
    <v>Aktie</v>
    <v>47.868400000000001</v>
    <v>154</v>
    <v>46113.999681250003</v>
    <v>30000</v>
    <v>SEAGATE TECHNOLOGY HOLDINGS PUBLIC LIMITED COMPANY</v>
    <v>396.31</v>
    <v>SEAGATE TECHNOLOGY HOLDINGS PUBLIC LIMITED COMPANY</v>
    <v>396.49</v>
    <v>423.12</v>
    <v>391.76</v>
    <v>STX</v>
    <v>SEAGATE TECHNOLOGY HOLDINGS PUBLIC LIMITED COMPANY (XNAS:STX)</v>
    <v>2021</v>
    <v>4964</v>
    <v>3657338</v>
    <v>USD</v>
  </rv>
  <rv s="2">
    <v>155</v>
  </rv>
  <rv s="3">
    <fb>380.07</fb>
    <v>6</v>
  </rv>
  <rv s="0">
    <v>https://www.bing.com/financeapi/forcetrigger?t=a1ogsm&amp;q=XNAS%3aBKR&amp;form=skydnc</v>
    <v>Learn more on Bing</v>
  </rv>
  <rv s="1">
    <v>0</v>
    <v>1</v>
    <v>BAKER HUGHES COMPANY (XNAS:BKR)</v>
    <v>3</v>
    <v>4</v>
    <v>Finance</v>
    <v>5</v>
    <v>de-DE</v>
    <v>a1ogsm</v>
    <v>268435456</v>
    <v>1</v>
    <v>Unterstützt von Refinitiv</v>
    <v>67</v>
    <v>33.6</v>
    <v>-0.71</v>
    <v>-1.163E-2</v>
    <v>991757300</v>
    <v>Die Baker Hughes Company ist ein Energietechnologieunternehmen mit einem Portfolio an Technologien und Dienstleistungen, die die Energie- und industrielle Wertschöpfungskette abdecken. Das Unternehmen ist in zwei Segmenten tätig: Oilfield Services &amp; Equipment (OFSE) und Industrial &amp; Energy Technology (IET). Das OFSE-Segment bietet Produkte und Dienstleistungen für Onshore- und Offshore-Ölfelder über den gesamten Lebenszyklus eines Bohrlochs hinweg an, von der Exploration, Bewertung und Erschließung bis hin zur Produktion, Verjüngung und Stilllegung. OFSE ist in vier Produktlinien gegliedert: Brunnenbau, Fertigstellung, Intervention und Messungen, Produktionslösungen, und Unterwasser- und Oberflächendrucksysteme. Das Segment IET bietet Technologielösungen und Dienstleistungen für mechanische Antriebs-, Verdichtungs- und Stromerzeugungsanwendungen in der gesamten Energiewirtschaft, einschließlich Öl und Gas, Flüssigerdgas (LNG), nachgelagerte Raffinerien und petrochemische Märkte sowie kohlenstoffarme Lösungen für breitere Energie- und Industriesektoren.</v>
    <v>0.89790000000000003</v>
    <v>59842635482</v>
    <v>Nasdaq Stock Market</v>
    <v>XNAS</v>
    <v>XNAS</v>
    <v>575 NORTH DAIRY ASHFORD ROAD, SUITE 100, HOUSTON, TX, 77079-1121 US</v>
    <v>61.04</v>
    <v>Oil &amp; Gas Related Equipment and Services</v>
    <v>Aktie</v>
    <v>23.1754</v>
    <v>158</v>
    <v>46113.995907488279</v>
    <v>56000</v>
    <v>BAKER HUGHES COMPANY</v>
    <v>59.18</v>
    <v>BAKER HUGHES COMPANY</v>
    <v>60.43</v>
    <v>60.34</v>
    <v>61.05</v>
    <v>BKR</v>
    <v>BAKER HUGHES COMPANY (XNAS:BKR)</v>
    <v>2016</v>
    <v>1685</v>
    <v>10965119</v>
    <v>USD</v>
  </rv>
  <rv s="2">
    <v>159</v>
  </rv>
  <rv s="3">
    <fb>63.22</fb>
    <v>6</v>
  </rv>
  <rv s="0">
    <v>https://www.bing.com/financeapi/forcetrigger?t=a1rec7&amp;q=XNYS%3aDVA&amp;form=skydnc</v>
    <v>Learn more on Bing</v>
  </rv>
  <rv s="1">
    <v>0</v>
    <v>1</v>
    <v>DAVITA INC. (XNYS:DVA)</v>
    <v>3</v>
    <v>4</v>
    <v>Finance</v>
    <v>19</v>
    <v>de-DE</v>
    <v>a1rec7</v>
    <v>268435456</v>
    <v>1</v>
    <v>Unterstützt von Refinitiv</v>
    <v>159.41999999999999</v>
    <v>101</v>
    <v>-3.35</v>
    <v>-2.1797E-2</v>
    <v>66800000</v>
    <v>DaVita Inc. ist ein Gesundheitsdienstleister, der sich auf die Umgestaltung der Pflege konzentriert, um die Lebensqualität von Patienten auf der ganzen Welt zu verbessern. Das Unternehmen ist ein Anbieter von Nierendienstleistungen in den Vereinigten Staaten. Das Unternehmen bietet in den USA Dialysedienstleistungen und damit verbundene Labordienstleistungen für Patienten mit chronischem Nierenversagen und Nierenerkrankungen im Endstadium (ESKD) an. Die robuste Plattform des Unternehmens bietet Nierendienstleistungen an und verfügt über etablierte Beziehungen zu Nephrologen und Kostenträgern. Die internationalen Aktivitäten der Gesellschaft bieten Dialyse- und Verwaltungsdienstleistungen für eine Reihe von ambulanten Dialysezentren an. Das US-Geschäft der Gesellschaft im Bereich der integrierten Nierenversorgung (IKC) erbringt integrierte Versorgungs- und Krankheitsmanagement-Dienstleistungen für Patienten in risikobasierten integrierten Versorgungsvereinbarungen und für zusätzliche Patienten in anderen integrierten Versorgungsvereinbarungen in den Vereinigten Staaten. Darüber hinaus unterhält die Gesellschaft einige weitere Zusatzdienstleistungen und Investitionen außerhalb des US-Dialyse-, US-IKC- oder internationalen Geschäfts.</v>
    <v>0.91549999999999998</v>
    <v>10042712000</v>
    <v>New York Stock Exchange</v>
    <v>XNYS</v>
    <v>XNYS</v>
    <v>2000 16th St, DENVER, CO, 80202-5117 US</v>
    <v>153.72</v>
    <v>Healthcare Providers &amp; Services</v>
    <v>Aktie</v>
    <v>15.731</v>
    <v>162</v>
    <v>46113.958333356248</v>
    <v>78000</v>
    <v>DAVITA INC.</v>
    <v>150.32</v>
    <v>DAVITA INC.</v>
    <v>152.84</v>
    <v>150.34</v>
    <v>153.69</v>
    <v>DVA</v>
    <v>DAVITA INC. (XNYS:DVA)</v>
    <v>1994</v>
    <v>9</v>
    <v>895339</v>
    <v>USD</v>
  </rv>
  <rv s="2">
    <v>163</v>
  </rv>
  <rv s="3">
    <fb>154.43</fb>
    <v>6</v>
  </rv>
  <rv s="0">
    <v>https://www.bing.com/financeapi/forcetrigger?t=a1nda2&amp;q=XNAS%3aAMAT&amp;form=skydnc</v>
    <v>Learn more on Bing</v>
  </rv>
  <rv s="1">
    <v>0</v>
    <v>1</v>
    <v>APPLIED MATERIALS, INC. (XNAS:AMAT)</v>
    <v>3</v>
    <v>4</v>
    <v>Finance</v>
    <v>5</v>
    <v>de-DE</v>
    <v>a1nda2</v>
    <v>268435456</v>
    <v>1</v>
    <v>Unterstützt von Refinitiv</v>
    <v>395.95</v>
    <v>123.73650000000001</v>
    <v>12.01</v>
    <v>3.5139000000000004E-2</v>
    <v>793609900</v>
    <v>Applied Materials, Inc. Ist ein Unternehmen für Materialtechnik. Das Unternehmen bietet Ausrüstung, Dienstleistungen und Software für die Halbleiter-, Display- und verwandte Branchen an. Das Unternehmen ist in drei Segmenten tätig: Halbleitersysteme, Applied Global Services (AGS) und Display. Das Segment Halbleitersysteme entwirft, entwickelt, fertigt und verkauft eine Reihe von hauptsächlich 300-mm-Geräten zur Herstellung von Halbleiterchips, auch als integrierte Schaltungen (ICs) bezeichnet. Das AGS-Segment bietet Dienstleistungen, Ersatzteile und Software zur Fabrikautomatisierung für Kundenfabriken weltweit an. Das AGS-Segment produziert und verkauft auch 200-mm-Geräte und andere Geräte. Das Segment Display umfasst hauptsächlich Produkte zur Herstellung von Flüssigkristallanzeigen (LCDs), organischen Leuchtdioden (OLEDs) und anderen Displaytechnologien für Fernseher, Monitore, Laptops, PCs, Tablets, Smartphones und andere verbraucherorientierte Geräte.</v>
    <v>1.6365000000000001</v>
    <v>280779182620</v>
    <v>Nasdaq Stock Market</v>
    <v>XNAS</v>
    <v>XNAS</v>
    <v>3050 Bowers Avenue, P.O. Box 58039, SANTA CLARA, CA, 95054-3299 US</v>
    <v>359</v>
    <v>Semiconductors &amp; Semiconductor Equipment</v>
    <v>Aktie</v>
    <v>36.250500000000002</v>
    <v>166</v>
    <v>46113.999955381252</v>
    <v>35500</v>
    <v>APPLIED MATERIALS, INC.</v>
    <v>341.43</v>
    <v>APPLIED MATERIALS, INC.</v>
    <v>345.28500000000003</v>
    <v>353.8</v>
    <v>341.79</v>
    <v>AMAT</v>
    <v>APPLIED MATERIALS, INC. (XNAS:AMAT)</v>
    <v>1987</v>
    <v>9499</v>
    <v>7154363</v>
    <v>USD</v>
  </rv>
  <rv s="2">
    <v>167</v>
  </rv>
  <rv s="3">
    <fb>337.17</fb>
    <v>6</v>
  </rv>
  <rv s="0">
    <v>https://www.bing.com/financeapi/forcetrigger?t=bq89dm&amp;q=XNYS%3aCTVA&amp;form=skydnc</v>
    <v>Learn more on Bing</v>
  </rv>
  <rv s="1">
    <v>0</v>
    <v>1</v>
    <v>CORTEVA, INC. (XNYS:CTVA)</v>
    <v>3</v>
    <v>4</v>
    <v>Finance</v>
    <v>5</v>
    <v>de-DE</v>
    <v>bq89dm</v>
    <v>268435456</v>
    <v>1</v>
    <v>Unterstützt von Refinitiv</v>
    <v>84.139700000000005</v>
    <v>53.4</v>
    <v>0.1</v>
    <v>1.1949999999999999E-3</v>
    <v>671356500</v>
    <v>Corteva, Inc. Ist ein weltweit tätiges, reines Agrarunternehmen. Das Unternehmen ist ein weltweit tätiger Anbieter von Saatgut- und Pflanzenschutzlösungen, die sich auf die Landwirtschaft konzentrieren und zu einer gesünderen, sicheren und nachhaltigen Nahrungsmittelversorgung beitragen. Das Saatgut-Segment entwickelt und liefert kommerzielles Saatgut, das fortschrittliches Keimplasma und Eigenschaften kombiniert, die für landwirtschaftliche Betriebe auf der ganzen Welt optimale Erträge liefern. Das Unternehmen ist in verschiedenen wichtigen Saatgutmärkten tätig, darunter Mais und Sojabohnen in Nordamerika, Mais und Sonnenblumen in Europa sowie Mais in Brasilien, Indien, Südafrika und Argentinien. Das Segment Pflanzenschutz dient der globalen landwirtschaftlichen Produktionsindustrie mit Produkten, die vor Unkräutern, Insekten und anderen Schädlingen sowie Krankheiten schützen und die die allgemeine Gesundheit der Pflanzen sowohl über als auch unter der Erde durch Stickstoffmanagement und Saatgutausbringung unterstützen. Die Pflanzenschutzlösungen und digitalen Lösungen bieten Landwirten Werkzeuge zur Steigerung der Produktivität und helfen, Felder frei von Unkraut, Insekten und Krankheiten zu halten.</v>
    <v>0.67979999999999996</v>
    <v>56266388265</v>
    <v>New York Stock Exchange</v>
    <v>XNYS</v>
    <v>XNYS</v>
    <v>9330 ZIONSVILLE ROAD, INDIANAPOLIS, IN, 46268 US</v>
    <v>84.139700000000005</v>
    <v>Chemicals</v>
    <v>Aktie</v>
    <v>48.474499999999999</v>
    <v>170</v>
    <v>46113.986602753903</v>
    <v>21500</v>
    <v>CORTEVA, INC.</v>
    <v>82.720100000000002</v>
    <v>CORTEVA, INC.</v>
    <v>83.52</v>
    <v>83.81</v>
    <v>83.71</v>
    <v>CTVA</v>
    <v>CORTEVA, INC. (XNYS:CTVA)</v>
    <v>2018</v>
    <v>91</v>
    <v>4424855</v>
    <v>USD</v>
  </rv>
  <rv s="2">
    <v>171</v>
  </rv>
  <rv s="3">
    <fb>81.99</fb>
    <v>6</v>
  </rv>
  <rv s="0">
    <v>https://www.bing.com/financeapi/forcetrigger?t=a1s57w&amp;q=XNYS%3aEQT&amp;form=skydnc</v>
    <v>Learn more on Bing</v>
  </rv>
  <rv s="1">
    <v>0</v>
    <v>1</v>
    <v>EQT CORPORATION (XNYS:EQT)</v>
    <v>3</v>
    <v>4</v>
    <v>Finance</v>
    <v>5</v>
    <v>de-DE</v>
    <v>a1s57w</v>
    <v>268435456</v>
    <v>1</v>
    <v>Unterstützt von Refinitiv</v>
    <v>68.239999999999995</v>
    <v>43.57</v>
    <v>-2.5499999999999998</v>
    <v>-4.0069E-2</v>
    <v>624274000</v>
    <v>EQT Corporation ist ein führendes, vertikal integriertes amerikanisches Erdgasunternehmen, dessen Produktions- und Midstream-Aktivitäten sich auf das Appalachen-Becken konzentrieren. Das Unternehmen ist in Pennsylvania, West Virginia und Ohio tätig. In Pennsylvania besitzt oder pachtet das Unternehmen etwa 610.000 Acres (netto). Die meisten dieser Flächen befinden sich im Südwesten des Bundesstaates, die meisten davon in Greene und Washington Counties. In diesem Gebiet erschließt das Unternehmen das Marcellus Shale und Upper Devonian Shale. Außerdem besitzt oder pachtet das Unternehmen 405.000 Acres netto in West Virginia. Die meisten dieser Flächen befinden sich im Nordwesten des Bundesstaates, vor allem in den Bezirken Doddridge, Marion, Tyler und Wetzel. In Ost-Ohio besitzt oder pachtet das Unternehmen 65.000 Acres (netto) und erschließt das Utica-Schiefergestein in Belmont County. Das Unternehmen betreibt Utica-Bohrungen in seinem gesamten Gebiet in Ohio. Das Marcellus-Schiefergestein liegt in weiten Teilen von Ohio, Pennsylvania, New York und West Virginia fast eine Meile oder mehr unter der Oberfläche.</v>
    <v>0.69369999999999998</v>
    <v>38136898660</v>
    <v>New York Stock Exchange</v>
    <v>XNYS</v>
    <v>XNYS</v>
    <v>SUITE 1700, 625 LIBERTY AVENUE, PITTSBURGH, PA, 15222 US</v>
    <v>63.234999999999999</v>
    <v>Oil &amp; Gas</v>
    <v>Aktie</v>
    <v>18.434100000000001</v>
    <v>174</v>
    <v>46113.999792036717</v>
    <v>1523</v>
    <v>EQT CORPORATION</v>
    <v>60.954999999999998</v>
    <v>EQT CORPORATION</v>
    <v>62.494999999999997</v>
    <v>61.09</v>
    <v>63.64</v>
    <v>EQT</v>
    <v>EQT CORPORATION (XNYS:EQT)</v>
    <v>2008</v>
    <v>2952</v>
    <v>9238205</v>
    <v>USD</v>
  </rv>
  <rv s="2">
    <v>175</v>
  </rv>
  <rv s="3">
    <fb>67.55</fb>
    <v>6</v>
  </rv>
  <rv s="0">
    <v>https://www.bing.com/financeapi/forcetrigger?t=a1y4oc&amp;q=XNAS%3aMU&amp;form=skydnc</v>
    <v>Learn more on Bing</v>
  </rv>
  <rv s="1">
    <v>0</v>
    <v>1</v>
    <v>MICRON TECHNOLOGY, INC. (XNAS:MU)</v>
    <v>3</v>
    <v>4</v>
    <v>Finance</v>
    <v>5</v>
    <v>de-DE</v>
    <v>a1y4oc</v>
    <v>268435456</v>
    <v>1</v>
    <v>Unterstützt von Refinitiv</v>
    <v>471.34</v>
    <v>61.54</v>
    <v>30.01</v>
    <v>8.8828999999999991E-2</v>
    <v>1127734000</v>
    <v>Micron Technology, Inc. Bietet Speicher- und Speicherlösungen. Das Unternehmen bietet ein Portfolio an leistungsstarken DRAM-, NAND- und NOR-Speicher- und Speicherprodukten über seine Marken Micron und Crucial. Die Produkte des Unternehmens ermöglichen Fortschritte bei künstlicher Intelligenz (KI) und rechenintensiven Anwendungen. Zu den Segmenten gehören Compute and Networking Business Unit (CNBU), Mobile Business Unit (MBU), Embedded Business Unit (EBU) und Storage Business Unit (SBU). Das CNBU-Segment umfasst Speicherprodukte und -Lösungen, die für Rechenzentren, PC, Grafik und Netzwerkmärkte verkauft werden. Das MBU-Segment umfasst Speicher- und Speicherprodukte, die auf dem Smartphone- und anderen Märkten für mobile Geräte verkauft werden. Das EBU-Segment umfasst Speicher- und Speicherprodukte und -Lösungen, die über die Embedded-Märkte für Automobil, Industrie und Verbraucher an die intelligente Peripherie verkauft werden. Das SBU-Segment umfasst SSDs und Speicherlösungen auf Komponentenebene, die in Rechenzentren, PCs und Verbrauchermärkten verkauft werden.</v>
    <v>1.6064000000000001</v>
    <v>414836951900</v>
    <v>Nasdaq Stock Market</v>
    <v>XNAS</v>
    <v>XNAS</v>
    <v>8000 S Federal Way, Po Box 6, BOISE, ID, 83716-9632 US</v>
    <v>377.88990000000001</v>
    <v>Semiconductors &amp; Semiconductor Equipment</v>
    <v>Aktie</v>
    <v>34.966799999999999</v>
    <v>178</v>
    <v>46113.999966620315</v>
    <v>53000</v>
    <v>MICRON TECHNOLOGY, INC.</v>
    <v>343</v>
    <v>MICRON TECHNOLOGY, INC.</v>
    <v>348.90499999999997</v>
    <v>367.85</v>
    <v>337.84</v>
    <v>MU</v>
    <v>MICRON TECHNOLOGY, INC. (XNAS:MU)</v>
    <v>1984</v>
    <v>492686</v>
    <v>44586725</v>
    <v>USD</v>
  </rv>
  <rv s="2">
    <v>179</v>
  </rv>
  <rv s="3">
    <fb>357.22</fb>
    <v>6</v>
  </rv>
  <rv s="0">
    <v>https://www.bing.com/financeapi/forcetrigger?t=a246z2&amp;q=XNYS%3aTGT&amp;form=skydnc</v>
    <v>Learn more on Bing</v>
  </rv>
  <rv s="1">
    <v>0</v>
    <v>1</v>
    <v>TARGET CORPORATION (XNYS:TGT)</v>
    <v>3</v>
    <v>4</v>
    <v>Finance</v>
    <v>5</v>
    <v>de-DE</v>
    <v>a246z2</v>
    <v>268435456</v>
    <v>1</v>
    <v>Unterstützt von Refinitiv</v>
    <v>126</v>
    <v>83.44</v>
    <v>-0.75</v>
    <v>-6.1879999999999999E-3</v>
    <v>452855600</v>
    <v>Die Target Corporation ist ein allgemeiner Handelshändler, der Produkte über seine Geschäfte und digitalen Kanäle an seine Gäste verkauft. Das Unternehmen bietet Kunden, die als Gäste bezeichnet werden, Alltagsgegenstände und modische, differenzierte Waren zu ermäßigten Preisen. Die meisten Geschäfte bieten ein breites Sortiment an allgemeinen Waren und Lebensmitteln an. Zu den Warenkategorien gehören Bekleidung und Accessoires, Kosmetik- und Haushaltsartikel, Speisen und Getränke, Hardlines sowie Möbel und Dekor. Die meisten der Geschäfte sind größer als 170.000 Quadratmeter, bieten eine Vielzahl von allgemeinen Waren und eine komplette Reihe von Lebensmitteln, vergleichbar mit traditionellen Supermärkten. Zu den digitalen Kanälen gehören ein umfangreiches Merchandise- und Lebensmittelsortiment, darunter viele Artikel, die in seinen Geschäften gefunden werden, sowie ein ergänzendes Sortiment, das vom Unternehmen und von Dritten verkauft wird. Zu den Marken gehören A New Day, Ava &amp; Viv, Cloud Island, Favorite Day und andere. Es bedient Gäste in fast 2.000 Geschäften und in Target.com.</v>
    <v>1.0316000000000001</v>
    <v>54546457020</v>
    <v>New York Stock Exchange</v>
    <v>XNYS</v>
    <v>XNYS</v>
    <v>1000 Nicollet Mall, MINNEAPOLIS, MN, 55403 US</v>
    <v>122.145</v>
    <v>Diversified Retail</v>
    <v>Aktie</v>
    <v>14.615399999999999</v>
    <v>182</v>
    <v>46113.999185832814</v>
    <v>415000</v>
    <v>TARGET CORPORATION</v>
    <v>120.41</v>
    <v>TARGET CORPORATION</v>
    <v>121.15</v>
    <v>120.45</v>
    <v>121.2</v>
    <v>TGT</v>
    <v>TARGET CORPORATION (XNYS:TGT)</v>
    <v>1902</v>
    <v>1041</v>
    <v>6596857</v>
    <v>USD</v>
  </rv>
  <rv s="2">
    <v>183</v>
  </rv>
  <rv s="3">
    <fb>119.84</fb>
    <v>6</v>
  </rv>
  <rv s="0">
    <v>https://www.bing.com/financeapi/forcetrigger?t=a1wkbh&amp;q=XNYS%3aKMI&amp;form=skydnc</v>
    <v>Learn more on Bing</v>
  </rv>
  <rv s="1">
    <v>0</v>
    <v>1</v>
    <v>KINDER MORGAN, INC. (XNYS:KMI)</v>
    <v>3</v>
    <v>4</v>
    <v>Finance</v>
    <v>5</v>
    <v>de-DE</v>
    <v>a1wkbh</v>
    <v>268435456</v>
    <v>1</v>
    <v>Unterstützt von Refinitiv</v>
    <v>34.725999999999999</v>
    <v>23.94</v>
    <v>-0.65</v>
    <v>-1.9386E-2</v>
    <v>2224806000</v>
    <v>Kinder Morgan, Inc. ist ein Energieinfrastrukturunternehmen. Das Unternehmen besitzt oder betreibt etwa 79.000 Meilen an Pipelines und 139 Terminals. Das Segment Erdgaspipelines umfasst den Besitz und Betrieb von zwischenstaatlichen und innerstaatlichen Erdgaspipelines und -speichersystemen sowie von Erdgassammelsystemen und Erdgasverarbeitungs- und -aufbereitungsanlagen. Das Segment Produktpipelines umfasst das Eigentum und den Betrieb von Pipelines für raffinierte Erdölprodukte, Rohöl und Kondensat, die in erster Linie Benzin, Diesel und Düsentreibstoff, Rohöl und Kondensat an verschiedene Märkte liefern, sowie das Eigentum und/oder den Betrieb von zugehörigen Produktterminals und Transmix-Anlagen für Erdölpipelines. Das Segment Terminals umfasst das Eigentum und/oder den Betrieb von Flüssig- und Massengut-Terminals sowie von nach dem Jones Act zugelassenen Tankschiffen. Das Segment CO2 befasst sich mit der Produktion, dem Transport und der Vermarktung von CO2 für Ölfelder.</v>
    <v>0.62980000000000003</v>
    <v>73151621280</v>
    <v>New York Stock Exchange</v>
    <v>XNYS</v>
    <v>XNYS</v>
    <v>1001 Louisiana Street, Suite 1000, HOUSTON, TX, 77002 US</v>
    <v>33.3123</v>
    <v>Oil &amp; Gas Related Equipment and Services</v>
    <v>Aktie</v>
    <v>24.0486</v>
    <v>186</v>
    <v>46113.999561805467</v>
    <v>11028</v>
    <v>KINDER MORGAN, INC.</v>
    <v>32.520000000000003</v>
    <v>KINDER MORGAN, INC.</v>
    <v>33.15</v>
    <v>32.880000000000003</v>
    <v>33.53</v>
    <v>KMI</v>
    <v>KINDER MORGAN, INC. (XNYS:KMI)</v>
    <v>2006</v>
    <v>2966</v>
    <v>14393574</v>
    <v>USD</v>
  </rv>
  <rv s="2">
    <v>187</v>
  </rv>
  <rv s="3">
    <fb>34.03</fb>
    <v>6</v>
  </rv>
  <rv s="0">
    <v>https://www.bing.com/financeapi/forcetrigger?t=a21gh7&amp;q=XNYS%3aPWR&amp;form=skydnc</v>
    <v>Learn more on Bing</v>
  </rv>
  <rv s="1">
    <v>0</v>
    <v>1</v>
    <v>QUANTA SERVICES, INC. (XNYS:PWR)</v>
    <v>3</v>
    <v>4</v>
    <v>Finance</v>
    <v>5</v>
    <v>de-DE</v>
    <v>a21gh7</v>
    <v>268435456</v>
    <v>1</v>
    <v>Unterstützt von Refinitiv</v>
    <v>583.73</v>
    <v>227.08</v>
    <v>11.1</v>
    <v>2.0218E-2</v>
    <v>149619400</v>
    <v>Quanta Services, Inc. Bietet spezialisierte Infrastrukturlösungen für Versorgungsunternehmen, erneuerbare Energien, Technologie, Kommunikation, Pipeline, und Energiebranchen in den USA, Kanada, Australien und anderen internationalen Märkten. Zu den Segmenten zählen elektrische Infrastrukturlösungen (elektrisch) sowie unterirdische Versorgungslösungen und Infrastrukturlösungen (unterirdisch und infrastrukturell). Electric bietet umfassende Dienstleistungen für die Märkte Strom, erneuerbare Energien, Technologie und Kommunikation. Zu den Dienstleistungen gehören Planung, Beschaffung, Neubau, Modernisierung, Reparatur und Wartung von Stromübertragungs- und -Verteilungsinfrastrukturen, sowohl über- als auch unter-, und Umspannwerke sowie andere technische und technische Dienstleistungen. Underground and Infrastructure bietet umfassende Infrastrukturlösungen für Kunden, die mit Transport, Verteilung, Lagerung, Entwicklung und Verarbeitung von Erdgas, Öl und anderen Produkten befasst sind.</v>
    <v>1.1053999999999999</v>
    <v>83804818328</v>
    <v>New York Stock Exchange</v>
    <v>XNYS</v>
    <v>XNYS</v>
    <v>2727 NORTH LOOP WEST, HOUSTON, TX, 77008 US</v>
    <v>569.27</v>
    <v>Construction &amp; Engineering</v>
    <v>Aktie</v>
    <v>82.434799999999996</v>
    <v>190</v>
    <v>46113.999456735939</v>
    <v>69500</v>
    <v>QUANTA SERVICES, INC.</v>
    <v>554.05999999999995</v>
    <v>QUANTA SERVICES, INC.</v>
    <v>555.88499999999999</v>
    <v>560.12</v>
    <v>549.02</v>
    <v>PWR</v>
    <v>QUANTA SERVICES, INC. (XNYS:PWR)</v>
    <v>1997</v>
    <v>405</v>
    <v>1196114</v>
    <v>USD</v>
  </rv>
  <rv s="2">
    <v>191</v>
  </rv>
  <rv s="3">
    <fb>549.98</fb>
    <v>6</v>
  </rv>
  <rv s="0">
    <v>https://www.bing.com/financeapi/forcetrigger?t=a227lh&amp;q=XNAS%3aROST&amp;form=skydnc</v>
    <v>Learn more on Bing</v>
  </rv>
  <rv s="1">
    <v>0</v>
    <v>1</v>
    <v>ROSS STORES, INC. (XNAS:ROST)</v>
    <v>3</v>
    <v>4</v>
    <v>Finance</v>
    <v>5</v>
    <v>de-DE</v>
    <v>a227lh</v>
    <v>268435456</v>
    <v>1</v>
    <v>Unterstützt von Refinitiv</v>
    <v>222.03</v>
    <v>124.36</v>
    <v>3.32</v>
    <v>1.5325999999999999E-2</v>
    <v>323444900</v>
    <v>Ross Stores, Inc. Betreibt zwei Marken von Sonderbekleidung für den Einzelhandel und Heimmode-Stores: Ross Dress for Less (Ross) und dds RABATTE. Ross ist die außerpreisige Bekleidungs- und Heimmodekette in den Vereinigten Staaten mit rund 1.831 Standorten in 43 bundesstaaten, im District of Columbia und Guam. Ross bietet in der Saison Bekleidung, Markenbekleidung und Designermode, Accessoires, Schuhe und Heimmode für die ganze Familie zu einem Rabatt von 20 % bis 60 % auf reguläre Preise in Abteilungen und Fachgeschäften. Die Zielkunden von Ross stammen in erster Linie aus Haushalten mit mittlerem Einkommen. Außerdem betreibt es etwa 355 dds-RABATTLÄDEN in 22 bundesstaaten. dds RABATTE bieten günstigere Saisonpreise, Markenbekleidung, Accessoires, Schuhe und Heimmode für die ganze Familie, mit Preisnachlässen von 20 % bis 70 % Rabatt auf normale Preise in Abteilungen und Discountgeschäften. Es betreibt insgesamt etwa 2.186 Geschäfte.</v>
    <v>0.92679999999999996</v>
    <v>71141705755</v>
    <v>Nasdaq Stock Market</v>
    <v>XNAS</v>
    <v>XNAS</v>
    <v>5130 Hacienda Drive, DUBLIN, CA, 94568 US</v>
    <v>222.03</v>
    <v>Specialty Retailers</v>
    <v>Aktie</v>
    <v>34.378100000000003</v>
    <v>194</v>
    <v>46113.993775682815</v>
    <v>111000</v>
    <v>ROSS STORES, INC.</v>
    <v>216.47</v>
    <v>ROSS STORES, INC.</v>
    <v>217.74</v>
    <v>219.95</v>
    <v>216.63</v>
    <v>ROST</v>
    <v>ROSS STORES, INC. (XNAS:ROST)</v>
    <v>1989</v>
    <v>114</v>
    <v>3072308</v>
    <v>USD</v>
  </rv>
  <rv s="2">
    <v>195</v>
  </rv>
  <rv s="3">
    <fb>211.69</fb>
    <v>6</v>
  </rv>
  <rv s="0">
    <v>https://www.bing.com/financeapi/forcetrigger?t=a25obh&amp;q=XNYS%3aVZ&amp;form=skydnc</v>
    <v>Learn more on Bing</v>
  </rv>
  <rv s="1">
    <v>0</v>
    <v>1</v>
    <v>VERIZON COMMUNICATIONS INC. (XNYS:VZ)</v>
    <v>3</v>
    <v>4</v>
    <v>Finance</v>
    <v>5</v>
    <v>de-DE</v>
    <v>a25obh</v>
    <v>268435456</v>
    <v>1</v>
    <v>Unterstützt von Refinitiv</v>
    <v>51.68</v>
    <v>38.39</v>
    <v>-0.81</v>
    <v>-1.6135E-2</v>
    <v>4217684000</v>
    <v>Verizon Communications Inc. ist eine Holdinggesellschaft. Das Unternehmen bietet über seine Tochtergesellschaften Kommunikations-, Technologie-, Informations- und Streaming-Produkte und -Dienste für Verbraucher, Unternehmen und Behörden an. Das Segment Verbraucher bietet drahtlose und drahtgebundene Kommunikationsdienste an. Darüber hinaus bietet es über sein 5G- bzw. 4G-LTE-Netzportfolio (Long-Term Evolution) Breitband für den Festnetzzugang (FWA) an. Das Segment Geschäftsbereich bietet drahtlose und drahtgebundene Kommunikationsdienste und -produkte an, darunter FWA-Breitband, Daten-, Video- und erweiterte Kommunikationsdienste, Unternehmensnetzwerklösungen, Sicherheits- und verwaltete Netzwerkdienste, lokale und Ferngespräche sowie Netzwerkzugang zur Bereitstellung verschiedener IoT-Dienste und -Produkte. Diese Produkte und Dienste werden Unternehmen, Kunden des öffentlichen Sektors sowie Mobilfunk- und Festnetzanbietern in den USA und teilweise auch Kunden weltweit angeboten.</v>
    <v>0.27100000000000002</v>
    <v>208311412760</v>
    <v>New York Stock Exchange</v>
    <v>XNYS</v>
    <v>XNYS</v>
    <v>1095 Avenue Of The Americas, NEW YORK, NY, 10036 US</v>
    <v>50.17</v>
    <v>Telecommunications Services</v>
    <v>Aktie</v>
    <v>12.1652</v>
    <v>198</v>
    <v>46113.999736712503</v>
    <v>89900</v>
    <v>VERIZON COMMUNICATIONS INC.</v>
    <v>49.17</v>
    <v>VERIZON COMMUNICATIONS INC.</v>
    <v>50.07</v>
    <v>49.39</v>
    <v>50.2</v>
    <v>VZ</v>
    <v>VERIZON COMMUNICATIONS INC. (XNYS:VZ)</v>
    <v>1983</v>
    <v>4574</v>
    <v>27075848</v>
    <v>USD</v>
  </rv>
  <rv s="2">
    <v>199</v>
  </rv>
  <rv s="3">
    <fb>50.31</fb>
    <v>6</v>
  </rv>
  <rv s="0">
    <v>https://www.bing.com/financeapi/forcetrigger?t=a1s4mw&amp;q=XNAS%3aEQIX&amp;form=skydnc</v>
    <v>Learn more on Bing</v>
  </rv>
  <rv s="1">
    <v>0</v>
    <v>1</v>
    <v>EQUINIX, INC. (XNAS:EQIX)</v>
    <v>3</v>
    <v>4</v>
    <v>Finance</v>
    <v>19</v>
    <v>de-DE</v>
    <v>a1s4mw</v>
    <v>268435456</v>
    <v>1</v>
    <v>Unterstützt von Refinitiv</v>
    <v>999.67</v>
    <v>701.41</v>
    <v>15.74</v>
    <v>1.6056999999999998E-2</v>
    <v>98254930</v>
    <v>Equinix, Inc. ist ein Unternehmen für digitale Infrastruktur. Die Plattform des Unternehmens, Equinix, kombiniert eine globale Präsenz von International Business Exchange (IBX) und xScale-Rechenzentren in den Regionen Nord- und Südamerika, Asien-Pazifik und Europa, Naher Osten und Afrika (EMEA), Zusammenschaltungslösungen, digitale Angebote, Geschäfts- und digitale Ökosysteme sowie Beratung und Support. Equinix bietet eine Vielzahl von Lösungen an, die Kunden bei der Implementierung, dem Betrieb und der Wartung ihrer Colocated-Implementierungen unterstützen. Zu den Lösungen gehören Equinix SmartView, Equinix Smart Hands und Equinix Smart Build (ESB). Equinix SmartView ist eine vollständig integrierte Überwachungssoftware, die den Kunden einen Einblick in die für ihren spezifischen Equinix-Footprint relevanten Betriebsdaten bietet. Die Interconnection-Lösungen von Equinix verbinden Unternehmen direkt innerhalb und zwischen den Rechenzentren der globalen Plattform. Zu den Interconnection-Lösungen gehören Equinix Fabric, Equinix Fabric Cloud Router, Cross Connects und andere.</v>
    <v>0.99870000000000003</v>
    <v>97859945181</v>
    <v>Nasdaq Stock Market</v>
    <v>XNAS</v>
    <v>XNAS</v>
    <v>One Lagoon Drive, REDWOOD CITY, CA, 94065 US</v>
    <v>999.67</v>
    <v>Residential &amp; Commercial REIT</v>
    <v>Aktie</v>
    <v>72.380200000000002</v>
    <v>202</v>
    <v>46113.998879791405</v>
    <v>13716</v>
    <v>EQUINIX, INC.</v>
    <v>978.02</v>
    <v>EQUINIX, INC.</v>
    <v>985.17</v>
    <v>995.98</v>
    <v>980.24</v>
    <v>EQIX</v>
    <v>EQUINIX, INC. (XNAS:EQIX)</v>
    <v>1998</v>
    <v>15</v>
    <v>664166</v>
    <v>USD</v>
  </rv>
  <rv s="2">
    <v>203</v>
  </rv>
  <rv s="3">
    <fb>963</fb>
    <v>6</v>
  </rv>
  <rv s="0">
    <v>https://www.bing.com/financeapi/forcetrigger?t=a1z3h7&amp;q=XNAS%3aODFL&amp;form=skydnc</v>
    <v>Learn more on Bing</v>
  </rv>
  <rv s="1">
    <v>0</v>
    <v>1</v>
    <v>OLD DOMINION FREIGHT LINE, INC. (XNAS:ODFL)</v>
    <v>3</v>
    <v>4</v>
    <v>Finance</v>
    <v>5</v>
    <v>de-DE</v>
    <v>a1z3h7</v>
    <v>268435456</v>
    <v>1</v>
    <v>Unterstützt von Refinitiv</v>
    <v>221.625</v>
    <v>126.01</v>
    <v>4.2300000000000004</v>
    <v>2.1648000000000001E-2</v>
    <v>208425600</v>
    <v>Die Old Dominion Freight Line, Inc. Ist ein LTL-Motorträger (Low-than-Truckload). Das Unternehmen bietet regionale, interregionale und nationale LTL-Dienste über eine einzige integrierte, gewerkschaftsfreie Organisation an. Das Serviceangebot, zu dem auch der beschleunigte Transport gehört, wird über ein ausgedehntes Netzwerk von Service-Centern auf dem gesamten US-amerikanischen Festland bereitgestellt. Es bietet eine Reihe von Mehrwertdienstleistungen, einschließlich Containerdrayage, Lastwagenvermittlung und Supply Chain Consulting. Sie betreibt etwa 261 Service Center-Standorte, davon 239 und 22 angemietet. Die Servicezentren sind für die Abholung und Lieferung der Fracht innerhalb ihres lokalen Servicegebiets verantwortlich. Die Systeme ermöglichen es ihren Kunden, Zugriff auf Informationen wie Frachtverfolgung, Versanddokumente, Preisangebote, Tarifdatenbanken und Kontoaktivitäten zu bieten. Die integrierte System- und Kundendienstabteilung bietet seinen Kunden einen zentralen Ansprechpartner für den Zugriff auf Informationen.</v>
    <v>1.2059</v>
    <v>41608002528</v>
    <v>Nasdaq Stock Market</v>
    <v>XNAS</v>
    <v>XNAS</v>
    <v>500 Old Dominion Way, THOMASVILLE, NC, 27360 US</v>
    <v>201.63</v>
    <v>Freight &amp; Logistics Services</v>
    <v>Aktie</v>
    <v>41.270499999999998</v>
    <v>206</v>
    <v>46113.994573495314</v>
    <v>20591</v>
    <v>OLD DOMINION FREIGHT LINE, INC.</v>
    <v>194.67</v>
    <v>OLD DOMINION FREIGHT LINE, INC.</v>
    <v>194.67</v>
    <v>199.63</v>
    <v>195.4</v>
    <v>ODFL</v>
    <v>OLD DOMINION FREIGHT LINE, INC. (XNAS:ODFL)</v>
    <v>1950</v>
    <v>8</v>
    <v>2356094</v>
    <v>USD</v>
  </rv>
  <rv s="2">
    <v>207</v>
  </rv>
  <rv s="3">
    <fb>188.34</fb>
    <v>6</v>
  </rv>
  <rv s="0">
    <v>https://www.bing.com/financeapi/forcetrigger?t=a1xxmw&amp;q=XNYS%3aMRK&amp;form=skydnc</v>
    <v>Learn more on Bing</v>
  </rv>
  <rv s="1">
    <v>0</v>
    <v>1</v>
    <v>MERCK &amp; CO., INC. (XNYS:MRK)</v>
    <v>3</v>
    <v>4</v>
    <v>Finance</v>
    <v>5</v>
    <v>de-DE</v>
    <v>a1xxmw</v>
    <v>268435456</v>
    <v>1</v>
    <v>Unterstützt von Refinitiv</v>
    <v>125.14</v>
    <v>73.31</v>
    <v>0.55000000000000004</v>
    <v>4.5719999999999997E-3</v>
    <v>2472392000</v>
    <v>Merck &amp; Co., Inc. Ist ein weltweit tätiges Gesundheitsunternehmen, das Gesundheitslösungen über seine verschreibungspflichtigen Medikamente, einschließlich biologischer Therapien, Impfstoffe und Tiergesundheitsprodukte, anbietet. Das Segment Pharma umfasst pharmazeutische Produkte und Impfstoffe für die menschliche Gesundheit. Das Unternehmen verkauft seine pharmazeutischen Produkte für die menschliche Gesundheit in erster Linie an Arzneimittelgroßhändler und -Einzelhändler, Krankenhäuser, Regierungsbehörden und Anbieter von Managed Health Care. Es verkauft diese Impfstoffe für die menschliche Gesundheit in erster Linie an Ärzte, Großhändler, Händler und Regierungsstellen. Das Segment Animal Health entdeckt, entwickelt, produziert und vermarktet eine Reihe von tierärztlichen pharmazeutischen und Impfstoffen sowie Lösungen und Dienstleistungen für das Gesundheitsmanagement zur Prävention, Behandlung und Bekämpfung von Krankheiten bei allen Nutztieren und Haustierarten. Zu den Produkten gehören KEYTRUDA (Pembrolizumab) Injektion zur intravenösen Anwendung, WELIREG (Belzutifan) Tabletten zum Einnehmen, Ohtuvayre (Ensifentrin) und andere.</v>
    <v>0.28129999999999999</v>
    <v>298763849280</v>
    <v>New York Stock Exchange</v>
    <v>XNYS</v>
    <v>XNYS</v>
    <v>126 East Lincoln Avenue, P.O. Box 2000, RAHWAY, NJ, 07065 US</v>
    <v>122.19</v>
    <v>Pharmaceuticals</v>
    <v>Aktie</v>
    <v>16.607800000000001</v>
    <v>210</v>
    <v>46113.99805487266</v>
    <v>75000</v>
    <v>MERCK &amp; CO., INC.</v>
    <v>120.27</v>
    <v>MERCK &amp; CO., INC.</v>
    <v>120.88</v>
    <v>120.84</v>
    <v>120.29</v>
    <v>MRK</v>
    <v>MERCK &amp; CO., INC. (XNYS:MRK)</v>
    <v>1970</v>
    <v>834</v>
    <v>10634089</v>
    <v>USD</v>
  </rv>
  <rv s="2">
    <v>211</v>
  </rv>
  <rv s="3">
    <fb>119.63</fb>
    <v>6</v>
  </rv>
  <rv s="0">
    <v>https://www.bing.com/financeapi/forcetrigger?t=a1sqr7&amp;q=XNYS%3aFDX&amp;form=skydnc</v>
    <v>Learn more on Bing</v>
  </rv>
  <rv s="1">
    <v>0</v>
    <v>1</v>
    <v>FEDEX CORPORATION (XNYS:FDX)</v>
    <v>3</v>
    <v>4</v>
    <v>Finance</v>
    <v>5</v>
    <v>de-DE</v>
    <v>a1sqr7</v>
    <v>268435456</v>
    <v>1</v>
    <v>Unterstützt von Refinitiv</v>
    <v>392.86</v>
    <v>194.29499999999999</v>
    <v>3.13</v>
    <v>8.7880000000000007E-3</v>
    <v>238606800</v>
    <v>FedEx Corporation bietet Kunden und Unternehmen ein Portfolio an Transportdienstleistungen, E-Commerce und Geschäftsdienstleistungen. Das Unternehmen bietet integrierte Geschäftslösungen unter Verwendung seines flexiblen und effizienten globalen Netzwerks. Zu den Segmenten gehören Federal Express, FedEx Freight und Corporate, Other und Eliminierungen. Das Segment Federal Express umfasst Expressverkehr, Lieferung von Kleinpaketen an Land und Frachttransport und betreibt außerdem kombinierte Vertriebs-, Marketing-, Verwaltungs- und Informationstechnologie-Funktionen im Shared Service-Betrieb für US-Kunden. Das Segment FedEx Freight umfasst FedEx Freight (LTL-Frachttransport) und FedEx Custom Critical (zeitkritischer Transport). Zu den Segmenten Unternehmen, Sonstige und Eliminierung gehören FedEx Dataworks, Inc. (FedEx Dataworks), FedEx Office and Print Services, Inc. (FedEx Office) und FedEx Logistics, Inc. (FedEx Logistics). FedEx Logistics bietet Zollvermittlung, Spezialtransporte und andere.</v>
    <v>1.2863</v>
    <v>85733809308</v>
    <v>New York Stock Exchange</v>
    <v>XNYS</v>
    <v>XNYS</v>
    <v>942 South Shady Grove Road, MEMPHIS, TN, 38120 US</v>
    <v>365.93</v>
    <v>Freight &amp; Logistics Services</v>
    <v>Aktie</v>
    <v>19.835000000000001</v>
    <v>214</v>
    <v>46113.98515412031</v>
    <v>237000</v>
    <v>FEDEX CORPORATION</v>
    <v>357.8</v>
    <v>FEDEX CORPORATION</v>
    <v>358.89</v>
    <v>359.31</v>
    <v>356.18</v>
    <v>FDX</v>
    <v>FEDEX CORPORATION (XNYS:FDX)</v>
    <v>1997</v>
    <v>602</v>
    <v>2099840</v>
    <v>USD</v>
  </rv>
  <rv s="2">
    <v>215</v>
  </rv>
  <rv s="3">
    <fb>343.97</fb>
    <v>6</v>
  </rv>
  <rv s="0">
    <v>https://www.bing.com/financeapi/forcetrigger?t=a1x4f2&amp;q=XNAS%3aLRCX&amp;form=skydnc</v>
    <v>Learn more on Bing</v>
  </rv>
  <rv s="1">
    <v>0</v>
    <v>1</v>
    <v>LAM RESEARCH CORPORATION (XNAS:LRCX)</v>
    <v>3</v>
    <v>4</v>
    <v>Finance</v>
    <v>5</v>
    <v>de-DE</v>
    <v>a1x4f2</v>
    <v>268435456</v>
    <v>1</v>
    <v>Unterstützt von Refinitiv</v>
    <v>256.68</v>
    <v>56.32</v>
    <v>8.35</v>
    <v>3.9081000000000005E-2</v>
    <v>1248771000</v>
    <v>Lam Research Corporation ist ein weltweit tätiger Anbieter von Ausrüstungen und Dienstleistungen für die Halbleiterindustrie. Das Unternehmen entwirft, produziert, vermarktet, saniert und wartet Halbleiterverarbeitungsgeräte, die zur Herstellung integrierter Schaltungen verwendet werden. Seine Produkte und Dienstleistungen sollen seinen Kunden dabei helfen, Geräte zu bauen, die in einer Vielzahl von elektronischen Produkten verwendet werden, darunter Mobiltelefone, PCs, Server, Wearables, Fahrzeugfahrzeuge und Datenspeichergeräte. Zu den Produktfamilien gehören ALTUS, SABRE, SPEED, Striker, VEKTOR, Flex, Vantex, Kiyo, Versys Metal, Syndion, Coronus und DV-Prime, da Vinci, EOS und SP Serie. Der Kundenstamm umfasst Halbleiterspeicher, Gießereien und Hersteller integrierter Geräte, die Produkte wie nichtflüchtigen Speicher, dynamischen Random-Access-Speicher und Logikbausteine herstellen. Es bietet Dienstleistungen in Bereichen wie Nanoanwendungen Enablement, Chemie, Plasma und Fluidik und anderen.</v>
    <v>1.7905</v>
    <v>277239649710</v>
    <v>Nasdaq Stock Market</v>
    <v>XNAS</v>
    <v>XNAS</v>
    <v>4650 Cushing Blvd, FREMONT, CA, 94538 US</v>
    <v>225.5</v>
    <v>Semiconductors &amp; Semiconductor Equipment</v>
    <v>Aktie</v>
    <v>45.500799999999998</v>
    <v>218</v>
    <v>46113.999966481249</v>
    <v>19000</v>
    <v>LAM RESEARCH CORPORATION</v>
    <v>215</v>
    <v>LAM RESEARCH CORPORATION</v>
    <v>215.45</v>
    <v>222.01</v>
    <v>213.66</v>
    <v>LRCX</v>
    <v>LAM RESEARCH CORPORATION (XNAS:LRCX)</v>
    <v>1989</v>
    <v>13955</v>
    <v>11120138</v>
    <v>USD</v>
  </rv>
  <rv s="2">
    <v>219</v>
  </rv>
  <rv s="3">
    <fb>211.41</fb>
    <v>6</v>
  </rv>
  <rv s="0">
    <v>https://www.bing.com/financeapi/forcetrigger?t=a1mvm7&amp;q=XNYS%3aADM&amp;form=skydnc</v>
    <v>Learn more on Bing</v>
  </rv>
  <rv s="1">
    <v>0</v>
    <v>1</v>
    <v>ARCHER-DANIELS-MIDLAND COMPANY. (XNYS:ADM)</v>
    <v>3</v>
    <v>4</v>
    <v>Finance</v>
    <v>19</v>
    <v>de-DE</v>
    <v>a1mvm7</v>
    <v>268435456</v>
    <v>1</v>
    <v>Unterstützt von Refinitiv</v>
    <v>74.19</v>
    <v>40.98</v>
    <v>-0.32</v>
    <v>-4.4019999999999997E-3</v>
    <v>481895100</v>
    <v>Archer-Daniels-Midland Company ist ein globaler Manager und Verarbeiter von landwirtschaftlichen Produkten, der durch die Verknüpfung lokaler Bedürfnisse mit globalen Fähigkeiten für Ernährungssicherheit sorgt. Archer-Daniels-Midland ist ein Anbieter von Human- und Tiernahrung. Das Segment Agrardienstleistungen und Ölsaaten umfasst globale Aktivitäten im Zusammenhang mit der Beschaffung, dem Handel, dem Transport und der Lagerung von landwirtschaftlichen Rohstoffen sowie der Zerkleinerung und Weiterverarbeitung von Ölsaaten wie Sojabohnen und Weichsamen zu Pflanzenölen und Proteinmehl. Das Segment Carbohydrate Solutions befasst sich mit der Nass- und Trockenvermahlung von Mais und Weizen und anderen Aktivitäten. Das Segment Nutrition befasst sich mit der Entwicklung, der Herstellung, dem Verkauf und dem Vertrieb einer breiten Palette von Inhaltsstoffen und Lösungen, darunter pflanzliche Proteine, Aromen und Farbstoffe aus der Natur, Aromasysteme, Emulgatoren, lösliche Ballaststoffe, Polyole, Hydrokolloide, Probiotika, Präbiotika, Postbiotika, Enzyme, Pflanzenextrakte und andere spezielle Lebensmittel- und Futtermittelzutaten und -systeme.</v>
    <v>0.63629999999999998</v>
    <v>34874748387</v>
    <v>New York Stock Exchange</v>
    <v>XNYS</v>
    <v>XNYS</v>
    <v>77 W. Wacker Dr., CHICAGO, IL, 60601 US</v>
    <v>73.84</v>
    <v>Food &amp; Tobacco</v>
    <v>Aktie</v>
    <v>32.474200000000003</v>
    <v>222</v>
    <v>46113.997014560155</v>
    <v>40798</v>
    <v>ARCHER-DANIELS-MIDLAND COMPANY.</v>
    <v>71.680000000000007</v>
    <v>ARCHER-DANIELS-MIDLAND COMPANY.</v>
    <v>73.319999999999993</v>
    <v>72.37</v>
    <v>72.69</v>
    <v>ADM</v>
    <v>ARCHER-DANIELS-MIDLAND COMPANY. (XNYS:ADM)</v>
    <v>1923</v>
    <v>213</v>
    <v>4429433</v>
    <v>USD</v>
  </rv>
  <rv s="2">
    <v>223</v>
  </rv>
  <rv s="3">
    <fb>72.23</fb>
    <v>6</v>
  </rv>
  <rv s="0">
    <v>https://www.bing.com/financeapi/forcetrigger?t=a25xm7&amp;q=XNYS%3aWMB&amp;form=skydnc</v>
    <v>Learn more on Bing</v>
  </rv>
  <rv s="1">
    <v>0</v>
    <v>1</v>
    <v>THE WILLIAMS COMPANIES, INC. (XNYS:WMB)</v>
    <v>3</v>
    <v>4</v>
    <v>Finance</v>
    <v>5</v>
    <v>de-DE</v>
    <v>a25xm7</v>
    <v>268435456</v>
    <v>1</v>
    <v>Unterstützt von Refinitiv</v>
    <v>76.87</v>
    <v>51.58</v>
    <v>-0.95</v>
    <v>-1.3052999999999999E-2</v>
    <v>1222857000</v>
    <v>Williams Companies, Inc. ist ein Energieunternehmen. Zu seinen Segmenten gehören Transmission &amp; Gulf of America, Northeast G&amp;P, West, und Gas &amp; NGL Marketing Services. Das Segment Transmission &amp; Gulf of America umfasst die zwischenstaatlichen Erdgaspipelines Transco, NWP und MountainWest und die dazugehörigen Erdgasspeicher sowie die Erdgasgewinnung und -verarbeitung und die Rohölförderung und -beförderung in der Golfküstenregion. Northeast G&amp;P umfasst das Midstream-Geschäft der Gasgewinnung, -verarbeitung und -fraktionierung in der Region Marcellus Shale. Das Segment West umfasst unter anderem die Gasgewinnung, -verarbeitung und -aufbereitung in der Rocky Mountain Region in Colorado und Wyoming, in der Barnett Shale Region in Nord-Zentral-Texas und in der Eagle Ford Shale Region in Süd-Texas. Das Segment Gas- und NGL-Vermarktungsdienste umfasst die Vermarktung von Erdgasflüssigkeiten (NGL) und Erdgas sowie den Handel.</v>
    <v>0.65290000000000004</v>
    <v>87837818310</v>
    <v>New York Stock Exchange</v>
    <v>XNYS</v>
    <v>XNYS</v>
    <v>One Williams Ctr, TULSA, OK, 74172 US</v>
    <v>72.625</v>
    <v>Oil &amp; Gas Related Equipment and Services</v>
    <v>Aktie</v>
    <v>33.7194</v>
    <v>226</v>
    <v>46113.995145462497</v>
    <v>5987</v>
    <v>THE WILLIAMS COMPANIES, INC.</v>
    <v>71.08</v>
    <v>THE WILLIAMS COMPANIES, INC.</v>
    <v>71.75</v>
    <v>71.83</v>
    <v>72.78</v>
    <v>WMB</v>
    <v>THE WILLIAMS COMPANIES, INC. (XNYS:WMB)</v>
    <v>1987</v>
    <v>1</v>
    <v>6640877</v>
    <v>USD</v>
  </rv>
  <rv s="2">
    <v>227</v>
  </rv>
  <rv s="3">
    <fb>73.58</fb>
    <v>6</v>
  </rv>
  <rv s="0">
    <v>https://www.bing.com/financeapi/forcetrigger?t=a1p18m&amp;q=XNYS%3aBWA&amp;form=skydnc</v>
    <v>Learn more on Bing</v>
  </rv>
  <rv s="1">
    <v>0</v>
    <v>1</v>
    <v>BORGWARNER INC. (XNYS:BWA)</v>
    <v>3</v>
    <v>4</v>
    <v>Finance</v>
    <v>19</v>
    <v>de-DE</v>
    <v>a1p18m</v>
    <v>268435456</v>
    <v>1</v>
    <v>Unterstützt von Refinitiv</v>
    <v>70.08</v>
    <v>24.4</v>
    <v>0.31</v>
    <v>5.7130000000000002E-3</v>
    <v>206061500</v>
    <v>BorgWarner Inc. beschäftigt sich mit sauberen Technologielösungen für Verbrennungs-, Hybrid- und Elektrofahrzeuge. Das Unternehmen ist in vier Segmenten tätig. Zu den Technologien des Segments Turbos &amp; Thermal Technologies gehören unter anderem Turbolader, E-Booster, E-Turbos, Emissionssysteme, thermische Systeme, Benzin-Zündtechnologie, intelligente Fernsteuerungsaktuatoren und Sensoren für den Antriebsstrang. Zu den Produkten des Segments Drivetrain &amp; Morse Systems gehören Steuermodule, Reibungs- und mechanische Kupplungsprodukte für Automatikgetriebe, Drehmomentmanagementprodukte sowie Verteilergetriebe und Kupplungssysteme für Hinterrad- und Allradantrieb. Die Produkte des Segments PowerDrive Systems umfassen Leistungselektronik wie Wechselrichter, Onboard-Ladegeräte, DC/DC-Wandler und Kombiboxen und andere. Zu den Produkten des Segments Battery &amp; Charging Systems gehören Lithium-Ionen-Batteriesysteme für elektrifizierte Busse, Lkw und Off-Highway-Anwendungen sowie DC-Schnellladegeräte für alle Arten von Elektrofahrzeugen.</v>
    <v>1.0511999999999999</v>
    <v>11244776055</v>
    <v>New York Stock Exchange</v>
    <v>XNYS</v>
    <v>XNYS</v>
    <v>3850 Hamlin Rd, AUBURN HILLS, MI, 48326 US</v>
    <v>55.16</v>
    <v>Automobiles &amp; Auto Parts</v>
    <v>Aktie</v>
    <v>44.480899999999998</v>
    <v>230</v>
    <v>46113.958333367969</v>
    <v>37500</v>
    <v>BORGWARNER INC.</v>
    <v>54.23</v>
    <v>BORGWARNER INC.</v>
    <v>54.66</v>
    <v>54.57</v>
    <v>54.26</v>
    <v>BWA</v>
    <v>BORGWARNER INC. (XNYS:BWA)</v>
    <v>1987</v>
    <v>1624215</v>
    <v>2807442</v>
    <v>USD</v>
  </rv>
  <rv s="2">
    <v>231</v>
  </rv>
  <rv s="3">
    <fb>54.24</fb>
    <v>6</v>
  </rv>
  <rv s="0">
    <v>https://www.bing.com/financeapi/forcetrigger?t=a1ru6h&amp;q=XNYS%3aEIX&amp;form=skydnc</v>
    <v>Learn more on Bing</v>
  </rv>
  <rv s="1">
    <v>0</v>
    <v>1</v>
    <v>EDISON INTERNATIONAL (XNYS:EIX)</v>
    <v>3</v>
    <v>4</v>
    <v>Finance</v>
    <v>5</v>
    <v>de-DE</v>
    <v>a1ru6h</v>
    <v>268435456</v>
    <v>1</v>
    <v>Unterstützt von Refinitiv</v>
    <v>75.5</v>
    <v>47.73</v>
    <v>0.4</v>
    <v>5.4659999999999995E-3</v>
    <v>384905900</v>
    <v>Edison International ist eine Holdinggesellschaft für Stromversorger. Das Unternehmen konzentriert sich auf die Bereitstellung sauberer und zuverlässiger Energie- und Energiedienstleistungen durch seine unabhängigen Unternehmen. Sie ist die Muttergesellschaft der Southern California Edison Company (SCE) und Trio. SCE ist ein öffentliches Versorgungsunternehmen, das sich hauptsächlich mit der Lieferung und Lieferung von Strom in ein rund 50.000 Quadratkilometer großes Gebiet im Süden, Zentral- und Küstengebiet Kaliforniens befasst. Trio ist ein globales Energieberatungsunternehmen, das integrierte Nachhaltigkeits- und Energieberatungsdienstleistungen für große kommerzielle, industrielle und institutionelle Organisationen in Nordamerika und Europa anbietet. Trio bietet integrierte Strategie- und Implementierungslösungen in den Bereichen Nachhaltigkeit, erneuerbare Energien, Energiebeschaffung, konventionelle Versorgung, Energieoptimierung und Elektrifizierung des Verkehrs.</v>
    <v>0.76719999999999999</v>
    <v>28321376122</v>
    <v>New York Stock Exchange</v>
    <v>XNYS</v>
    <v>XNYS</v>
    <v>2244 Walnut Grove Ave, P O Box 800, ROSEMEAD, CA, 91770 US</v>
    <v>73.900000000000006</v>
    <v>Electrical Utilities &amp; IPPs</v>
    <v>Aktie</v>
    <v>9.6304999999999996</v>
    <v>234</v>
    <v>46113.993973865625</v>
    <v>13725</v>
    <v>EDISON INTERNATIONAL</v>
    <v>72.672600000000003</v>
    <v>EDISON INTERNATIONAL</v>
    <v>73.2</v>
    <v>73.58</v>
    <v>73.180000000000007</v>
    <v>EIX</v>
    <v>EDISON INTERNATIONAL (XNYS:EIX)</v>
    <v>1987</v>
    <v>266</v>
    <v>3649727</v>
    <v>USD</v>
  </rv>
  <rv s="2">
    <v>235</v>
  </rv>
  <rv s="3">
    <fb>70.3</fb>
    <v>6</v>
  </rv>
  <rv s="0">
    <v>https://www.bing.com/financeapi/forcetrigger?t=a1p7zr&amp;q=XNYS%3aCAT&amp;form=skydnc</v>
    <v>Learn more on Bing</v>
  </rv>
  <rv s="1">
    <v>0</v>
    <v>1</v>
    <v>CATERPILLAR INC. (XNYS:CAT)</v>
    <v>3</v>
    <v>4</v>
    <v>Finance</v>
    <v>5</v>
    <v>de-DE</v>
    <v>a1p7zr</v>
    <v>268435456</v>
    <v>1</v>
    <v>Unterstützt von Refinitiv</v>
    <v>789.81</v>
    <v>267.3</v>
    <v>21.86</v>
    <v>3.0855999999999998E-2</v>
    <v>465287300</v>
    <v>Caterpillar Inc. Ist ein Hersteller von Bau- und Bergbaumaschinen, Diesel- und Erdgasmotoren für Geländefahrzeuge, Industriegasturbinen und dieselelektrischen Lokomotiven. Das Unternehmen ist in seinen verschiedenen Segmenten tätig, namentlich Construction Industries, Resource Industries und Energy &amp; Transportation. Darüber hinaus bietet das Unternehmen über sein Segment Finanzprodukte Finanzierungen und damit verbundene Dienstleistungen an. Das Segment Construction Industries ist in erster Linie für die Unterstützung von Kunden zuständig, die Maschinen in Infrastruktur- und Hochbauanwendungen einsetzen. Das Segment Resource Industries entwickelt und produziert hochproduktive Anlagen für den Tagebau und den Untertagebau sowie Hydrauliksysteme, Elektronik und Software für seine Maschinen und Motoren. Das Segment Energy &amp; Transportation bietet Produkte und Dienstleistungen an, die Kolbenmotoren, Stromaggregate, integrierte Systeme und Lösungen, Turbinen und Turbinen-bezogene Dienstleistungen umfassen.</v>
    <v>1.5188999999999999</v>
    <v>339808620936</v>
    <v>New York Stock Exchange</v>
    <v>XNYS</v>
    <v>XNYS</v>
    <v>5205 N. O'connor Boulevard, Suite 100, IRVING, TX, 75039 US</v>
    <v>740.01</v>
    <v>Machinery, Equipment &amp; Components</v>
    <v>Aktie</v>
    <v>38.792000000000002</v>
    <v>238</v>
    <v>46113.99835040469</v>
    <v>118000</v>
    <v>CATERPILLAR INC.</v>
    <v>719.74</v>
    <v>CATERPILLAR INC.</v>
    <v>722</v>
    <v>730.32</v>
    <v>708.46</v>
    <v>CAT</v>
    <v>CATERPILLAR INC. (XNYS:CAT)</v>
    <v>1986</v>
    <v>2656</v>
    <v>2764935</v>
    <v>USD</v>
  </rv>
  <rv s="2">
    <v>239</v>
  </rv>
  <rv s="3">
    <fb>695.4</fb>
    <v>6</v>
  </rv>
  <rv s="0">
    <v>https://www.bing.com/financeapi/forcetrigger?t=a1wzw7&amp;q=XNYS%3aLMT&amp;form=skydnc</v>
    <v>Learn more on Bing</v>
  </rv>
  <rv s="1">
    <v>0</v>
    <v>1</v>
    <v>LOCKHEED MARTIN CORPORATION (XNYS:LMT)</v>
    <v>3</v>
    <v>4</v>
    <v>Finance</v>
    <v>5</v>
    <v>de-DE</v>
    <v>a1wzw7</v>
    <v>268435456</v>
    <v>1</v>
    <v>Unterstützt von Refinitiv</v>
    <v>692</v>
    <v>410.11</v>
    <v>13.25</v>
    <v>2.1922999999999998E-2</v>
    <v>230462100</v>
    <v>Lockheed Martin Corporation ist ein weltweit tätiges Luft- und Raumfahrt- sowie Verteidigungsunternehmen. Das Unternehmen befasst sich mit der Forschung, dem Design, der Entwicklung, der Herstellung, der Integration und der Wartung von Systemen, Produkten und Dienstleistungen der Spitzentechnologie. Zu den Geschäftsbereichen gehören Aeronautics, Missiles and Fire Control (MFC), Rotary and Mission Systems (RMS) und Space. Das Segment Aeronautics befasst sich mit der Forschung, dem Design, der Entwicklung, der Herstellung, der Integration, der Instandhaltung, der Unterstützung und der Aufrüstung von modernen Militärflugzeugen. Das MFC-Segment bietet unter anderem Luft- und Raketenabwehrsysteme, bemannte und unbemannte Bodenfahrzeuge sowie Energiemanagementlösungen an. Das Segment RMS entwickelt, fertigt, wartet und unterstützt verschiedene militärische und kommerzielle Hubschrauber, Überwasserschiffe, see- und landgestützte Raketenabwehrsysteme und andere. Das Segment Raumfahrt befasst sich mit der Forschung und dem Design, der Entwicklung, dem Engineering und der Produktion von Satelliten, Raumtransportsystemen und strategischen, fortschrittlichen Angriffs- und Verteidigungssystemen.</v>
    <v>0.2402</v>
    <v>142342611444</v>
    <v>New York Stock Exchange</v>
    <v>XNYS</v>
    <v>XNYS</v>
    <v>6801 ROCKLEDGE DR, BETHESDA, MD, 20817 US</v>
    <v>619.1</v>
    <v>Aerospace &amp; Defense</v>
    <v>Aktie</v>
    <v>28.746099999999998</v>
    <v>242</v>
    <v>46113.996378645315</v>
    <v>123000</v>
    <v>LOCKHEED MARTIN CORPORATION</v>
    <v>606.11</v>
    <v>LOCKHEED MARTIN CORPORATION</v>
    <v>608.82000000000005</v>
    <v>617.64</v>
    <v>604.39</v>
    <v>LMT</v>
    <v>LOCKHEED MARTIN CORPORATION (XNYS:LMT)</v>
    <v>1994</v>
    <v>1146</v>
    <v>1794575</v>
    <v>USD</v>
  </rv>
  <rv s="2">
    <v>243</v>
  </rv>
  <rv s="3">
    <fb>615.84</fb>
    <v>6</v>
  </rv>
  <rv s="0">
    <v>http://zh.wikipedia.org/wiki/捷普科技</v>
    <v>Wikipedia</v>
  </rv>
  <rv s="6">
    <v>35</v>
    <v>246</v>
  </rv>
  <rv s="7">
    <v>18</v>
    <v>https://www.bing.com/th?id=AMMS_d8440c163e9148c41f419348ca63886c&amp;qlt=95</v>
    <v>247</v>
    <v>0</v>
    <v>https://www.bing.com/images/search?form=xlimg&amp;q=jabil+circuit</v>
    <v>Image of JABIL INC.</v>
  </rv>
  <rv s="0">
    <v>https://www.bing.com/financeapi/forcetrigger?t=a1w1ur&amp;q=XNYS%3aJBL&amp;form=skydnc</v>
    <v>Learn more on Bing</v>
  </rv>
  <rv s="8">
    <v>13</v>
    <v>14</v>
    <v>JABIL INC. (XNYS:JBL)</v>
    <v>16</v>
    <v>17</v>
    <v>Finance</v>
    <v>5</v>
    <v>de-DE</v>
    <v>a1w1ur</v>
    <v>268435456</v>
    <v>1</v>
    <v>Unterstützt von Refinitiv</v>
    <v>283.76</v>
    <v>108.66</v>
    <v>6.33</v>
    <v>2.383E-2</v>
    <v>105595300</v>
    <v>Jabil Inc. Ist ein weltweit tätiger Anbieter von Fertigungsdienstleistungen und -Lösungen. Das Unternehmen bietet Unternehmen in verschiedenen Branchen und Endmärkten umfassende Dienstleistungen für Elektronikdesign, Produktion und Produktmanagement. Es umfasst drei Segmente: Regulierte Industrien, intelligente Infrastruktur und vernetztes Leben und digitaler Handel. Das Segment Regulated Industries konzentriert sich auf regulierte Märkte und umfasst Umsätze von Kunden in erster Linie in den Branchen Automobil und Transport, Gesundheitswesen und Verpackung sowie Infrastruktur für erneuerbare Energien. Das Segment Intelligent Infrastructure konzentriert sich auf das moderne digitale Ökosystem einschließlich KI-Infrastruktur (künstliche Intelligenz) und umfasst Umsätze von Kunden in erster Linie in den Bereichen Kapitalausstattung, Cloud- und Rechenzentrumsinfrastruktur sowie Netzwerk- und Kommunikationsbranche. Das Segment Connected Living und Digital Commerce konzentriert sich auf Digitalisierung und Automatisierung, einschließlich Lagerautomatisierung und Robotik.</v>
    <v>1.1595</v>
    <v>248</v>
    <v>28717697787</v>
    <v>New York Stock Exchange</v>
    <v>XNYS</v>
    <v>XNYS</v>
    <v>10560 Dr. MLK Street North, ST. PETERSBURG, FL, 33716 US</v>
    <v>275.58</v>
    <v>Electronic Equipment &amp; Parts</v>
    <v>Aktie</v>
    <v>42.292200000000001</v>
    <v>249</v>
    <v>46113.986602870311</v>
    <v>135000</v>
    <v>JABIL INC.</v>
    <v>269.63499999999999</v>
    <v>JABIL INC.</v>
    <v>270</v>
    <v>271.95999999999998</v>
    <v>265.63</v>
    <v>JBL</v>
    <v>JABIL INC. (XNYS:JBL)</v>
    <v>1992</v>
    <v>79</v>
    <v>1342268</v>
    <v>USD</v>
  </rv>
  <rv s="2">
    <v>250</v>
  </rv>
  <rv s="3">
    <fb>261.10000000000002</fb>
    <v>6</v>
  </rv>
  <rv s="0">
    <v>https://www.bing.com/financeapi/forcetrigger?t=a1saoc&amp;q=XNYS%3aETR&amp;form=skydnc</v>
    <v>Learn more on Bing</v>
  </rv>
  <rv s="1">
    <v>0</v>
    <v>1</v>
    <v>ENTERGY CORPORATION (XNYS:ETR)</v>
    <v>3</v>
    <v>4</v>
    <v>Finance</v>
    <v>5</v>
    <v>de-DE</v>
    <v>a1saoc</v>
    <v>268435456</v>
    <v>1</v>
    <v>Unterstützt von Refinitiv</v>
    <v>114.07</v>
    <v>75.569999999999993</v>
    <v>1.22</v>
    <v>1.0858000000000001E-2</v>
    <v>457798600</v>
    <v>Entergy Corporation ist ein integriertes Energieunternehmen, das hauptsächlich in der Stromerzeugung und im Einzelhandel tätig ist. Das Unternehmen arbeitet hauptsächlich über ein einziges Segment, Utility. Das Segment Versorgungsunternehmen umfasst die Erzeugung, Übertragung, Verteilung und den Verkauf von Strom in Teilen von Arkansas, Mississippi, Texas und Louisiana, einschließlich der Stadt New Orleans. Das Segment Versorgungsunternehmen umfasst fünf Einzelhandelsunternehmen: Entergy Arkansas, LLC, Entergy Louisiana, LLC, Entergy Mississippi, LLC, Entergy New Orleans, LLC und Entergy Texas, Inc Diese Unternehmen erzeugen, übertragen, verteilen und verkaufen Strom an Einzelhandels- und Großhandelskunden in Arkansas, Louisiana, Mississippi und Texas. Das Unternehmen besitzt und betreibt Kraftwerke mit einer Stromerzeugungskapazität von ca. 25.000 MW. Es liefert Strom an etwa drei Millionen Versorgungsunternehmen in Arkansas, Louisiana, Mississippi und Texas.</v>
    <v>0.56479999999999997</v>
    <v>51996764988</v>
    <v>New York Stock Exchange</v>
    <v>XNYS</v>
    <v>XNYS</v>
    <v>639 Loyola Ave, NEW ORLEANS, LA, 70113 US</v>
    <v>114.07</v>
    <v>Electrical Utilities &amp; IPPs</v>
    <v>Aktie</v>
    <v>29.023099999999999</v>
    <v>253</v>
    <v>46113.987202661716</v>
    <v>12000</v>
    <v>ENTERGY CORPORATION</v>
    <v>111.81</v>
    <v>ENTERGY CORPORATION</v>
    <v>111.81</v>
    <v>113.58</v>
    <v>112.36</v>
    <v>ETR</v>
    <v>ENTERGY CORPORATION (XNYS:ETR)</v>
    <v>1992</v>
    <v>515</v>
    <v>2880388</v>
    <v>USD</v>
  </rv>
  <rv s="2">
    <v>254</v>
  </rv>
  <rv s="3">
    <fb>109.88</fb>
    <v>6</v>
  </rv>
  <rv s="0">
    <v>https://www.bing.com/financeapi/forcetrigger?t=a1w8ec&amp;q=XNYS%3aJNJ&amp;form=skydnc</v>
    <v>Learn more on Bing</v>
  </rv>
  <rv s="1">
    <v>0</v>
    <v>1</v>
    <v>JOHNSON &amp; JOHNSON (XNYS:JNJ)</v>
    <v>3</v>
    <v>4</v>
    <v>Finance</v>
    <v>5</v>
    <v>de-DE</v>
    <v>a1w8ec</v>
    <v>268435456</v>
    <v>1</v>
    <v>Unterstützt von Refinitiv</v>
    <v>251.71</v>
    <v>141.5</v>
    <v>-0.32</v>
    <v>-1.3089999999999998E-3</v>
    <v>2408613000</v>
    <v>Johnson &amp; Johnson und seine Tochtergesellschaften sind in der Forschung und Entwicklung, Herstellung und dem Verkauf einer Reihe von Produkten im Gesundheitswesen tätig. Zu den Segmenten des Unternehmens gehören innovative Medizin und MedTech. Das Segment innovative Medizin konzentriert sich auf verschiedene therapeutische Bereiche, darunter Immunologie, Infektionskrankheiten, Neurowissenschaften, Onkologie, pulmonale Hypertonie, Herz-Kreislauf-Kreislauf und Stoffwechsel. Zu den Produkten gehören REMICADE (Infliximab), SIMPONI (Golimumab), SIMPONI ARIA (Golimumab), STELARA (Ustekinumab), TREMFYA (Guselkumab), EDURANT (Rilpivirin) und INVEGA SUSTENNA/XEPLION (Paliperidonpalmitat). Das Segment MedTech umfasst ein Portfolio von Produkten, die in den Kategorien Herz-Kreislauf, Orthopädie, Chirurgie und Sehvermögen eingesetzt werden. Das kardiovaskuläre Portfolio umfasst elektrophysiologische Produkte zur Behandlung von Herzrhythmusstörungen und Produkte zur Kreislaufrestauration (Shockwave) zur Behandlung von verkalkter koronarer Herzkrankheit (KHK) und peripherer Herzkrankheit (PAD).</v>
    <v>0.32879999999999998</v>
    <v>587990605560</v>
    <v>New York Stock Exchange</v>
    <v>XNYS</v>
    <v>XNYS</v>
    <v>One Johnson &amp; Johnson Plaza, NEW BRUNSWICK, NJ, 08933 US</v>
    <v>247.2</v>
    <v>Pharmaceuticals</v>
    <v>Aktie</v>
    <v>22.108000000000001</v>
    <v>257</v>
    <v>46113.999892001564</v>
    <v>138200</v>
    <v>JOHNSON &amp; JOHNSON</v>
    <v>243.74</v>
    <v>JOHNSON &amp; JOHNSON</v>
    <v>245.6</v>
    <v>244.12</v>
    <v>244.44</v>
    <v>JNJ</v>
    <v>JOHNSON &amp; JOHNSON (XNYS:JNJ)</v>
    <v>1887</v>
    <v>3319</v>
    <v>8067869</v>
    <v>USD</v>
  </rv>
  <rv s="2">
    <v>258</v>
  </rv>
  <rv s="3">
    <fb>240.45</fb>
    <v>6</v>
  </rv>
  <rv s="0">
    <v>https://www.bing.com/financeapi/forcetrigger?t=a1wjkr&amp;q=XNAS%3aKLAC&amp;form=skydnc</v>
    <v>Learn more on Bing</v>
  </rv>
  <rv s="1">
    <v>0</v>
    <v>1</v>
    <v>KLA CORPORATION (XNAS:KLAC)</v>
    <v>3</v>
    <v>4</v>
    <v>Finance</v>
    <v>5</v>
    <v>de-DE</v>
    <v>a1wjkr</v>
    <v>268435456</v>
    <v>1</v>
    <v>Unterstützt von Refinitiv</v>
    <v>1693.35</v>
    <v>551.33000000000004</v>
    <v>47.43</v>
    <v>3.2211999999999998E-2</v>
    <v>131076600</v>
    <v>Die KLA Corporation ist ein Anbieter von Lösungen und Dienstleistungen für die Prozesssteuerung und das Ertragsmanagement für die Halbleiter- und verwandte Elektronikindustrie. Das Unternehmen bietet ein Portfolio an Inspektions- und Messprodukten sowie zugehörige Dienstleistungen, Software und andere Angebote an, unterstützt Forschung und Entwicklung (F&amp;E) und die Herstellung von integrierten Schaltungen (ICs), Wafern und Reticles. Zu den Segmenten gehören die Halbleiterprozesssteuerung, die spezielle Halbleiterprozesskontrolle sowie die Leiterplatten- und Komponentenprüfung. Das Segment Semiconductor Process Control bietet ein umfassendes Portfolio an Inspektions-, Metrologie- und Softwareprodukten sowie zugehörige Dienstleistungen, die Herstellern von IC, Wafer, Absehen/Maske und Chemikalien/Materialien helfen, während des gesamten Herstellungsprozesses, von F&amp;E bis hin zur Endserienproduktion, Zielerträge zu erzielen. Das Segment Specialty Semiconductor Process entwickelt und verkauft fortschrittliche Werkzeuge für die Vakuumabscheidung und Ätzprozesse, die von einer Reihe von Spezialhalbleiterkunden verwendet werden.</v>
    <v>1.4355</v>
    <v>199215459744</v>
    <v>Nasdaq Stock Market</v>
    <v>XNAS</v>
    <v>XNAS</v>
    <v>One Technology Drive, MILPITAS, CA, 95035 US</v>
    <v>1539.93</v>
    <v>Semiconductors &amp; Semiconductor Equipment</v>
    <v>Aktie</v>
    <v>44.220599999999997</v>
    <v>261</v>
    <v>46113.998135010937</v>
    <v>15000</v>
    <v>KLA CORPORATION</v>
    <v>1483.8</v>
    <v>KLA CORPORATION</v>
    <v>1484.21</v>
    <v>1519.84</v>
    <v>1472.41</v>
    <v>KLAC</v>
    <v>KLA CORPORATION (XNAS:KLAC)</v>
    <v>1975</v>
    <v>718</v>
    <v>1046780</v>
    <v>USD</v>
  </rv>
  <rv s="2">
    <v>262</v>
  </rv>
  <rv s="3">
    <fb>1443.21</fb>
    <v>6</v>
  </rv>
  <rv s="0">
    <v>https://www.bing.com/financeapi/forcetrigger?t=a23www&amp;q=XNYS%3aT&amp;form=skydnc</v>
    <v>Learn more on Bing</v>
  </rv>
  <rv s="1">
    <v>0</v>
    <v>1</v>
    <v>AT&amp;T INC. (XNYS:T)</v>
    <v>3</v>
    <v>4</v>
    <v>Finance</v>
    <v>5</v>
    <v>de-DE</v>
    <v>a23www</v>
    <v>268435456</v>
    <v>1</v>
    <v>Unterstützt von Refinitiv</v>
    <v>29.79</v>
    <v>22.95</v>
    <v>-0.68</v>
    <v>-2.3456000000000001E-2</v>
    <v>6982146000</v>
    <v>AT&amp;T Inc. Ist eine Holdinggesellschaft. Das Unternehmen ist ein weltweit tätiger Anbieter von Telekommunikations- und Technologiedienstleistungen. Zu den Segmenten des Unternehmens zählen die Bereiche Kommunikation und Lateinamerika. Das Segment Kommunikation bietet drahtlose und kabelgebundene Telekommunikations- und Breitbanddienste für Verbraucher in den USA und Unternehmen weltweit an. Zu den Geschäftseinheiten des Segments Kommunikation gehören Mobilität, Business Wireline und Consumer Wireline. Mobilität bietet landesweiten Wireless-Service und -Ausrüstung. Business Wireline bietet Geschäftskunden erweiterte Ethernet-basierte Glasfaserdienste, Internet Protocol (IP) Voice und Managed Professional Services sowie ältere Sprach- und Datendienste und zugehörige Geräte. Consumer Wireline bietet Breitbanddienste, einschließlich Glasfaserverbindungen. Consumer Wireline bietet ältere Telefonie-Sprachkommunikationsdienste. Das Segment Lateinamerika bietet drahtlose Dienste und Geräte in Mexiko an.</v>
    <v>0.31929999999999997</v>
    <v>197664553260</v>
    <v>New York Stock Exchange</v>
    <v>XNYS</v>
    <v>XNYS</v>
    <v>208 S. Akard St, DALLAS, TX, 75202 US</v>
    <v>28.97</v>
    <v>Telecommunications Services</v>
    <v>Aktie</v>
    <v>9.2771000000000008</v>
    <v>265</v>
    <v>46113.999662267968</v>
    <v>133030</v>
    <v>AT&amp;T INC.</v>
    <v>28.06</v>
    <v>AT&amp;T INC.</v>
    <v>28.95</v>
    <v>28.31</v>
    <v>28.99</v>
    <v>T</v>
    <v>AT&amp;T INC. (XNYS:T)</v>
    <v>1983</v>
    <v>1754</v>
    <v>44299938</v>
    <v>USD</v>
  </rv>
  <rv s="2">
    <v>266</v>
  </rv>
  <rv s="3">
    <fb>29.1</fb>
    <v>6</v>
  </rv>
  <rv s="0">
    <v>https://www.bing.com/financeapi/forcetrigger?t=a1u1z2&amp;q=XNYS%3aGNRC&amp;form=skydnc</v>
    <v>Learn more on Bing</v>
  </rv>
  <rv s="1">
    <v>0</v>
    <v>1</v>
    <v>GENERAC HOLDINGS INC. (XNYS:GNRC)</v>
    <v>3</v>
    <v>4</v>
    <v>Finance</v>
    <v>19</v>
    <v>de-DE</v>
    <v>a1u1z2</v>
    <v>268435456</v>
    <v>1</v>
    <v>Unterstützt von Refinitiv</v>
    <v>241.09100000000001</v>
    <v>99.5</v>
    <v>3.72</v>
    <v>1.9044999999999999E-2</v>
    <v>58675830</v>
    <v>Generac Holdings Inc. Ist ein weltweit tätiger Designer, Hersteller und Anbieter von Energietechnologielösungen. Das Unternehmen bietet Stromerzeugungsanlagen, Energiespeichersysteme, Energiemanagementgeräte und -Lösungen sowie andere Stromerzeugnisse für den Wohn-, Gewerbe- und Industriemarkt an. Das Unternehmen ist in zwei Segmenten tätig: Inland und International. Das Segment Inland umfasst das Altgeschäft Generac und die Akquisitionen mit Sitz in den USA und Kanada. Das Segment International umfasst Akquisitionen, die nicht in den USA und Kanada ansässig sind. Es entwickelt und fertigt stationäre, tragbare und mobile Stromerzeuger mit einmotorigen Leistungen zwischen 800 W und 3.250 kW. Die automatischen Standby-Generatoren für Wohnzwecke reichen von 7,5 kW bis 150 kW, die überwiegend mit Erdgas und Flüssigpropan betrieben werden und fest mit einem automatischen Umschalter installiert sind.</v>
    <v>1.7857000000000001</v>
    <v>11679423961</v>
    <v>New York Stock Exchange</v>
    <v>XNYS</v>
    <v>XNYS</v>
    <v>S45 W29290 HIGHWAY 59, WAUKESHA, WI, 53187 US</v>
    <v>201.69</v>
    <v>Machinery, Equipment &amp; Components</v>
    <v>Aktie</v>
    <v>74.073700000000002</v>
    <v>269</v>
    <v>46113.986396678127</v>
    <v>9400</v>
    <v>GENERAC HOLDINGS INC.</v>
    <v>196.5</v>
    <v>GENERAC HOLDINGS INC.</v>
    <v>199.81</v>
    <v>199.05</v>
    <v>195.33</v>
    <v>GNRC</v>
    <v>GENERAC HOLDINGS INC. (XNYS:GNRC)</v>
    <v>2006</v>
    <v>32</v>
    <v>1078008</v>
    <v>USD</v>
  </rv>
  <rv s="2">
    <v>270</v>
  </rv>
  <rv s="3">
    <fb>194.4</fb>
    <v>6</v>
  </rv>
  <rv s="0">
    <v>https://www.bing.com/financeapi/forcetrigger?t=a1sp52&amp;q=XNYS%3aFCX&amp;form=skydnc</v>
    <v>Learn more on Bing</v>
  </rv>
  <rv s="1">
    <v>0</v>
    <v>1</v>
    <v>FREEPORT-MCMORAN INC. (XNYS:FCX)</v>
    <v>3</v>
    <v>4</v>
    <v>Finance</v>
    <v>5</v>
    <v>de-DE</v>
    <v>a1sp52</v>
    <v>268435456</v>
    <v>1</v>
    <v>Unterstützt von Refinitiv</v>
    <v>69.75</v>
    <v>27.66</v>
    <v>2.42</v>
    <v>4.1169999999999998E-2</v>
    <v>1437202000</v>
    <v>Freeport-McMoRan Inc. ist ein internationales Metallunternehmen, das sich auf Kupfer konzentriert. Das Unternehmen betreibt geografisch vielfältige Anlagen mit erheblichen nachgewiesenen und wahrscheinlichen Mineralreserven an Kupfer, Gold und Molybdän. Zu den Segmenten des Unternehmens gehören die Kupferminen Morenci und Cerro Verde, die Betriebe in Indonesien (einschließlich des Mineralienreviers Grasberg und der nachgelagerten Verarbeitungsanlagen von PT-FI), die Rod &amp; Refining-Betriebe und die Atlantic Copper Smelting &amp; Refining. Die Aktivitäten des Unternehmens erstrecken sich auf Nordamerika, Südamerika und Indonesien. In Nordamerika verwaltet das Unternehmen sieben Kupferbetriebe: Morenci, Bagdad, Safford (einschließlich Lone Star), Sierrita und Miami in Arizona sowie Chino und Tyrone in New Mexico, und zwei Molybdänminen: Henderson und Climax in Colorado. Außerdem betreibt das Unternehmen eine Kupferhütte in Miami, Arizona. In Südamerika betreibt das Unternehmen zwei Kupferminen: Cerro Verde in Peru und El Abra in Chile. Neben Kupfer wird in der Mineralienregion Grasberg auch Gold und Silber gefördert.</v>
    <v>1.4729000000000001</v>
    <v>87956762400</v>
    <v>New York Stock Exchange</v>
    <v>XNYS</v>
    <v>XNYS</v>
    <v>333 N Central Ave, PHOENIX, AZ, 85004 US</v>
    <v>62.05</v>
    <v>Metals &amp; Mining</v>
    <v>Aktie</v>
    <v>40.073099999999997</v>
    <v>273</v>
    <v>46113.999667303127</v>
    <v>29000</v>
    <v>FREEPORT-MCMORAN INC.</v>
    <v>59.895000000000003</v>
    <v>FREEPORT-MCMORAN INC.</v>
    <v>60.75</v>
    <v>61.2</v>
    <v>58.78</v>
    <v>FCX</v>
    <v>FREEPORT-MCMORAN INC. (XNYS:FCX)</v>
    <v>1987</v>
    <v>21090</v>
    <v>19078907</v>
    <v>USD</v>
  </rv>
  <rv s="2">
    <v>274</v>
  </rv>
  <rv s="3">
    <fb>56.24</fb>
    <v>6</v>
  </rv>
  <rv s="0">
    <v>https://www.bing.com/financeapi/forcetrigger?t=a1ook2&amp;q=XNYS%3aBMY&amp;form=skydnc</v>
    <v>Learn more on Bing</v>
  </rv>
  <rv s="1">
    <v>0</v>
    <v>1</v>
    <v>BRISTOL-MYERS SQUIBB COMPANY (XNYS:BMY)</v>
    <v>3</v>
    <v>4</v>
    <v>Finance</v>
    <v>5</v>
    <v>de-DE</v>
    <v>a1ook2</v>
    <v>268435456</v>
    <v>1</v>
    <v>Unterstützt von Refinitiv</v>
    <v>62.886400000000002</v>
    <v>42.52</v>
    <v>1.08</v>
    <v>1.7807E-2</v>
    <v>2041735000</v>
    <v>Bristol-Myers Squibb Company ist ein globales biopharmazeutisches Unternehmen. Es beschäftigt sich mit der Entdeckung, Entwicklung und Lieferung von Transformationsmedikamenten für Patienten mit schweren Erkrankungen in folgenden Bereichen: Onkologie, Hämatologie, Immunologie, Herz-Kreislauf-Erkrankungen, Neurowissenschaften und anderen Bereichen. Sein Wachstumsportfolio umfasst Opdivo (Nivolumab), Opdivo Qvantig (Nivolumab und Hyaluronidase-nvhy), Yervoy (Ipilimumab), Reblozyl (luspatercept-aamt), Opdualag (Nivolumab und relatlimab-rmbw), Breyanzi (lisocabtagene maraleucel), Camzanicadav), Aidecabazav) und Sotyktu (Deucravacitinib). Zu den weiteren Wachstumsprodukten gehören Onureg, Inrebic und Empliciti. Das bisherige Portfolio umfasst Eliquis (Apixaban), Revlimid (Lenalidomid), Pomalyst/Imnovid (Pomalidomid), Sprycel (Dasatinib) und Abraxane (Paclitaxel-Albumin-gebundene Partikel zur Herstellung einer injizierbaren Suspension). OPDIVO (Nivolumab) ist ein vollständig humaner monoklonaler Antikörper, der an das PD-1 auf T- und NKT-Zellen bindet.</v>
    <v>0.27289999999999998</v>
    <v>126036301550</v>
    <v>New York Stock Exchange</v>
    <v>XNYS</v>
    <v>XNYS</v>
    <v>Route 206 And Province Line Road, PRINCETON, NJ, 08543 US</v>
    <v>62.225000000000001</v>
    <v>Pharmaceuticals</v>
    <v>Aktie</v>
    <v>17.694199999999999</v>
    <v>277</v>
    <v>46113.996977534378</v>
    <v>32500</v>
    <v>BRISTOL-MYERS SQUIBB COMPANY</v>
    <v>60.87</v>
    <v>BRISTOL-MYERS SQUIBB COMPANY</v>
    <v>61.21</v>
    <v>61.73</v>
    <v>60.65</v>
    <v>BMY</v>
    <v>BRISTOL-MYERS SQUIBB COMPANY (XNYS:BMY)</v>
    <v>1933</v>
    <v>714</v>
    <v>14221544</v>
    <v>USD</v>
  </rv>
  <rv s="2">
    <v>278</v>
  </rv>
  <rv s="3">
    <fb>58.54</fb>
    <v>6</v>
  </rv>
  <rv s="0">
    <v>https://www.bing.com/financeapi/forcetrigger?t=a1s5xm&amp;q=XNAS%3aCZR&amp;form=skydnc</v>
    <v>Learn more on Bing</v>
  </rv>
  <rv s="1">
    <v>0</v>
    <v>1</v>
    <v>CAESARS ENTERTAINMENT, INC. (XNAS:CZR)</v>
    <v>3</v>
    <v>4</v>
    <v>Finance</v>
    <v>5</v>
    <v>de-DE</v>
    <v>a1s5xm</v>
    <v>268435456</v>
    <v>1</v>
    <v>Unterstützt von Refinitiv</v>
    <v>31.58</v>
    <v>17.86</v>
    <v>0.12</v>
    <v>4.5399999999999998E-3</v>
    <v>203521000</v>
    <v>Caesars Entertainment, Inc. Ist ein Casino-Entertainment-Unternehmen in den Vereinigten Staaten und ein diversifizierter Casino-Entertainment-Anbieter. Die Resorts des Unternehmens werden hauptsächlich unter den Markennamen Caesars, Harrah's, Horseshoe und Eldorado betrieben. Es bietet vielfältige Spiele-, Unterhaltungs- und Hospitality-Annehmlichkeiten, Reiseziele und eine komplette Suite an mobilen und Online-Gaming- und Sportwetten-Erlebnissen. Das Unternehmen ist in vier Segmenten tätig: Las Vegas, Regional, Caesars Digital und Managed and Branded sowie Corporate und Other. Die Geschäftsbereiche des Unternehmens für Einzelhandels- und Online-Sportwetten, iGaming und Pferderennen gehören zum Segment Caesars Digital. Das Unternehmen besitzt, vermietet, Marken oder verwaltet insgesamt etwa 53 inländische Immobilien in 18 bundesstaaten mit etwa 50.900 Spielautomaten, Video-Lotterie-Terminals und E-Tischen, etwa 2.700 Spieltischen und etwa 44.900 Hotelzimmern. Außerdem ist WynnBET, ein digitales Sportwetten- und Casino-Gaming-Geschäft, Eigentümer.</v>
    <v>1.8775999999999999</v>
    <v>5403482550</v>
    <v>Nasdaq Stock Market</v>
    <v>XNAS</v>
    <v>XNAS</v>
    <v>100 West Liberty Street, 12Th Floor, RENO, NV, 89501 US</v>
    <v>26.9</v>
    <v>Hotels &amp; Entertainment Services</v>
    <v>Aktie</v>
    <v>0</v>
    <v>281</v>
    <v>46113.923972580465</v>
    <v>50000</v>
    <v>CAESARS ENTERTAINMENT, INC.</v>
    <v>26.36</v>
    <v>CAESARS ENTERTAINMENT, INC.</v>
    <v>26.82</v>
    <v>26.55</v>
    <v>26.43</v>
    <v>CZR</v>
    <v>CAESARS ENTERTAINMENT, INC. (XNAS:CZR)</v>
    <v>2020</v>
    <v>499</v>
    <v>6668648</v>
    <v>USD</v>
  </rv>
  <rv s="2">
    <v>282</v>
  </rv>
  <rv s="3">
    <fb>25.85</fb>
    <v>6</v>
  </rv>
  <rv s="0">
    <v>https://www.bing.com/financeapi/forcetrigger?t=a1qvjc&amp;q=XNYS%3aDE&amp;form=skydnc</v>
    <v>Learn more on Bing</v>
  </rv>
  <rv s="1">
    <v>0</v>
    <v>1</v>
    <v>DEERE &amp; COMPANY (XNYS:DE)</v>
    <v>3</v>
    <v>4</v>
    <v>Finance</v>
    <v>5</v>
    <v>de-DE</v>
    <v>a1qvjc</v>
    <v>268435456</v>
    <v>1</v>
    <v>Unterstützt von Refinitiv</v>
    <v>674.18989999999997</v>
    <v>404.42</v>
    <v>7.4</v>
    <v>1.3137000000000001E-2</v>
    <v>270107300</v>
    <v>Deere &amp; Company ist im Vertrieb von Land-, Bau- und Forstmaschinen tätig. Das Unternehmen gliedert sich in die Segmente production and precision agriculture (PPA), small agriculture and turf (SAT), construction and forestry (CF) und financial services (FS).Das Segment PPA definiert, entwickelt und liefert globale Ausrüstungs- und Technologielösungen für Landwirte, die Großgetreide, Kleingetreide, Baumwolle und Zuckerrohr im Produktionsmaßstab anbauen. Das SAT-Segment definiert, entwickelt und liefert globale Ausrüstungs- und Technologielösungen für Milch- und Viehproduzenten, hochwertige und kleinflächige Ackerbauern sowie für Kunden im Bereich Rasen und Versorgung. Das Segment CF definiert, entwickelt und liefert eine Reihe von Maschinen und Technologielösungen, die auf die Produktionssysteme Erdbewegung, Forstwirtschaft und Straßenbau ausgerichtet sind. Das FS-Segment finanziert den Verkauf und das Leasing von neuen und gebrauchten Produktions- und Präzisionslandmaschinen durch John Deere-Händler und andere. Zu den Produkten gehören der John Deere Autonomous 8R Traktor und der E-Power Bagger.</v>
    <v>0.99160000000000004</v>
    <v>154150236110</v>
    <v>New York Stock Exchange</v>
    <v>XNYS</v>
    <v>XNYS</v>
    <v>One John Deere Place, MOLINE, IL, 61265 US</v>
    <v>579.37</v>
    <v>Machinery, Equipment &amp; Components</v>
    <v>Aktie</v>
    <v>32.176299999999998</v>
    <v>285</v>
    <v>46113.991476978903</v>
    <v>73100</v>
    <v>DEERE &amp; COMPANY</v>
    <v>564.15</v>
    <v>DEERE &amp; COMPANY</v>
    <v>565.44000000000005</v>
    <v>570.70000000000005</v>
    <v>563.29999999999995</v>
    <v>DE</v>
    <v>DEERE &amp; COMPANY (XNYS:DE)</v>
    <v>1958</v>
    <v>162</v>
    <v>1414096</v>
    <v>USD</v>
  </rv>
  <rv s="2">
    <v>286</v>
  </rv>
  <rv s="3">
    <fb>566.64</fb>
    <v>6</v>
  </rv>
  <rv s="0">
    <v>https://www.bing.com/financeapi/forcetrigger?t=a1nl77&amp;q=XNYS%3aAPD&amp;form=skydnc</v>
    <v>Learn more on Bing</v>
  </rv>
  <rv s="5">
    <v>10</v>
    <v>11</v>
    <v>AIR PRODUCTS AND CHEMICALS, INC. (XNYS:APD)</v>
    <v>3</v>
    <v>12</v>
    <v>Finance</v>
    <v>5</v>
    <v>de-DE</v>
    <v>a1nl77</v>
    <v>268435456</v>
    <v>1</v>
    <v>Unterstützt von Refinitiv</v>
    <v>301.10500000000002</v>
    <v>229.11</v>
    <v>0.75</v>
    <v>2.5979999999999996E-3</v>
    <v>222656000</v>
    <v>Air Products and Chemicals, Inc. Ist ein Unternehmen für Industriegase. Das Unternehmen konzentriert sich auf Energie-, Umwelt- und Schwellenmärkte. Sein Basisgeschäft bietet Kunden in Dutzenden von Branchen, darunter Raffinerien, Chemikalien, Metalle, Elektronik, Produktion und Lebensmittel. Das Unternehmen entwickelt, konstruiert, baut, besitzt und betreibt Projekte für sauberen Wasserstoff, die den Übergang zu kohlenstoffarmer und kohlenstofffreier Energie im Schwerlastverkehr und in der Industrie unterstützen. Darüber hinaus bietet das Unternehmen weltweit Turbomaschinen, Membransysteme und kryogene Container an. Das Unternehmen ist in etwa 50 Ländern tätig. Zu den Branchen zählen Luft- und Raumfahrt, Analyselabore und Forschung/Wissenschaft, Automobilindustrie, Getränke, Bioenergie, Biotechnologie, Zement und Kalk, Chemikalien, Elektronik, Lebensmittel, Glas und Fritte, Wasserstoffenergie, Medizin, Metall- und Materialverarbeitung, Metallherstellung, Medizin und andere.</v>
    <v>0.80859999999999999</v>
    <v>64443326080</v>
    <v>New York Stock Exchange</v>
    <v>XNYS</v>
    <v>XNYS</v>
    <v>1940 Air Products Blvd., ALLENTOWN, PA, 18106-5500 US</v>
    <v>290.08999999999997</v>
    <v>Chemicals</v>
    <v>Aktie</v>
    <v>289</v>
    <v>46113.97709697891</v>
    <v>21087</v>
    <v>AIR PRODUCTS AND CHEMICALS, INC.</v>
    <v>284.41000000000003</v>
    <v>AIR PRODUCTS AND CHEMICALS, INC.</v>
    <v>288.14</v>
    <v>289.43</v>
    <v>288.68</v>
    <v>APD</v>
    <v>AIR PRODUCTS AND CHEMICALS, INC. (XNYS:APD)</v>
    <v>1961</v>
    <v>790</v>
    <v>1499296</v>
    <v>USD</v>
  </rv>
  <rv s="2">
    <v>290</v>
  </rv>
  <rv s="3">
    <fb>292.19</fb>
    <v>6</v>
  </rv>
  <rv s="0">
    <v>https://www.bing.com/financeapi/forcetrigger?t=a1rfsm&amp;q=XNYS%3aDD&amp;form=skydnc</v>
    <v>Learn more on Bing</v>
  </rv>
  <rv s="5">
    <v>10</v>
    <v>11</v>
    <v>DUPONT DE NEMOURS, INC. (XNYS:DD)</v>
    <v>3</v>
    <v>12</v>
    <v>Finance</v>
    <v>19</v>
    <v>de-DE</v>
    <v>a1rfsm</v>
    <v>268435456</v>
    <v>1</v>
    <v>Unterstützt von Refinitiv</v>
    <v>52.66</v>
    <v>22.4892</v>
    <v>0.41</v>
    <v>8.9519999999999999E-3</v>
    <v>408923900</v>
    <v>DuPont de Nemours, Inc. Bietet fortschrittliche Lösungen, mit denen die Branche verändert werden kann. Das Unternehmen bedient verschiedene Märkte, darunter Gesundheitswesen, Wasser, Bauwesen und Transport. Das Segment IndustrialsCo des Unternehmens ist ein Anbieter von technischen Produkten und integrierten Lösungen, die in erster Linie für medizinische Zwecke, einschließlich Verpackungen und medizinische Spezialgeräte, Wasserfiltration, Arbeitssicherheit, Automobil, einschließlich Elektrofahrzeuge, Endmärkte für Luft- und Raumfahrt und Bauprodukte. Das Segment IndustrialsCo bietet medizinische Verpackungen, medizinische Silikone, medizinische Spezialgeräte, Wasseraufbereitung und -Trennung, Wasserfiltrations- und Reinigungsharze, flexible Verpackungsprodukte, Vliesstoffe, Aramid, Baumaterialien, automatische Klebstoffe und Flüssigkeiten.</v>
    <v>1.0752999999999999</v>
    <v>18896373419</v>
    <v>New York Stock Exchange</v>
    <v>XNYS</v>
    <v>XNYS</v>
    <v>974 Centre Rd Bldg 730, WILMINGTON, DE, 19805 US</v>
    <v>46.956600000000002</v>
    <v>Electronic Equipment &amp; Parts</v>
    <v>Aktie</v>
    <v>293</v>
    <v>46113.986593125002</v>
    <v>15000</v>
    <v>DUPONT DE NEMOURS, INC.</v>
    <v>46.05</v>
    <v>DUPONT DE NEMOURS, INC.</v>
    <v>46.31</v>
    <v>46.21</v>
    <v>45.8</v>
    <v>DD</v>
    <v>DUPONT DE NEMOURS, INC. (XNYS:DD)</v>
    <v>2015</v>
    <v>3340041</v>
    <v>4220069</v>
    <v>USD</v>
  </rv>
  <rv s="2">
    <v>294</v>
  </rv>
  <rv s="3">
    <fb>45.26</fb>
    <v>6</v>
  </rv>
  <rv s="0">
    <v>https://www.bing.com/financeapi/forcetrigger?t=a1wmu2&amp;q=XNYS%3aKR&amp;form=skydnc</v>
    <v>Learn more on Bing</v>
  </rv>
  <rv s="1">
    <v>0</v>
    <v>1</v>
    <v>THE KROGER CO. (XNYS:KR)</v>
    <v>3</v>
    <v>4</v>
    <v>Finance</v>
    <v>5</v>
    <v>de-DE</v>
    <v>a1wmu2</v>
    <v>268435456</v>
    <v>1</v>
    <v>Unterstützt von Refinitiv</v>
    <v>76.58</v>
    <v>58.6</v>
    <v>-1.82</v>
    <v>-2.5152000000000001E-2</v>
    <v>614000000</v>
    <v>Die Kroger Co. Ist ein Lebensmittel- und Drogenhändler. Das Unternehmen betreibt Supermärkte, Kaufhäuser und Versandzentren in den USA. Das Unternehmen betreibt etwa 2.731 Supermärkte, 2.273 Apotheken und 1.702 Tankstellen in über 35 bundesstaaten und im District of Columbia und arbeitet zudem online über ein digitales Ökosystem, um Kunden ein kanalübergreifendes Einkaufserlebnis zu bieten. Das Unternehmen produziert und verarbeitet Lebensmittel, die in seinen Supermärkten und online verkauft werden. Es bietet Abholservice und Harris Teeter ExpressLane personalisiert, online bestellt, Abholservice im Geschäft in etwa 2.412 Supermärkten und liefert Lieferungen, wodurch es praktisch allen Kunden digitale Lösungen anbieten kann. Die Lieferlösungen umfassen Bestellungen, die an Kunden in Einzelhandelsgeschäften, Versandzentren für Kunden geliefert werden, sowie Bestellungen, die über Plattformen von Drittanbietern getätigt werden. Das Unternehmen bietet auch kundenorientierte Apps und Schnittstellen an.</v>
    <v>0.54649999999999999</v>
    <v>43311560000</v>
    <v>New York Stock Exchange</v>
    <v>XNYS</v>
    <v>XNYS</v>
    <v>1014 Vine St, CINCINNATI, OH, 45201 US</v>
    <v>72.069999999999993</v>
    <v>Food &amp; Drug Retailing</v>
    <v>Aktie</v>
    <v>64.607100000000003</v>
    <v>297</v>
    <v>46113.996866678128</v>
    <v>409000</v>
    <v>THE KROGER CO.</v>
    <v>69.760000000000005</v>
    <v>THE KROGER CO.</v>
    <v>71.89</v>
    <v>70.540000000000006</v>
    <v>72.36</v>
    <v>KR</v>
    <v>THE KROGER CO. (XNYS:KR)</v>
    <v>1902</v>
    <v>10</v>
    <v>7440961</v>
    <v>USD</v>
  </rv>
  <rv s="2">
    <v>298</v>
  </rv>
  <rv s="3">
    <fb>73.22</fb>
    <v>6</v>
  </rv>
  <rv s="0">
    <v>https://www.bing.com/financeapi/forcetrigger?t=a24km7&amp;q=XNYS%3aTSN&amp;form=skydnc</v>
    <v>Learn more on Bing</v>
  </rv>
  <rv s="1">
    <v>0</v>
    <v>1</v>
    <v>TYSON FOODS, INCORPORATED (XNYS:TSN)</v>
    <v>3</v>
    <v>4</v>
    <v>Finance</v>
    <v>19</v>
    <v>de-DE</v>
    <v>a24km7</v>
    <v>268435456</v>
    <v>1</v>
    <v>Unterstützt von Refinitiv</v>
    <v>66.41</v>
    <v>50.56</v>
    <v>0.23</v>
    <v>3.5899999999999999E-3</v>
    <v>352079000</v>
    <v>Tyson Foods, Inc. Ist ein Lebensmittelunternehmen. Das Unternehmen verfügt über ein Portfolio an ikonischen Produkten und Marken, darunter Tyson, Jimmy Dean, Hillshire Farm, Ball Park, Wright, State Fair, Aidells und ibp. Zu den Segmenten gehören Rindfleisch, Schweinefleisch, Hühnchen und Fertiggerichte. Das Segment Rindfleisch umfasst Tätigkeiten im Zusammenhang mit der Verarbeitung lebender Rinder und der Herstellung von zubereiteten Rinderschlachtkörpern zu Fleisch- und Fleischstücken sowie zu kastenfertigen Erzeugnissen. Das Segment Schweinefleisch umfasst Tätigkeiten im Zusammenhang mit der Verarbeitung lebender Marktschweine und der Herstellung von Schweineschlachtkörpern zu Urteilen und Teilstücken sowie zu kastenfertigen Erzeugnissen. Das Segment Hühner umfasst inländische Aktivitäten im Zusammenhang mit der Aufzucht und Verarbeitung lebender Hühner zu und dem Einkauf von Rohstoffen für frische, gefrorene und wertschöpfende Hühnerprodukte sowie Verkäufe von Spezialprodukten. Das Segment Prepared Foods umfasst Aktivitäten im Zusammenhang mit der Herstellung und Vermarktung von gefrorenen und gekühlten Lebensmitteln sowie Logistikoperationen für den Transport von Produkten durch die Lieferkette.</v>
    <v>0.4345</v>
    <v>22638679700</v>
    <v>New York Stock Exchange</v>
    <v>XNYS</v>
    <v>XNYS</v>
    <v>2200 DON TYSON PARKWAY, SPRINGDALE, AR, 72762-6999 US</v>
    <v>64.64</v>
    <v>Food &amp; Tobacco</v>
    <v>Aktie</v>
    <v>112.7556</v>
    <v>301</v>
    <v>46113.996667997657</v>
    <v>133000</v>
    <v>TYSON FOODS, INCORPORATED</v>
    <v>63.28</v>
    <v>TYSON FOODS, INCORPORATED</v>
    <v>63.88</v>
    <v>64.3</v>
    <v>64.069999999999993</v>
    <v>TSN</v>
    <v>TYSON FOODS, INCORPORATED (XNYS:TSN)</v>
    <v>1986</v>
    <v>1</v>
    <v>3318424</v>
    <v>USD</v>
  </rv>
  <rv s="2">
    <v>302</v>
  </rv>
  <rv s="3">
    <fb>63.92</fb>
    <v>6</v>
  </rv>
  <rv s="0">
    <v>https://www.bing.com/financeapi/forcetrigger?t=a24fmw&amp;q=XNYS%3aTPR&amp;form=skydnc</v>
    <v>Learn more on Bing</v>
  </rv>
  <rv s="1">
    <v>0</v>
    <v>1</v>
    <v>TAPESTRY, INC. (XNYS:TPR)</v>
    <v>3</v>
    <v>4</v>
    <v>Finance</v>
    <v>5</v>
    <v>de-DE</v>
    <v>a24fmw</v>
    <v>268435456</v>
    <v>1</v>
    <v>Unterstützt von Refinitiv</v>
    <v>161.97</v>
    <v>58.39</v>
    <v>3.24</v>
    <v>2.2960999999999999E-2</v>
    <v>202464200</v>
    <v>Tapestry, Inc. Ist ein Haus von Accessoires und Lifestyle-Marken. Zu den globalen Marken des Unternehmens gehören Coach und Kate Spade New york. Coach ist ein weltweit tätiges Modehaus für Accessoires und Lifestyle-Kollektionen. Kate Spade New York ist eine globale Lifestyle-Marke, die Dinge für den Alltag entwirft und saisonale Kollektionen von Handtaschen, Ready-to-Wear, Schmuck, Schuhen, Geschenken, Wohnkultur und mehr. Zu den Produkten gehören Damenhandtaschen, Damenaccessoires, Herrenaccessoires und andere Produkte. Zu den Accessoires für Damen gehören kleine Lederwaren, darunter Mini- und Mikrohandtaschen, Geldstücke, Armbänder, Taschen und Kosmetiktaschen. Zu den Herrentaschen gehören Taschenkollektionen, kleine Lederwaren, Schuhe, Uhren, Sonnenbrillen, und gebrauchsfertige Artikel. Seine Produkte werden über seine Direktverbraucher-, Großhandels- und Lizenzunternehmen an Kunden verkauft. Das DTC-Geschäft umfasst Einzelhandels- und Outlet-Stores, E-Commerce-Websites mit Markenzeichen sowie Shops-in-Shops mit Konzessionen.</v>
    <v>1.6095999999999999</v>
    <v>29225707270</v>
    <v>New York Stock Exchange</v>
    <v>XNYS</v>
    <v>XNYS</v>
    <v>10 Hudson Yards, NEW YORK, NY, 10001 US</v>
    <v>146.02000000000001</v>
    <v>Specialty Retailers</v>
    <v>Aktie</v>
    <v>59.567500000000003</v>
    <v>305</v>
    <v>46113.986597164061</v>
    <v>12500</v>
    <v>TAPESTRY, INC.</v>
    <v>141.38999999999999</v>
    <v>TAPESTRY, INC.</v>
    <v>142.72</v>
    <v>144.35</v>
    <v>141.11000000000001</v>
    <v>TPR</v>
    <v>TAPESTRY, INC. (XNYS:TPR)</v>
    <v>2000</v>
    <v>1</v>
    <v>2102196</v>
    <v>USD</v>
  </rv>
  <rv s="2">
    <v>306</v>
  </rv>
  <rv s="3">
    <fb>138.84</fb>
    <v>6</v>
  </rv>
  <rv s="0">
    <v>https://www.bing.com/financeapi/forcetrigger?t=a1mvjc&amp;q=XNAS%3aADI&amp;form=skydnc</v>
    <v>Learn more on Bing</v>
  </rv>
  <rv s="1">
    <v>0</v>
    <v>1</v>
    <v>ANALOG DEVICES, INC. (XNAS:ADI)</v>
    <v>3</v>
    <v>4</v>
    <v>Finance</v>
    <v>5</v>
    <v>de-DE</v>
    <v>a1mvjc</v>
    <v>268435456</v>
    <v>1</v>
    <v>Unterstützt von Refinitiv</v>
    <v>363.2</v>
    <v>158.65</v>
    <v>2.44</v>
    <v>7.6699999999999997E-3</v>
    <v>488204200</v>
    <v>Analog Devices, Inc. ist ein weltweit tätiges Halbleiterunternehmen. Das Unternehmen entwickelt, fertigt, testet und vermarktet ein Portfolio von Lösungen, darunter integrierte Schaltungen (ICs), Software und Subsysteme, die analoge, gemischte und digitale Hochleistungssignalverarbeitungstechnologien nutzen. Das umfassende Produktportfolio, die Spezialisierung auf bestimmte Bereiche und die Fertigungskapazitäten des Unternehmens erstrecken sich auf hochleistungsfähige Präzisions- und Hochgeschwindigkeits-Mixed-Signal-, Power-Management- und Verarbeitungstechnologien, einschließlich Datenkonverter, Verstärker, Power-Management, Hochfrequenz-ICs, Edge-Prozessoren und andere Sensoren. Das IC-Produktportfolio des Unternehmens umfasst sowohl Allzweckprodukte, die von einer Reihe von Kunden und Anwendungen genutzt werden, als auch anwendungsspezifische Produkte, die für bestimmte Zielmärkte entwickelt wurden. Die analogen ICs des Unternehmens überwachen, konditionieren, verstärken oder transformieren kontinuierliche analoge Signale, die mit physikalischen Eigenschaften wie Temperatur, Druck, Gewicht, Licht, Schall oder Bewegung verbunden sind.</v>
    <v>1.0528999999999999</v>
    <v>156508502436</v>
    <v>Nasdaq Stock Market</v>
    <v>XNAS</v>
    <v>XNAS</v>
    <v>One Analog Way, WILMINGTON, MA, 01887 US</v>
    <v>325.745</v>
    <v>Semiconductors &amp; Semiconductor Equipment</v>
    <v>Aktie</v>
    <v>55.484200000000001</v>
    <v>309</v>
    <v>46113.998828703123</v>
    <v>24500</v>
    <v>ANALOG DEVICES, INC.</v>
    <v>317.20999999999998</v>
    <v>ANALOG DEVICES, INC.</v>
    <v>318.2</v>
    <v>320.58</v>
    <v>318.14</v>
    <v>ADI</v>
    <v>ANALOG DEVICES, INC. (XNAS:ADI)</v>
    <v>1965</v>
    <v>188</v>
    <v>4041416</v>
    <v>USD</v>
  </rv>
  <rv s="2">
    <v>310</v>
  </rv>
  <rv s="3">
    <fb>307.44</fb>
    <v>6</v>
  </rv>
  <rv s="0">
    <v>https://www.bing.com/financeapi/forcetrigger?t=bnmq52&amp;q=XNYS%3aLIN&amp;form=skydnc</v>
    <v>Learn more on Bing</v>
  </rv>
  <rv s="1">
    <v>0</v>
    <v>1</v>
    <v>LINDE PUBLIC LIMITED COMPANY (XNAS:LIN)</v>
    <v>3</v>
    <v>4</v>
    <v>Finance</v>
    <v>5</v>
    <v>de-DE</v>
    <v>bnmq52</v>
    <v>268435456</v>
    <v>1</v>
    <v>Unterstützt von Refinitiv</v>
    <v>510.65230000000003</v>
    <v>387.78</v>
    <v>-1.93</v>
    <v>-3.8929999999999998E-3</v>
    <v>463394200</v>
    <v>Linde plc ist ein in Großbritannien ansässiges Unternehmen für Industriegase und Maschinenbau. Das Unternehmen bedient eine Vielzahl von Endmärkten, wie Chemikalien und Energie, Lebensmittel und Getränke, Elektronik, Gesundheitswesen, Fertigung, Metalle und Bergbau. Die Industriegase und Technologien des Unternehmens werden in unzähligen Anwendungen eingesetzt, darunter die Herstellung von sauberen Wasserstoff- und Kohlenstoffabscheidungssystemen, die für die Energiewende von entscheidender Bedeutung sind, lebensrettender medizinischer Sauerstoff sowie hochreine Gase und Spezialgase für die Elektronik. Darüber hinaus bietet das Unternehmen Lösungen zur Gasaufbereitung zur Unterstützung der Kundenerweiterung, Effizienzverbesserungen und Emissionsreduzierungen. Die Hauptprodukte des Geschäftsbereichs Industriegase sind atmosphärische Gase und Prozessgase. Das Unternehmen entwirft und baut auch Anlagen zur Herstellung von Industriegasen und bietet seinen Kunden eine Reihe von Dienstleistungen zur Gaserzeugung und -Verarbeitung an, wie z. B. Olefinanlagen, Erdgasanlagen, Luftzerlegungsanlagen, Wasserstoff- und Synthesegasanlagen und andere Arten von Anlagen.</v>
    <v>0.78990000000000005</v>
    <v>228837957786</v>
    <v>Nasdaq Stock Market</v>
    <v>XNAS</v>
    <v>XNAS</v>
    <v>Forge, 43 Church Street West, WOKING, SURREY, GU21 6HT GB</v>
    <v>494.44</v>
    <v>Chemicals</v>
    <v>Aktie</v>
    <v>33.823300000000003</v>
    <v>313</v>
    <v>46113.99716923594</v>
    <v>65177</v>
    <v>LINDE PUBLIC LIMITED COMPANY</v>
    <v>488.49</v>
    <v>LINDE PUBLIC LIMITED COMPANY</v>
    <v>492.82</v>
    <v>493.83</v>
    <v>495.76</v>
    <v>LIN</v>
    <v>LINDE PUBLIC LIMITED COMPANY (XNAS:LIN)</v>
    <v>2017</v>
    <v>1394</v>
    <v>2850080</v>
    <v>USD</v>
  </rv>
  <rv s="2">
    <v>314</v>
  </rv>
  <rv s="3">
    <fb>491.12</fb>
    <v>6</v>
  </rv>
  <rv s="0">
    <v>https://www.bing.com/financeapi/forcetrigger?t=a1uwu2&amp;q=XNYS%3aHSY&amp;form=skydnc</v>
    <v>Learn more on Bing</v>
  </rv>
  <rv s="1">
    <v>0</v>
    <v>1</v>
    <v>THE HERSHEY COMPANY (XNYS:HSY)</v>
    <v>3</v>
    <v>4</v>
    <v>Finance</v>
    <v>19</v>
    <v>de-DE</v>
    <v>a1uwu2</v>
    <v>268435456</v>
    <v>1</v>
    <v>Unterstützt von Refinitiv</v>
    <v>239.48</v>
    <v>150.04</v>
    <v>-5</v>
    <v>-2.4050999999999999E-2</v>
    <v>202690900</v>
    <v>Die Hershey Company ist eine Snackfirma. Zu den Segmenten des Unternehmens gehören Süßwaren in Nordamerika, Salty Snacks in Nordamerika und International. Das nordamerikanische Süßwarensegment ist für seine Marktposition bei traditionellen Schokoladen- und nicht-Schokoladenwaren in den USA und Kanada verantwortlich. Dazu gehören das Geschäft mit Schokoladen- und Schokoladenkonditorwaren, Gummi- und Erfrischungsprodukten, Proteinriegeln, Aufstrichen, Snacks und Mischungen sowie Speisekammer- und Gastronomiebetriebe. Zu diesem Segment gehören auch die Einzelhandelsgeschäfte. Das Segment „Salty Snacks“ in Nordamerika ist für seine salzigen Snack-Produkte in den USA verantwortlich. Dazu gehören verzehrfertiges Popcorn, gebackene und fettfreie Snacks, Brezeln und andere Snacks. Das Portfolio des Unternehmens umfasst Schokoladen- und Süßwarenmarken wie Hershey's, Reese's, Kisses, Kit Kat, Jolly Rancher, Ice Breakers, LesserEvil, Shaq-a-Licious sowie salzige Snacks, darunter SkinnyPop und Dot's Homestyle Bretzels.</v>
    <v>0.17580000000000001</v>
    <v>41123956701</v>
    <v>New York Stock Exchange</v>
    <v>XNYS</v>
    <v>XNYS</v>
    <v>19 East Chocolate Avenue, External Rptg &amp; Compliance, HERSHEY, PA, 17033 US</v>
    <v>205.21</v>
    <v>Food &amp; Tobacco</v>
    <v>Aktie</v>
    <v>46.731099999999998</v>
    <v>317</v>
    <v>46113.958333356248</v>
    <v>17550</v>
    <v>THE HERSHEY COMPANY</v>
    <v>199.62</v>
    <v>THE HERSHEY COMPANY</v>
    <v>203.39</v>
    <v>202.89</v>
    <v>207.89</v>
    <v>HSY</v>
    <v>THE HERSHEY COMPANY (XNYS:HSY)</v>
    <v>1927</v>
    <v>2245649</v>
    <v>1748189</v>
    <v>USD</v>
  </rv>
  <rv s="2">
    <v>318</v>
  </rv>
  <rv s="3">
    <fb>213.73</fb>
    <v>6</v>
  </rv>
  <rv s="0">
    <v>https://www.bing.com/financeapi/forcetrigger?t=a25omw&amp;q=XNYS%3aWAB&amp;form=skydnc</v>
    <v>Learn more on Bing</v>
  </rv>
  <rv s="1">
    <v>0</v>
    <v>1</v>
    <v>WESTINGHOUSE AIR BRAKE TECHNOLOGIES CORPORATION (XNYS:WAB)</v>
    <v>3</v>
    <v>4</v>
    <v>Finance</v>
    <v>19</v>
    <v>de-DE</v>
    <v>a25omw</v>
    <v>268435456</v>
    <v>1</v>
    <v>Unterstützt von Refinitiv</v>
    <v>266.27</v>
    <v>151.81</v>
    <v>6.12</v>
    <v>2.4489E-2</v>
    <v>170517200</v>
    <v>Westinghouse Air Brake Technologies Corporation, die unter dem Namen Wabtec Corporation firmiert, ist ein weltweiter Anbieter von technologiebasierten Lokomotiven, Ausrüstungen, Systemen und Dienstleistungen für den Schienengüter- und -personenverkehr sowie für den Bergbau, die Schifffahrt und die Industrie. Das Segment Güterverkehr stellt in erster Linie neue und modernisierte Lokomotiven her, bietet Ersatzteile und Dienstleistungen für bestehende Lokomotiven an, liefert Komponenten für neue und bestehende Güterwagen, baut neue Nahverkehrslokomotiven, liefert Bahnsteuerungs- und Infrastrukturprodukte, überholt Lokomotiven und liefert Wärmetauscher und Kühlsysteme für den Schienenverkehr und andere Industriemärkte. Das Segment Transit produziert und wartet hauptsächlich Komponenten für neue und bestehende Fahrzeuge des Personenverkehrs, wie Regionalzüge, Hochgeschwindigkeitszüge, U-Bahnen, Stadtbahnen und Busse, und liefert Produkte für die Bahnsteuerung und -infrastruktur, einschließlich Elektronik, Signaldesign und technische Dienstleistungen.</v>
    <v>0.98770000000000002</v>
    <v>43657518715</v>
    <v>New York Stock Exchange</v>
    <v>XNYS</v>
    <v>XNYS</v>
    <v>30 Isabella Street, PITTSBURGH, PA, 15212 US</v>
    <v>258.38</v>
    <v>Machinery, Equipment &amp; Components</v>
    <v>Aktie</v>
    <v>37.448599999999999</v>
    <v>321</v>
    <v>46113.958333333336</v>
    <v>31000</v>
    <v>WESTINGHOUSE AIR BRAKE TECHNOLOGIES CORPORATION</v>
    <v>252.08</v>
    <v>WESTINGHOUSE AIR BRAKE TECHNOLOGIES CORPORATION</v>
    <v>252.37</v>
    <v>256.02999999999997</v>
    <v>249.91</v>
    <v>WAB</v>
    <v>WESTINGHOUSE AIR BRAKE TECHNOLOGIES CORPORATION (XNYS:WAB)</v>
    <v>1989</v>
    <v>1545792</v>
    <v>877572</v>
    <v>USD</v>
  </rv>
  <rv s="2">
    <v>322</v>
  </rv>
  <rv s="3">
    <fb>241.11</fb>
    <v>6</v>
  </rv>
  <rv s="0">
    <v>https://www.bing.com/financeapi/forcetrigger?t=a1w1rw&amp;q=XNAS%3aJBHT&amp;form=skydnc</v>
    <v>Learn more on Bing</v>
  </rv>
  <rv s="1">
    <v>0</v>
    <v>1</v>
    <v>J. B. HUNT TRANSPORT SERVICES, INC. (XNAS:JBHT)</v>
    <v>3</v>
    <v>4</v>
    <v>Finance</v>
    <v>5</v>
    <v>de-DE</v>
    <v>a1w1rw</v>
    <v>268435456</v>
    <v>1</v>
    <v>Unterstützt von Refinitiv</v>
    <v>236</v>
    <v>122.79</v>
    <v>1.54</v>
    <v>7.2680000000000002E-3</v>
    <v>94604080</v>
    <v>J.B. Hunt Transport Services, Inc. ist ein nordamerikanisches Unternehmen für Landtransport, Zustellung und Logistik. Das Unternehmen bietet über seine hundertprozentigen Tochtergesellschaften eine Reihe von Transport-, Vermittlungs- und Zustelldiensten für eine Vielzahl von Kunden und Verbrauchern in den Vereinigten Staaten, Kanada und Mexiko an. Es ist in fünf Segmenten tätig: Intermodal (JBI), Dedicated Contract Services (DCS), Integrated Capacity Solutions (ICS), Final Mile Services (FMS) und Truckload (JBT). Das JBI-Segment umfasst Fracht, die zumindest auf einem Teil der Strecke auf der Schiene transportiert wird, sowie bestimmte Lkw-Repositionierungsfracht, die mit JBI-Equipment oder von Drittunternehmen befördert wird. Das DCS-Segment konzentriert sich auf die Umstellung privater Flotten und die Erstellung von Nachschub- und Spezialausrüstung. Das ICS-Segment bietet seinen Kunden anlagenunabhängige und anlagenschonende Transportlösungen durch Beziehungen zu Drittunternehmen und die Integration von unternehmenseigenem Equipment.</v>
    <v>1.2210000000000001</v>
    <v>20192294835</v>
    <v>Nasdaq Stock Market</v>
    <v>XNAS</v>
    <v>XNAS</v>
    <v>615 Jb Hunt Corporate Dr, Po Box 130, LOWELL, AR, 72745 US</v>
    <v>216.45</v>
    <v>Freight &amp; Logistics Services</v>
    <v>Aktie</v>
    <v>34.733899999999998</v>
    <v>325</v>
    <v>46113.924374524999</v>
    <v>31750</v>
    <v>J. B. HUNT TRANSPORT SERVICES, INC.</v>
    <v>211.4</v>
    <v>J. B. HUNT TRANSPORT SERVICES, INC.</v>
    <v>212.25</v>
    <v>213.44</v>
    <v>211.9</v>
    <v>JBHT</v>
    <v>J. B. HUNT TRANSPORT SERVICES, INC. (XNAS:JBHT)</v>
    <v>1961</v>
    <v>1</v>
    <v>954701</v>
    <v>USD</v>
  </rv>
  <rv s="2">
    <v>326</v>
  </rv>
  <rv s="3">
    <fb>205.59</fb>
    <v>6</v>
  </rv>
  <rv s="0">
    <v>https://www.bing.com/financeapi/forcetrigger?t=a1w2cw&amp;q=XNYS%3aJCI&amp;form=skydnc</v>
    <v>Learn more on Bing</v>
  </rv>
  <rv s="1">
    <v>0</v>
    <v>1</v>
    <v>JOHNSON CONTROLS INTERNATIONAL PUBLIC LIMITED COMPANY (XNYS:JCI)</v>
    <v>3</v>
    <v>4</v>
    <v>Finance</v>
    <v>5</v>
    <v>de-DE</v>
    <v>a1w2cw</v>
    <v>268435456</v>
    <v>1</v>
    <v>Unterstützt von Refinitiv</v>
    <v>146.49</v>
    <v>68.03</v>
    <v>3.77</v>
    <v>2.879E-2</v>
    <v>612066200</v>
    <v>Johnson Controls International plc ist auf intelligente Gebäude spezialisiert und bietet ein Portfolio an Gebäudetechnik, Software und Dienstleistungen an. Zu den Segmenten des Unternehmens gehören Nord- und Südamerika, EMEA und APAC. Das Unternehmen ist in der Entwicklung, Herstellung, Inbetriebnahme und Nachrüstung von Gebäudeprodukten und -Systemen tätig, einschließlich Heizung, Lüftung, Klimaanlagen, industrielle Kühlsysteme, Steuerungen, Sicherheitssysteme, Brandmeldeanlagen und Brandlöschlösungen. Das Unternehmen bietet seinen Kunden auch technische Dienstleistungen wie Wartung, Management, Reparatur, Nachrüstung und Austausch von Geräten (in den Bereichen HLK, industrielle Kühlung, Steuerungen, Sicherheit und Brandschutz) sowie Beratung im Bereich Energiemanagement. Die digitale Softwareplattform OpenBlue ermöglicht Unternehmen die Verwaltung ihrer physischen Räume. Das Unternehmen bedient verschiedene Branchen, darunter Gesundheitswesen, Schulen, Rechenzentren, Flughäfen, Stadien und Fertigung.</v>
    <v>1.4016999999999999</v>
    <v>82457558464</v>
    <v>New York Stock Exchange</v>
    <v>XNYS</v>
    <v>XNYS</v>
    <v>1 ALBERT QUAY, MUNSTER, T12 X8N6 IE</v>
    <v>135.595</v>
    <v>Machinery, Equipment &amp; Components</v>
    <v>Aktie</v>
    <v>45.188499999999998</v>
    <v>329</v>
    <v>46113.979953633592</v>
    <v>87000</v>
    <v>JOHNSON CONTROLS INTERNATIONAL PUBLIC LIMITED COMPANY</v>
    <v>132.5275</v>
    <v>JOHNSON CONTROLS INTERNATIONAL PUBLIC LIMITED COMPANY</v>
    <v>133.02000000000001</v>
    <v>134.72</v>
    <v>130.94999999999999</v>
    <v>JCI</v>
    <v>JOHNSON CONTROLS INTERNATIONAL PUBLIC LIMITED COMPANY (XNYS:JCI)</v>
    <v>2014</v>
    <v>80</v>
    <v>4199760</v>
    <v>USD</v>
  </rv>
  <rv s="2">
    <v>330</v>
  </rv>
  <rv s="3">
    <fb>131.29</fb>
    <v>6</v>
  </rv>
  <rv s="0">
    <v>https://www.bing.com/financeapi/forcetrigger?t=a1uvar&amp;q=XNYS%3aLHX&amp;form=skydnc</v>
    <v>Learn more on Bing</v>
  </rv>
  <rv s="1">
    <v>0</v>
    <v>1</v>
    <v>L3HARRIS TECHNOLOGIES, INC. (XNYS:LHX)</v>
    <v>3</v>
    <v>4</v>
    <v>Finance</v>
    <v>5</v>
    <v>de-DE</v>
    <v>a1uvar</v>
    <v>268435456</v>
    <v>1</v>
    <v>Unterstützt von Refinitiv</v>
    <v>379.23</v>
    <v>195.72</v>
    <v>8.76</v>
    <v>2.538E-2</v>
    <v>186776300</v>
    <v>L3Harris Technologies, Inc. bietet im Interesse der nationalen Sicherheit durchgängige Technologielösungen an, die die Bereiche Weltraum, Luft, Land, See und Cyberspace verbinden. Zu den Geschäftsbereichen zählen Space &amp; Airborne Systems (SAS), Integrated Mission Systems (IMS), Communication Systems (CS) und Aerojet Rocketdyne (AR). Der Geschäftsbereich SAS liefert als Haupt- und Subsystemintegrator komplette Missionslösungen in den Bereichen Weltraum, Luft und Cyberspace. Der Geschäftsbereich IMS liefert differenzierte Missionsfähigkeiten und erstklassige Systemintegration zur Unterstützung von Nachrichtendiensten, Aufklärung und Überwachung (ISR), passiver Sensorik und Zielerfassung, elektronischen Angriffen, Autonomie, Energieversorgung und Kommunikation, Netzwerken und Sensoren. CS stattet Soldaten in allen Bereichen mit Lösungen aus, die für den Missionserfolg selbst in umkämpften Umgebungen entscheidend sind. Der Geschäftsbereich AR beliefert die US-Regierung, darunter das Verteidigungsministerium, die NASA und verschiedene Hauptauftragnehmer aus der Luft- und Raumfahrt- sowie Verteidigungsbranche, mit Antriebs-, Energie- und Bewaffnungsprodukten und -systemen.</v>
    <v>0.621</v>
    <v>66102000333</v>
    <v>New York Stock Exchange</v>
    <v>XNYS</v>
    <v>XNYS</v>
    <v>1025 W Nasa Blvd, MELBOURNE, FL, 32919-0001 US</v>
    <v>355.54</v>
    <v>Aerospace &amp; Defense</v>
    <v>Aktie</v>
    <v>41.4726</v>
    <v>333</v>
    <v>46113.995423298438</v>
    <v>45000</v>
    <v>L3HARRIS TECHNOLOGIES, INC.</v>
    <v>347.11</v>
    <v>L3HARRIS TECHNOLOGIES, INC.</v>
    <v>348.84</v>
    <v>353.91</v>
    <v>345.15</v>
    <v>LHX</v>
    <v>L3HARRIS TECHNOLOGIES, INC. (XNYS:LHX)</v>
    <v>1926</v>
    <v>10</v>
    <v>1527186</v>
    <v>USD</v>
  </rv>
  <rv s="2">
    <v>334</v>
  </rv>
  <rv s="3">
    <fb>343</fb>
    <v>6</v>
  </rv>
  <rv s="0">
    <v>https://www.bing.com/financeapi/forcetrigger?t=a1oma2&amp;q=XNYS%3aBALL&amp;form=skydnc</v>
    <v>Learn more on Bing</v>
  </rv>
  <rv s="1">
    <v>0</v>
    <v>1</v>
    <v>BALL CORPORATION (XNYS:BALL)</v>
    <v>3</v>
    <v>4</v>
    <v>Finance</v>
    <v>5</v>
    <v>de-DE</v>
    <v>a1oma2</v>
    <v>268435456</v>
    <v>1</v>
    <v>Unterstützt von Refinitiv</v>
    <v>68.290000000000006</v>
    <v>43.51</v>
    <v>1.26</v>
    <v>2.1316000000000002E-2</v>
    <v>266153000</v>
    <v>Die Ball Corporation (Ball) liefert nachhaltige Aluminiumverpackungslösungen für Getränke-, Körperpflege- und Haushaltsprodukte. Seine Verpackungsprodukte werden für eine Vielzahl von Endverwendungen hergestellt. Das Unternehmen verkauft seine Aluminiumverpackungsprodukte hauptsächlich an große multinationale Getränke-, Körperpflege- und Haushaltswarenhersteller. Das Unternehmen ist in drei Segmenten tätig: Getränkeverpackungen in Nord- und Mittelamerika; Getränkeverpackungen in EMEA und Getränkeverpackungen in Südamerika. Das Segment Getränkeverpackungen, Nord- und Mittelamerika produziert und verkauft Getränkebehälter aus Aluminium in den USA, Kanada und Mexiko. Das Segment Getränkeverpackungen, EMEA, produziert und verkauft Getränkebehälter aus Aluminium in verschiedenen Ländern in Europa sowie in Ägypten und der Türkei. Das Segment Getränkeverpackungen, Südamerika, produziert und verkauft Getränkebehälter aus Aluminium in Brasilien, Argentinien, Paraguay und Chile.</v>
    <v>1.1418999999999999</v>
    <v>16067656610</v>
    <v>New York Stock Exchange</v>
    <v>XNYS</v>
    <v>XNYS</v>
    <v>9200 W. 108th Circle, P.O. Box 5000, WESTMINSTER, CO, 80021-2510 US</v>
    <v>60.94</v>
    <v>Containers &amp; Packaging</v>
    <v>Aktie</v>
    <v>18.225200000000001</v>
    <v>337</v>
    <v>46113.989057441409</v>
    <v>16000</v>
    <v>BALL CORPORATION</v>
    <v>59</v>
    <v>BALL CORPORATION</v>
    <v>59.17</v>
    <v>60.37</v>
    <v>59.11</v>
    <v>BALL</v>
    <v>BALL CORPORATION (XNYS:BALL)</v>
    <v>1922</v>
    <v>1</v>
    <v>2147848</v>
    <v>USD</v>
  </rv>
  <rv s="2">
    <v>338</v>
  </rv>
  <rv s="3">
    <fb>59.27</fb>
    <v>6</v>
  </rv>
  <rv s="0">
    <v>https://www.bing.com/financeapi/forcetrigger?t=a1rmkr&amp;q=XNYS%3aED&amp;form=skydnc</v>
    <v>Learn more on Bing</v>
  </rv>
  <rv s="1">
    <v>0</v>
    <v>1</v>
    <v>CONSOLIDATED EDISON, INC. (XNYS:ED)</v>
    <v>3</v>
    <v>4</v>
    <v>Finance</v>
    <v>19</v>
    <v>de-DE</v>
    <v>a1rmkr</v>
    <v>268435456</v>
    <v>1</v>
    <v>Unterstützt von Refinitiv</v>
    <v>116.23</v>
    <v>94.96</v>
    <v>0.73</v>
    <v>6.45E-3</v>
    <v>361302700</v>
    <v>Konsolidierte Edison, Inc. Ist ein Energieunternehmen. Das Unternehmen bietet seinen Kunden über seine Tochtergesellschaften Consolidated Edison Company of New York, Inc. (CECONY), Orange and Rockland Utilities, Inc. (O&amp;R) und Con Edison Transmission, Inc. Eine Reihe energieverbrauchsrelevanter Produkte und Dienstleistungen an. CECONY ist ein reguliertes Versorgungsunternehmen, das Strom in New York City und Westchester County, Gasdienste in Manhattan, Bronx, Teile von Queens und Westchester sowie Dampfdienste in Manhattan anbietet. O&amp;R und ihre Versorgungsgesellschaft Rockland Electric Company bieten elektrische Dienstleistungen für Kunden im Südosten von New York und im Norden von New Jersey, einem 1.300 Quadratkilometer großen Servicegebiet. O&amp;R liefert Gas an Kunden im Südosten von New York. CON Edison Transmission, Inc. Untersteht in erster Linie der Aufsicht der Federal Energy Regulatory Commission und verwaltet über Joint Ventures sowohl Strom- als auch Gasanlagen, während es um die Entwicklung von Elektroübertragungsprojekten geht.</v>
    <v>0.33529999999999999</v>
    <v>41155990557</v>
    <v>New York Stock Exchange</v>
    <v>XNYS</v>
    <v>XNYS</v>
    <v>4 Irving Place, NEW YORK, NY, 10003 US</v>
    <v>114.05500000000001</v>
    <v>Electrical Utilities &amp; IPPs</v>
    <v>Aktie</v>
    <v>20.1494</v>
    <v>341</v>
    <v>46113.998179513284</v>
    <v>15407</v>
    <v>CONSOLIDATED EDISON, INC.</v>
    <v>112.2</v>
    <v>CONSOLIDATED EDISON, INC.</v>
    <v>112.47</v>
    <v>113.91</v>
    <v>113.18</v>
    <v>ED</v>
    <v>CONSOLIDATED EDISON, INC. (XNYS:ED)</v>
    <v>1997</v>
    <v>1690489</v>
    <v>2356227</v>
    <v>USD</v>
  </rv>
  <rv s="2">
    <v>342</v>
  </rv>
  <rv s="3">
    <fb>111.68</fb>
    <v>6</v>
  </rv>
  <rv s="0">
    <v>https://www.bing.com/financeapi/forcetrigger?t=a2139c&amp;q=XNYS%3aPNW&amp;form=skydnc</v>
    <v>Learn more on Bing</v>
  </rv>
  <rv s="1">
    <v>0</v>
    <v>1</v>
    <v>PINNACLE WEST CAPITAL CORPORATION (XNYS:PNW)</v>
    <v>3</v>
    <v>4</v>
    <v>Finance</v>
    <v>19</v>
    <v>de-DE</v>
    <v>a2139c</v>
    <v>268435456</v>
    <v>1</v>
    <v>Unterstützt von Refinitiv</v>
    <v>103.97</v>
    <v>85.322999999999993</v>
    <v>0.78</v>
    <v>7.7419999999999998E-3</v>
    <v>120905400</v>
    <v>Die Pinnacle West Capital Corporation ist eine Energieholdinggesellschaft, die über ihre Tochtergesellschaften Arizona Public Service Company (APS), El Dorado Investment Company (El Dorado) und Pinnacle West Power, LLC Geschäfte tätigt. Das Geschäftssegment des Unternehmens ist sein reguliertes Stromsegment, das aus traditionellen regulierten Einzelhandels- und Großhandelsgeschäften (hauptsächlich Stromdienstleistungen für Native Load-Kunden) und damit verbundenen Aktivitäten besteht und die Stromerzeugung, -Übertragung und -Verteilung umfasst. APS bietet rund 1,4 Millionen Kunden elektrischen Service an. APS ist auch Betreiber und Miteigentümer von Palo Verde, einer Hauptstromquelle für den Südwesten der USA und des Kernkraftwerks in den Vereinigten Staaten. El Dorado besitzt Fremdkapitalinvestitionen und Minderheitsbeteiligungen an mehreren energiebezogenen Investitionen und kommunalen Projekten in Arizona. Palo Verde ist ein dreiteiliges Kernkraftwerk rund 50 km westlich von Phoenix, Arizona.</v>
    <v>0.47610000000000002</v>
    <v>12275525262</v>
    <v>New York Stock Exchange</v>
    <v>XNYS</v>
    <v>XNYS</v>
    <v>400 North 5th Street, PHOENIX, AZ, 85004 US</v>
    <v>101.97</v>
    <v>Electrical Utilities &amp; IPPs</v>
    <v>Aktie</v>
    <v>20.083400000000001</v>
    <v>345</v>
    <v>46113.986608135936</v>
    <v>94</v>
    <v>PINNACLE WEST CAPITAL CORPORATION</v>
    <v>100.22</v>
    <v>PINNACLE WEST CAPITAL CORPORATION</v>
    <v>100.22</v>
    <v>101.53</v>
    <v>100.75</v>
    <v>PNW</v>
    <v>PINNACLE WEST CAPITAL CORPORATION (XNYS:PNW)</v>
    <v>1985</v>
    <v>1</v>
    <v>1412635</v>
    <v>USD</v>
  </rv>
  <rv s="2">
    <v>346</v>
  </rv>
  <rv s="3">
    <fb>99.69</fb>
    <v>6</v>
  </rv>
  <rv s="0">
    <v>https://www.bing.com/financeapi/forcetrigger?t=a1rwjc&amp;q=XNYS%3aEME&amp;form=skydnc</v>
    <v>Learn more on Bing</v>
  </rv>
  <rv s="1">
    <v>0</v>
    <v>1</v>
    <v>EMCOR GROUP, INC. (XNYS:EME)</v>
    <v>3</v>
    <v>4</v>
    <v>Finance</v>
    <v>19</v>
    <v>de-DE</v>
    <v>a1rwjc</v>
    <v>268435456</v>
    <v>1</v>
    <v>Unterstützt von Refinitiv</v>
    <v>835</v>
    <v>320.88499999999999</v>
    <v>21.24</v>
    <v>2.8767999999999998E-2</v>
    <v>44532570</v>
    <v>Die EMCOR Group, Inc. Ist ein Spezialunternehmen. Das Unternehmen bietet Dienstleistungen im Bereich mechanischer und elektrischer Bauarbeiten, Industrie- und Energieinfrastruktur sowie Gebäudedienstleistungen an. Seine Dienstleistungen werden in den Bereichen Handel, Technologie, Fertigung, Industrie, Gesundheitswesen, Versorgungsunternehmen und institutionelle Kunden über rund 100 Tochtergesellschaften. Diese operativen Tochtergesellschaften sind in die verschiedenen berichtspflichtigen Segmente unterteilt, darunter Dienstleistungen für Elektrobau und Anlagen in den Vereinigten Staaten, Dienstleistungen für Maschinenbau und Anlagen in den Vereinigten Staaten, Dienstleistungen für Bauwesen in den Vereinigten Staaten, Dienstleistungen für Industriedienstleistungen in den Vereinigten Staaten und Dienstleistungen für Gebäude in Großbritannien. Seine elektrischen und mechanischen Bauleistungen umfassen in erster Linie die Planung, Integration, Installation, Inbetriebnahme, Betrieb und Wartung, und Erbringung von Dienstleistungen in Bezug auf Straßen- und Transitbeleuchtung, Signalanlagen und Glasfaserleitungen sowie Brandschutzanlagen und -Löschanlagen.</v>
    <v>1.1123000000000001</v>
    <v>33824713543</v>
    <v>New York Stock Exchange</v>
    <v>XNYS</v>
    <v>XNYS</v>
    <v>301 Merritt Seven, NORWALK, CT, 06851-1092 US</v>
    <v>769.97</v>
    <v>Construction &amp; Engineering</v>
    <v>Aktie</v>
    <v>26.907800000000002</v>
    <v>349</v>
    <v>46113.985576631247</v>
    <v>44000</v>
    <v>EMCOR GROUP, INC.</v>
    <v>746.11</v>
    <v>EMCOR GROUP, INC.</v>
    <v>747.86</v>
    <v>759.55</v>
    <v>738.31</v>
    <v>EME</v>
    <v>EMCOR GROUP, INC. (XNYS:EME)</v>
    <v>1987</v>
    <v>252917</v>
    <v>421382</v>
    <v>USD</v>
  </rv>
  <rv s="2">
    <v>350</v>
  </rv>
  <rv s="3">
    <fb>732.89</fb>
    <v>6</v>
  </rv>
  <rv s="0">
    <v>https://www.bing.com/financeapi/forcetrigger?t=a1mybh&amp;q=XNAS%3aAEP&amp;form=skydnc</v>
    <v>Learn more on Bing</v>
  </rv>
  <rv s="1">
    <v>0</v>
    <v>1</v>
    <v>AMERICAN ELECTRIC POWER COMPANY, INC. (XNAS:AEP)</v>
    <v>3</v>
    <v>4</v>
    <v>Finance</v>
    <v>5</v>
    <v>de-DE</v>
    <v>a1mybh</v>
    <v>268435456</v>
    <v>1</v>
    <v>Unterstützt von Refinitiv</v>
    <v>135</v>
    <v>97.46</v>
    <v>0.59</v>
    <v>4.5009999999999998E-3</v>
    <v>543563500</v>
    <v>American Electric Power Company, Inc. ist eine Holdinggesellschaft für öffentliche Elektrizitätswerke. Ihre Stromversorgungsunternehmen erbringen Erzeugungs-, Übertragungs- und Verteilungsdienstleistungen für mehr als fünf Millionen Einzelhandelskunden in Arkansas, Indiana, Kentucky, Louisiana, Michigan, Ohio, Oklahoma, Tennessee, Texas, Virginia und West Virginia. Zu seinen Segmenten gehören Vertically Integrated Utilities, Transmission and Distribution Utilities, AEP Transmission Holdco und Generation &amp; Marketing. Das Segment Vertically Integrated Utilities befasst sich mit der Erzeugung, Übertragung und Verteilung von Strom für den Verkauf an Einzel- und Großhandelskunden. Der Bereich Transmission and Distribution Utilities umfasst die Übertragung und Verteilung von Strom für den Verkauf an Einzel- und Großhandelskunden. Die AEP Transmission Holdco befasst sich mit der Entwicklung, dem Bau und dem Betrieb von Übertragungseinrichtungen. Das Segment Erzeugung &amp; Marketing umfasst die Bereiche Marketing, Risikomanagement und Einzelhandel.</v>
    <v>0.57030000000000003</v>
    <v>71571006045</v>
    <v>Nasdaq Stock Market</v>
    <v>XNAS</v>
    <v>XNAS</v>
    <v>1 Riverside Plz, COLUMBUS, OH, 43215-2355 US</v>
    <v>132.16</v>
    <v>Electrical Utilities &amp; IPPs</v>
    <v>Aktie</v>
    <v>19.7562</v>
    <v>353</v>
    <v>46113.993775659372</v>
    <v>17581</v>
    <v>AMERICAN ELECTRIC POWER COMPANY, INC.</v>
    <v>130.51</v>
    <v>AMERICAN ELECTRIC POWER COMPANY, INC.</v>
    <v>130.69</v>
    <v>131.66999999999999</v>
    <v>131.08000000000001</v>
    <v>AEP</v>
    <v>AMERICAN ELECTRIC POWER COMPANY, INC. (XNAS:AEP)</v>
    <v>1925</v>
    <v>1</v>
    <v>3912296</v>
    <v>USD</v>
  </rv>
  <rv s="2">
    <v>354</v>
  </rv>
  <rv s="3">
    <fb>130.1</fb>
    <v>6</v>
  </rv>
  <rv s="0">
    <v>https://www.bing.com/financeapi/forcetrigger?t=aajh6h&amp;q=XWBO%3aPFE&amp;form=skydnc</v>
    <v>Learn more on Bing</v>
  </rv>
  <rv s="9">
    <v>20</v>
    <v>21</v>
    <v>PFIZER INC. (XWBO:PFE)</v>
    <v>3</v>
    <v>22</v>
    <v>Finance</v>
    <v>23</v>
    <v>de-DE</v>
    <v>aajh6h</v>
    <v>268435456</v>
    <v>1</v>
    <v>Unterstützt von Refinitiv</v>
    <v>0.245</v>
    <v>1.0078E-2</v>
    <v>5688356000</v>
    <v>Pfizer Inc. Ist ein forschungsbasiertes, globales biopharmazeutisches Unternehmen. Das Unternehmen beschäftigt sich mit der Entdeckung, Entwicklung, Herstellung, Vermarktung, dem Verkauf und dem Vertrieb biopharmazeutischer Produkte weltweit. Das Segment Biopharma umfasst die Pfizer U.S. Commercial Division und die Pfizer International Commercial Division. Zu den Produktkategorien gehören Onkologie, Primärversorgung und Spezialpflege. Zu den onkologischen Produkten gehören Ibrance, Xtandi, Padcev, Adcetris, Inlyta, Lorbrena, Bosulif, Tukysa, Braftovi, Mektovi, Orgovyx, Elrexfio, Tivdak und Talzenna. Zu den primären Pflegeprodukten gehören Eliquis, Nurtec ODT/Vydura, Zavzpret, die Familie Prevnar, Comirnaty, Abrysvo, FSME/IMMUN-TicoVac, Nimenrix, Trumenba und Paxlovid. Zu den Spezialpflegeprodukten gehören Xeljanz, Enbrel (außerhalb der Vereinigten Staaten und Kanadas), Inflectra, Abrilada, Cibinqo, Litfulo, Eucrisa, Velsipity, Familie Vyndaqel, Genotropin, BeneFIX, Xyntha, Somavert, Ngenla, Hympavzi, Sulperazon, Zavicefta, Octagam und andere.</v>
    <v>0.38869999999999999</v>
    <v>143677800000</v>
    <v>Wiener Boerse</v>
    <v>XWBO</v>
    <v>XWBO</v>
    <v>66 HUDSON BOULEVARD EAST, NEW YORK, NY, 10001-2192 US</v>
    <v>24.574999999999999</v>
    <v>Pharmaceuticals</v>
    <v>Aktie</v>
    <v>21.3522</v>
    <v>357</v>
    <v>46114</v>
    <v>75000</v>
    <v>PFIZER INC.</v>
    <v>24.555</v>
    <v>PFIZER INC.</v>
    <v>24.574999999999999</v>
    <v>24.555</v>
    <v>24.31</v>
    <v>PFE</v>
    <v>PFIZER INC. (XWBO:PFE)</v>
    <v>1942</v>
    <v>328</v>
    <v>42787500</v>
    <v>EUR</v>
  </rv>
  <rv s="2">
    <v>358</v>
  </rv>
  <rv s="3">
    <fb>23.715</fb>
    <v>24</v>
  </rv>
  <rv s="0">
    <v>https://www.bing.com/financeapi/forcetrigger?t=a25ya2&amp;q=XNYS%3aWMT&amp;form=skydnc</v>
    <v>Learn more on Bing</v>
  </rv>
  <rv s="1">
    <v>0</v>
    <v>1</v>
    <v>WALMART INC. (XNAS:WMT)</v>
    <v>3</v>
    <v>4</v>
    <v>Finance</v>
    <v>5</v>
    <v>de-DE</v>
    <v>a25ya2</v>
    <v>268435456</v>
    <v>1</v>
    <v>Unterstützt von Refinitiv</v>
    <v>134.69</v>
    <v>79.81</v>
    <v>0.46</v>
    <v>3.7009999999999999E-3</v>
    <v>7972402000</v>
    <v>Walmart Inc. Ist ein technologiegestützter Omnichannel-Einzelhändler. Das Unternehmen betreibt Einzelhandels- und Großhandelsgeschäfte und -Clubs sowie E-Commerce-Websites und mobile Anwendungen in den USA, Afrika, Kanada, Zentralamerika, Chile, China, Indien und Mexiko. Das Unternehmen ist in drei berichtspflichtigen Segmenten tätig: Walmart U.S., Walmart International und Sam's Club U.S. das Segment Walmart U.S. umfasst das MassenMerchandising-Konzept des Unternehmens in den USA sowie eCommerce, das Omni-Channel-Initiativen und bestimmte andere Geschäftsangebote wie Werbedienstleistungen umfasst. Das Segment Walmart International besteht aus den Aktivitäten des Unternehmens außerhalb der USA über seine Tochtergesellschaften sowie aus E-Commerce- und Omni-Channel-Initiativen. Das Segment Sam's Club U.S. umfasst die Warehouse-Mitgliedsclubs in den USA sowie samsclub.com und Omni-Channel-Initiativen.</v>
    <v>0.66159999999999997</v>
    <v>994477425480</v>
    <v>Nasdaq Stock Market</v>
    <v>XNAS</v>
    <v>XNAS</v>
    <v>1 Customer Drive, BENTONVILLE, AR, 72716 US</v>
    <v>125.23</v>
    <v>Food &amp; Drug Retailing</v>
    <v>Aktie</v>
    <v>45.697800000000001</v>
    <v>361</v>
    <v>46113.999283089841</v>
    <v>2100000</v>
    <v>WALMART INC.</v>
    <v>123.13</v>
    <v>WALMART INC.</v>
    <v>123.8</v>
    <v>124.74</v>
    <v>124.28</v>
    <v>WMT</v>
    <v>WALMART INC. (XNAS:WMT)</v>
    <v>1969</v>
    <v>7876</v>
    <v>21000204</v>
    <v>USD</v>
  </rv>
  <rv s="2">
    <v>362</v>
  </rv>
  <rv s="3">
    <fb>122.89</fb>
    <v>6</v>
  </rv>
  <rv s="0">
    <v>https://www.bing.com/financeapi/forcetrigger?t=a1y7rw&amp;q=XNAS%3aVTRS&amp;form=skydnc</v>
    <v>Learn more on Bing</v>
  </rv>
  <rv s="1">
    <v>0</v>
    <v>1</v>
    <v>VIATRIS INC. (XNAS:VTRS)</v>
    <v>3</v>
    <v>4</v>
    <v>Finance</v>
    <v>5</v>
    <v>de-DE</v>
    <v>a1y7rw</v>
    <v>268435456</v>
    <v>1</v>
    <v>Unterstützt von Refinitiv</v>
    <v>16.47</v>
    <v>6.85</v>
    <v>0.12</v>
    <v>8.8819999999999993E-3</v>
    <v>1151393000</v>
    <v>Viatris Inc. Ist ein globales Gesundheitsunternehmen. Zu den Segmenten des Unternehmens gehören entwickelte Märkte, Großraum China, JANZ und Emerging Markets. Das Segment entwickelte Märkte umfasst seine Aktivitäten hauptsächlich in Nordamerika und Europa. Das Segment Greater China umfasst seine Niederlassungen in China, Taiwan und Hongkong. Das Segment JANZ spiegelt seine Aktivitäten in Japan, Australien und Neuseeland wider. Das Segment Emerging Markets umfasst seine Präsenz in mehr als 125 Ländern mit Entwicklungs- und Schwellenländern, darunter in Asien, Afrika, Osteuropa, Lateinamerika, und dem Nahen Osten sowie dem ARV-Franchise des Unternehmens. Das Portfolio des Unternehmens umfasst zugelassene Moleküle in einer Reihe wichtiger therapeutischer Bereiche, darunter weltweit anerkannte Marken und Schlüsselmarken sowie Generika, einschließlich komplexer Produkte. Das Unternehmen betreibt weltweit Produktionsstätten, die feste orale Dosen, injizierbare Substanzen und komplexe Darreichungsformen herstellen.</v>
    <v>0.82279999999999998</v>
    <v>15693486590</v>
    <v>Nasdaq Stock Market</v>
    <v>XNAS</v>
    <v>XNAS</v>
    <v>1000 Mylan Boulevard, CANONSBURG, PA, 15317 US</v>
    <v>13.76</v>
    <v>Pharmaceuticals</v>
    <v>Aktie</v>
    <v>0</v>
    <v>365</v>
    <v>46113.999721851564</v>
    <v>30000</v>
    <v>VIATRIS INC.</v>
    <v>13.56</v>
    <v>VIATRIS INC.</v>
    <v>13.6</v>
    <v>13.63</v>
    <v>13.51</v>
    <v>VTRS</v>
    <v>VIATRIS INC. (XNAS:VTRS)</v>
    <v>2019</v>
    <v>1</v>
    <v>11385701</v>
    <v>USD</v>
  </rv>
  <rv s="2">
    <v>366</v>
  </rv>
  <rv s="3">
    <fb>13.05</fb>
    <v>6</v>
  </rv>
  <rv s="0">
    <v>https://www.bing.com/financeapi/forcetrigger?t=a1rxu2&amp;q=XNYS%3aEMN&amp;form=skydnc</v>
    <v>Learn more on Bing</v>
  </rv>
  <rv s="1">
    <v>0</v>
    <v>1</v>
    <v>EASTMAN CHEMICAL COMPANY (XNYS:EMN)</v>
    <v>3</v>
    <v>4</v>
    <v>Finance</v>
    <v>5</v>
    <v>de-DE</v>
    <v>a1rxu2</v>
    <v>268435456</v>
    <v>1</v>
    <v>Unterstützt von Refinitiv</v>
    <v>88.73</v>
    <v>56.11</v>
    <v>-0.51</v>
    <v>-6.6820000000000004E-3</v>
    <v>114349900</v>
    <v>Eastman Chemical Company ist ein weltweit tätiges Unternehmen für Spezialmaterialien, das eine Reihe von Produkten herstellt, die in Gegenständen des täglichen Gebrauchs zu finden sind. Zu seinen Segmenten gehören Advanced Materials (AM), Additives &amp; Functional Products (AFP), Chemical Intermediates (CI) und Fibers. Das Segment AM produziert und vermarktet Polymere, Folien und Kunststoffe mit differenzierten Leistungseigenschaften für wertschöpfende Endanwendungen in den Bereichen Transport, Gebrauchsgüter und Elektronik, Bau und Konstruktion, Medizin und Pharma sowie Verbrauchsgüter. Das AFP-Segment stellt Materialien für Produkte in den Bereichen Lebensmittel, Futtermittel und Landwirtschaft, Transport, Wasseraufbereitung und Energie, Körperpflege und Wellness, Bauwesen und Konstruktion, Verbrauchsgüter sowie Gebrauchsgüter und Elektronik her. Das Segment CI vertreibt Zwischenprodukte für Endmärkte wie Industriechemikalien und -verarbeitung, Bau und Konstruktion, Gesundheit und Wellness sowie Lebens- und Futtermittel. Das Segment Fibers produziert und vertreibt Acetatwerg und Triacetin-Weichmacher.</v>
    <v>1.1738999999999999</v>
    <v>8668865919</v>
    <v>New York Stock Exchange</v>
    <v>XNYS</v>
    <v>XNYS</v>
    <v>Po Box 511, 200 South Wilcox Drive, KINGSPORT, TN, 37660 US</v>
    <v>77.77</v>
    <v>Chemicals</v>
    <v>Aktie</v>
    <v>19.930599999999998</v>
    <v>369</v>
    <v>46113.958333356248</v>
    <v>13000</v>
    <v>EASTMAN CHEMICAL COMPANY</v>
    <v>75.77</v>
    <v>EASTMAN CHEMICAL COMPANY</v>
    <v>76.53</v>
    <v>75.81</v>
    <v>76.319999999999993</v>
    <v>EMN</v>
    <v>EASTMAN CHEMICAL COMPANY (XNYS:EMN)</v>
    <v>1993</v>
    <v>10</v>
    <v>1773502</v>
    <v>USD</v>
  </rv>
  <rv s="2">
    <v>370</v>
  </rv>
  <rv s="3">
    <fb>71.2</fb>
    <v>6</v>
  </rv>
  <rv s="0">
    <v>https://www.bing.com/financeapi/forcetrigger?t=a1ye2w&amp;q=XNYS%3aNEE&amp;form=skydnc</v>
    <v>Learn more on Bing</v>
  </rv>
  <rv s="1">
    <v>0</v>
    <v>1</v>
    <v>NEXTERA ENERGY, INC. (XNYS:NEE)</v>
    <v>3</v>
    <v>4</v>
    <v>Finance</v>
    <v>5</v>
    <v>de-DE</v>
    <v>a1ye2w</v>
    <v>268435456</v>
    <v>1</v>
    <v>Unterstützt von Refinitiv</v>
    <v>95.91</v>
    <v>61.72</v>
    <v>-0.03</v>
    <v>-3.2300000000000004E-4</v>
    <v>2083522000</v>
    <v>NextEra Energy, Inc. ist ein Strom- und Energieinfrastrukturunternehmen. Das Unternehmen ist über seine hundertprozentigen Tochtergesellschaften NextEra Energy Resources, LLC und NextEra Energy Transmission, LLC (zusammen NEER) sowie die Florida Power &amp; Light Company (FPL) tätig. Zu seinen Segmenten gehören NEER und FPL. FPL ist ein preisreguliertes Elektrizitätsversorgungsunternehmen, das in Florida Strom erzeugt, überträgt, verteilt und verkauft. FPL verfügt über eine Nettoerzeugungskapazität von ca. 35.052 Megawatt, über 91.000 Meilen an Übertragungs- und Verteilungsleitungen sowie 921 Umspannwerke. NEER besitzt, entwickelt, baut, verwaltet und betreibt Stromerzeugungsanlagen auf den Energiegroßhandelsmärkten in den USA und Kanada und verfügt über Vermögenswerte und Investitionen in andere Unternehmen mit Fokus auf saubere Energie, wie Batteriespeicher, Erdgaspipelines und erneuerbare Kraftstoffe. FPL besitzt, entwickelt, baut und betreibt preisregulierte Übertragungsanlagen in Nordamerika.</v>
    <v>0.73299999999999998</v>
    <v>193455017700</v>
    <v>New York Stock Exchange</v>
    <v>XNYS</v>
    <v>XNYS</v>
    <v>700 Universe Blvd, JUNO BEACH, FL, 33408 US</v>
    <v>93.864999999999995</v>
    <v>Electrical Utilities &amp; IPPs</v>
    <v>Aktie</v>
    <v>28.128</v>
    <v>373</v>
    <v>46113.997042256247</v>
    <v>17400</v>
    <v>NEXTERA ENERGY, INC.</v>
    <v>92.24</v>
    <v>NEXTERA ENERGY, INC.</v>
    <v>92.73</v>
    <v>92.85</v>
    <v>92.88</v>
    <v>NEE</v>
    <v>NEXTERA ENERGY, INC. (XNYS:NEE)</v>
    <v>1984</v>
    <v>632</v>
    <v>10743586</v>
    <v>USD</v>
  </rv>
  <rv s="2">
    <v>374</v>
  </rv>
  <rv s="3">
    <fb>91.4</fb>
    <v>6</v>
  </rv>
  <rv s="0">
    <v>https://www.bing.com/financeapi/forcetrigger?t=a1yngh&amp;q=XNYS%3aNOC&amp;form=skydnc</v>
    <v>Learn more on Bing</v>
  </rv>
  <rv s="1">
    <v>0</v>
    <v>1</v>
    <v>NORTHROP GRUMMAN CORPORATION (XNYS:NOC)</v>
    <v>3</v>
    <v>4</v>
    <v>Finance</v>
    <v>5</v>
    <v>de-DE</v>
    <v>a1yngh</v>
    <v>268435456</v>
    <v>1</v>
    <v>Unterstützt von Refinitiv</v>
    <v>774</v>
    <v>450.13</v>
    <v>14.76</v>
    <v>2.1635000000000001E-2</v>
    <v>141921600</v>
    <v>Die Northrop Grumman Corporation ist ein weltweit tätiges Unternehmen in der Luft- und Raumfahrt sowie in der Verteidigungstechnik. Zu den Segmenten gehören Aeronautics Systems, Defense Systems, Mission Systems und Space Systems. Aeronautics Systems beschäftigt sich mit Entwurf, Entwicklung, Produktion, Integration, Erhaltung und Modernisierung von militärischen Flugzeugsystemen für die United States Air Force, die United States Navy, andere Regierungsbehörden der Vereinigten Staaten und internationale Kunden. Defense Systems beschäftigt sich mit der Entwicklung, Entwicklung, Integration und Herstellung von Abschreckungssystemen, fortschrittlichen taktischen Waffen und Raketenabwehrlösungen. Mission Systems ist ein Anbieter von Missionslösungen und Multifunktionssystemen. Zu den Produkten und Dienstleistungen des Unternehmens gehören Befehls-, Steuerungs-, Kommunikations- und Computersysteme sowie Aufklärungssysteme (C4ISR). Space Systems bietet End-to-End-Missionslösungen durch Design, Entwicklung, Integration, Produktion und Betrieb von Raumfahrt-, Raketenabwehr- und Trägersystemen.</v>
    <v>4.6399999999999997E-2</v>
    <v>98919355200</v>
    <v>New York Stock Exchange</v>
    <v>XNYS</v>
    <v>XNYS</v>
    <v>2980 Fairview Park Drive, FALLS CHURCH, VA, 22042 US</v>
    <v>702.18</v>
    <v>Aerospace &amp; Defense</v>
    <v>Aktie</v>
    <v>23.966699999999999</v>
    <v>377</v>
    <v>46113.999064363285</v>
    <v>95000</v>
    <v>NORTHROP GRUMMAN CORPORATION</v>
    <v>684.75</v>
    <v>NORTHROP GRUMMAN CORPORATION</v>
    <v>689.34</v>
    <v>697</v>
    <v>682.24</v>
    <v>NOC</v>
    <v>NORTHROP GRUMMAN CORPORATION (XNYS:NOC)</v>
    <v>2010</v>
    <v>261</v>
    <v>873243</v>
    <v>USD</v>
  </rv>
  <rv s="2">
    <v>378</v>
  </rv>
  <rv s="3">
    <fb>679</fb>
    <v>6</v>
  </rv>
  <rv s="0">
    <v>https://www.bing.com/financeapi/forcetrigger?t=a1uozr&amp;q=XNYS%3aHII&amp;form=skydnc</v>
    <v>Learn more on Bing</v>
  </rv>
  <rv s="1">
    <v>0</v>
    <v>1</v>
    <v>HUNTINGTON INGALLS INDUSTRIES, INC. (XNYS:HII)</v>
    <v>3</v>
    <v>4</v>
    <v>Finance</v>
    <v>5</v>
    <v>de-DE</v>
    <v>a1uozr</v>
    <v>268435456</v>
    <v>1</v>
    <v>Unterstützt von Refinitiv</v>
    <v>460</v>
    <v>177.42</v>
    <v>13.42</v>
    <v>3.5325000000000002E-2</v>
    <v>39377170</v>
    <v>Huntington Ingalls Industries, Inc. Ist ein weltweit tätiger Anbieter von Verteidigungslösungen. Das Unternehmen liefert Schiffe und Komplettlösungen im Dienste der Nation. Es bietet wichtige Funktionen, die von Schiffen bis hin zu unbemannten Systemen, Cyber-, ISR-, KI/ML- und synthetischen Schulungen reichen. Das Unternehmen ist in drei Segmenten tätig: Ingalls Shipbuilding (Ingalls), Newport News Shipbuilding (Newport News) und Mission Technologies. Durch das Segment Ingalls entwirft und baut die Gesellschaft nicht-nukleare Schiffe für die United States Navy und Coast Guard, darunter amphibische Angriffsschiffe, Expeditionsschiffe, Oberflächenkämpfer und nationale Sicherheitsausschneider (NSC). Das Kerngeschäft des Newport News-Segments ist die Entwicklung und der Bau nuklearbetriebener Flugzeugträger und U-Boote sowie die Betankung und Überholung sowie die Deaktivierung nuklearbetriebener Flugzeugträger. Das Segment Mission Technologies des Unternehmens entwickelt integrierte Lösungen, die vernetzte, domänenübergreifende Kräfte ermöglichen.</v>
    <v>0.35680000000000001</v>
    <v>15487828504</v>
    <v>New York Stock Exchange</v>
    <v>XNYS</v>
    <v>XNYS</v>
    <v>909-7, 7J2, 4101 Washington Avenue, NEWPORT NEWS, VA, 23607 US</v>
    <v>396.17</v>
    <v>Aerospace &amp; Defense</v>
    <v>Aktie</v>
    <v>25.581399999999999</v>
    <v>381</v>
    <v>46113.967817464843</v>
    <v>44000</v>
    <v>HUNTINGTON INGALLS INDUSTRIES, INC.</v>
    <v>379.5</v>
    <v>HUNTINGTON INGALLS INDUSTRIES, INC.</v>
    <v>379.5</v>
    <v>393.32</v>
    <v>379.9</v>
    <v>HII</v>
    <v>HUNTINGTON INGALLS INDUSTRIES, INC. (XNYS:HII)</v>
    <v>2010</v>
    <v>90</v>
    <v>503243</v>
    <v>USD</v>
  </rv>
  <rv s="2">
    <v>382</v>
  </rv>
  <rv s="3">
    <fb>381.79</fb>
    <v>6</v>
  </rv>
  <rv s="0">
    <v>https://www.bing.com/financeapi/forcetrigger?t=a1xtpr&amp;q=XNYS%3aMO&amp;form=skydnc</v>
    <v>Learn more on Bing</v>
  </rv>
  <rv s="1">
    <v>0</v>
    <v>1</v>
    <v>Altria Group, Inc. (XNYS:MO)</v>
    <v>3</v>
    <v>4</v>
    <v>Finance</v>
    <v>5</v>
    <v>de-DE</v>
    <v>a1xtpr</v>
    <v>268435456</v>
    <v>1</v>
    <v>Unterstützt von Refinitiv</v>
    <v>70.510000000000005</v>
    <v>52.82</v>
    <v>-0.51</v>
    <v>-7.7280000000000005E-3</v>
    <v>1671898000</v>
    <v>Altria Group, Inc. Betreibt ein Portfolio an Tabakprodukten für Tabakkonsumenten in den USA ab 21 Jahren. Zu den Segmenten gehören Raucher- und Tabak zum Einnehmen. Das Segment rauchbare Produkte besteht aus brennbaren Zigaretten und maschinengefertigten Großzigarren. Das Segment der oralen Tabakwaren umfasst feuchte rauchlose Tabakprodukte (MST) und Nikotinbeutel zum Einnehmen. Zu den hundertprozentigen Tochtergesellschaften gehören Hersteller von brennbaren und rauchfreien Produkten. Im Bereich Brandlasten gehören Philip Morris USA Inc. (PM USA) und John Middleton Co. (Middleton), die Zigarettenhersteller sind. Zu seinem rauchfreien Portfolio gehören die U.S. Smokeless Tobacco Company LLC (USSTC), ein weltweit tätiger Hersteller von MST, Helix Innovations LLC (Helix), ein Hersteller von Nikotinbeuteln zum Einnehmen, und NJOY, LLC (NJOY), ein Hersteller von E-Vapor mit einem kommerzialisierten Produktportfolio. Zu den Markenportfolios der operativen Unternehmen gehören Marlboro, Black &amp; Mild, Copenhagen, Skoal, ON! Und UNANGENEHM.</v>
    <v>0.44690000000000002</v>
    <v>109475881040</v>
    <v>New York Stock Exchange</v>
    <v>XNYS</v>
    <v>XNYS</v>
    <v>6601 W Broad St, RICHMOND, VA, 23230 US</v>
    <v>65.739900000000006</v>
    <v>Food &amp; Tobacco</v>
    <v>Aktie</v>
    <v>15.906000000000001</v>
    <v>385</v>
    <v>46113.999663193747</v>
    <v>5900</v>
    <v>Altria Group, Inc.</v>
    <v>63.68</v>
    <v>Altria Group, Inc.</v>
    <v>65.36</v>
    <v>65.48</v>
    <v>65.989999999999995</v>
    <v>MO</v>
    <v>Altria Group, Inc. (XNYS:MO)</v>
    <v>1985</v>
    <v>49</v>
    <v>10068728</v>
    <v>USD</v>
  </rv>
  <rv s="2">
    <v>386</v>
  </rv>
  <rv s="3">
    <fb>66.48</fb>
    <v>6</v>
  </rv>
  <rv s="0">
    <v>https://www.bing.com/financeapi/forcetrigger?t=a1r32w&amp;q=XNAS%3aWBD&amp;form=skydnc</v>
    <v>Learn more on Bing</v>
  </rv>
  <rv s="1">
    <v>0</v>
    <v>1</v>
    <v>WARNER BROS. DISCOVERY, INC. (XNAS:WBD)</v>
    <v>3</v>
    <v>4</v>
    <v>Finance</v>
    <v>5</v>
    <v>de-DE</v>
    <v>a1r32w</v>
    <v>268435456</v>
    <v>1</v>
    <v>Unterstützt von Refinitiv</v>
    <v>30</v>
    <v>7.52</v>
    <v>0.03</v>
    <v>1.0920000000000001E-3</v>
    <v>2506768000</v>
    <v>Warner Bros Discovery, Inc. Ist ein globales Medien- und Unterhaltungsunternehmen, das ein Portfolio an Markeninhalten für Fernsehen, Film, Streaming und Spiele erstellt und vertreibt. Zu den Segmenten des Unternehmens gehören Studios, Networks und DTC. Das Segment Studios umfasst in erster Linie die Produktion und Veröffentlichung von Spielfilmen für die Erstausstellung in Kinos, die Produktion und Erstlizenzierung von Fernsehprogrammen an seine Netzwerke/DTC-Dienste sowie an Dritte, den Vertrieb von Filmen und Fernsehprogrammen an verschiedene Dritte und interne Fernseh- und Streaming-Dienste, den Vertrieb über den Home Entertainment-Markt und andere. Das Segment Netze umfasst vor allem die nationalen und internationalen Fernsehnetze. Das DTC-Segment besteht in erster Linie aus seinen Premium-Pay-TV- und Streaming-Diensten. Zu den Marken und Produkten gehören Discovery Channel, Max, DC, TNT Sports, Eurosport, HBO, HGTV, Food Network, OWN, Investigation Discovery, TLC, Warner Bros. und Cartoon Network.</v>
    <v>1.6371</v>
    <v>68911052320</v>
    <v>Nasdaq Stock Market</v>
    <v>XNAS</v>
    <v>XNAS</v>
    <v>230 PARK AVENUE SOUTH, NEW YORK, NY, 10003 US</v>
    <v>27.76</v>
    <v>Media &amp; Publishing</v>
    <v>Aktie</v>
    <v>95.790599999999998</v>
    <v>389</v>
    <v>46113.998826596871</v>
    <v>35500</v>
    <v>WARNER BROS. DISCOVERY, INC.</v>
    <v>27.280999999999999</v>
    <v>WARNER BROS. DISCOVERY, INC.</v>
    <v>27.31</v>
    <v>27.49</v>
    <v>27.46</v>
    <v>WBD</v>
    <v>WARNER BROS. DISCOVERY, INC. (XNAS:WBD)</v>
    <v>2008</v>
    <v>2365</v>
    <v>30005876</v>
    <v>USD</v>
  </rv>
  <rv s="2">
    <v>390</v>
  </rv>
  <rv s="3">
    <fb>27.07</fb>
    <v>6</v>
  </rv>
  <rv s="0">
    <v>https://www.bing.com/financeapi/forcetrigger?t=a1qga2&amp;q=XNAS%3aCSX&amp;form=skydnc</v>
    <v>Learn more on Bing</v>
  </rv>
  <rv s="1">
    <v>0</v>
    <v>1</v>
    <v>CSX Corporation (XNAS:CSX)</v>
    <v>3</v>
    <v>4</v>
    <v>Finance</v>
    <v>19</v>
    <v>de-DE</v>
    <v>a1qga2</v>
    <v>268435456</v>
    <v>1</v>
    <v>Unterstützt von Refinitiv</v>
    <v>43.344999999999999</v>
    <v>26.218399999999999</v>
    <v>0.39</v>
    <v>9.500999999999999E-3</v>
    <v>1859993000</v>
    <v>CSX Corporation ist ein Transportunternehmen. Das Unternehmen bietet seinen Kunden Dienstleistungen und Lösungen für den Schienenverkehr, den intermodalen Verkehr und den Umschlag von der Schiene auf den Lkw in einer Vielzahl von Märkten, darunter Energie, Industrie, Bauwesen, Landwirtschaft und Konsumgüter. Das Unternehmen bietet schienengestützte Gütertransportdienste an, darunter herkömmliche Bahndienste, den Transport von intermodalen Containern und Anhängern sowie andere Transportdienste wie den Umschlag von der Schiene auf den Lkw und den Transport von Massengütern. Über seine Tochtergesellschaft CSX Transportation, Inc. (CSXT) ist das Unternehmen mit seinem rund 20.000 Streckenmeilen umfassenden Schienennetz ein Bindeglied in der Transportversorgungskette und bedient wichtige Bevölkerungszentren in 26 Bundesstaaten östlich des Mississippi, den District of Columbia und die kanadischen Provinzen Ontario und Quebec. CSXT ist auch in den Bereichen Immobilienverkauf, -leasing, -erwerb, -verwaltung und -entwicklung tätig. Das Unternehmen ist in den Bereichen Warenverkehr, intermodaler Verkehr, Kohle und LKW-Verkehr tätig.</v>
    <v>1.2466999999999999</v>
    <v>77078109920</v>
    <v>Nasdaq Stock Market</v>
    <v>XNAS</v>
    <v>XNAS</v>
    <v>500 Water Street, 15th Floor, JACKSONVILLE, FL, 32202 US</v>
    <v>42</v>
    <v>Freight &amp; Logistics Services</v>
    <v>Aktie</v>
    <v>26.8611</v>
    <v>393</v>
    <v>46113.993596238281</v>
    <v>23000</v>
    <v>CSX Corporation</v>
    <v>41.27</v>
    <v>CSX Corporation</v>
    <v>41.33</v>
    <v>41.44</v>
    <v>41.05</v>
    <v>CSX</v>
    <v>CSX Corporation (XNAS:CSX)</v>
    <v>1978</v>
    <v>15696959</v>
    <v>13373605</v>
    <v>USD</v>
  </rv>
  <rv s="2">
    <v>394</v>
  </rv>
  <rv s="3">
    <fb>39.67</fb>
    <v>6</v>
  </rv>
  <rv s="0">
    <v>https://www.bing.com/financeapi/forcetrigger?t=a1ohur&amp;q=XNAS%3aBIIB&amp;form=skydnc</v>
    <v>Learn more on Bing</v>
  </rv>
  <rv s="1">
    <v>0</v>
    <v>1</v>
    <v>BIOGEN INC. (XNAS:BIIB)</v>
    <v>3</v>
    <v>4</v>
    <v>Finance</v>
    <v>19</v>
    <v>de-DE</v>
    <v>a1ohur</v>
    <v>268435456</v>
    <v>1</v>
    <v>Unterstützt von Refinitiv</v>
    <v>202.41</v>
    <v>110.035</v>
    <v>0.45</v>
    <v>2.4550000000000002E-3</v>
    <v>146758500</v>
    <v>Biogen Inc. ist ein globales biopharmazeutisches Unternehmen. Das Unternehmen konzentriert sich auf die Entdeckung, Entwicklung und Bereitstellung neuartiger Therapien für Menschen, die weltweit mit schweren und komplexen Krankheiten leben. Es verfügt über ein Portfolio von Medikamenten zur Behandlung von Multipler Sklerose (MS), Spinaler Muskelatrophie (SMA), Alzheimer und Amyotropher Lateralsklerose (ALS). Das Unternehmen konzentriert sich darauf, seine Pipeline in den Bereichen Neurologie, spezialisierte Immunologie und seltene Krankheiten voranzubringen. Zu den vermarkteten Produkten gehören TECFIDERA, VUMERITY, AVONEX, PLEGRIDY, TYSABRI und FAMPYRA zur Behandlung von MS, SPINRAZA zur Behandlung von SMA, SKYCLARYS zur Behandlung von Friedreich-Ataxie, QALSODY zur Behandlung von ALS und FUMADERM zur Behandlung von schwerer Plaque-Psoriasis. Darüber hinaus arbeitet das Unternehmen mit Eisai an der Vermarktung von LEQEMBI zur Behandlung der Alzheimer-Krankheit und mit Sage an der Vermarktung von ZURZUVAE zur Behandlung der postpartalen Depression (PPD).</v>
    <v>0.16220000000000001</v>
    <v>26971277130</v>
    <v>Nasdaq Stock Market</v>
    <v>XNAS</v>
    <v>XNAS</v>
    <v>225 Binney Street, CAMBRIDGE, MA, 02142 US</v>
    <v>186.31</v>
    <v>Pharmaceuticals</v>
    <v>Aktie</v>
    <v>20.870100000000001</v>
    <v>397</v>
    <v>46113.988795878904</v>
    <v>7500</v>
    <v>BIOGEN INC.</v>
    <v>181.71</v>
    <v>BIOGEN INC.</v>
    <v>183.16</v>
    <v>183.78</v>
    <v>183.33</v>
    <v>BIIB</v>
    <v>BIOGEN INC. (XNAS:BIIB)</v>
    <v>1997</v>
    <v>1390216</v>
    <v>1009680</v>
    <v>USD</v>
  </rv>
  <rv s="2">
    <v>398</v>
  </rv>
  <rv s="3">
    <fb>183.84</fb>
    <v>6</v>
  </rv>
  <rv s="0">
    <v>https://www.bing.com/financeapi/forcetrigger?t=a1nqw7&amp;q=XNYS%3aHWM&amp;form=skydnc</v>
    <v>Learn more on Bing</v>
  </rv>
  <rv s="1">
    <v>0</v>
    <v>1</v>
    <v>HOWMET AEROSPACE INC. (XNYS:HWM)</v>
    <v>3</v>
    <v>4</v>
    <v>Finance</v>
    <v>5</v>
    <v>de-DE</v>
    <v>a1nqw7</v>
    <v>268435456</v>
    <v>1</v>
    <v>Unterstützt von Refinitiv</v>
    <v>267.31</v>
    <v>105.0401</v>
    <v>8.58</v>
    <v>3.7229999999999999E-2</v>
    <v>400940100</v>
    <v>Howmet Aerospace Inc. Ist ein weltweit tätiger Anbieter von fortschrittlichen technischen Lösungen für die Luft- und Raumfahrt und den Transportsektor. Der Hauptgeschäftsschwerpunkt des Unternehmens liegt auf Komponenten von Düsenmotoren, Befestigungssystemen für die Luft- und Raumfahrt und Bauteilen von Flugzeugbauteilen. Das Segment Engine Products produziert Feingussteile, einschließlich Flugfolien, und nahtlos gewalzte Ringe, hauptsächlich für Flugzeugmotoren und industrielle Gasturbinen. Das Segment Fastening Systems produziert Befestigungssysteme für die Luft- und Raumfahrt sowie kommerzielle Transportmittel, industrielle und andere Befestigungselemente. Das Segment Engineered Structures produziert Titanbarren und Mühlenprodukte für Luft- und Raumfahrt und Verteidigung und ist vertikal integriert, um Titan-Schmieden, Titan-Extrusionen und Bearbeitungsdienstleistungen für Flugzeugbauteile, Flügel, Flugzeugtriebwerke und Fahrwerksbauteile herzustellen. Das Segment Forged Wheels bietet geschmiedete Aluminiumräder und zugehörige Produkte für schwere Lkw und den gewerblichen Transportmarkt.</v>
    <v>1.2349000000000001</v>
    <v>95840721504</v>
    <v>New York Stock Exchange</v>
    <v>XNYS</v>
    <v>XNYS</v>
    <v>201 Isabella Street, Suite 200, PITTSBURGH, PA, 15212-5872 US</v>
    <v>240.38300000000001</v>
    <v>Aerospace &amp; Defense</v>
    <v>Aktie</v>
    <v>64.496300000000005</v>
    <v>401</v>
    <v>46113.995295161716</v>
    <v>25430</v>
    <v>HOWMET AEROSPACE INC.</v>
    <v>233.63</v>
    <v>HOWMET AEROSPACE INC.</v>
    <v>234.02</v>
    <v>239.04</v>
    <v>230.46</v>
    <v>HWM</v>
    <v>HOWMET AEROSPACE INC. (XNYS:HWM)</v>
    <v>2017</v>
    <v>406</v>
    <v>2421897</v>
    <v>USD</v>
  </rv>
  <rv s="2">
    <v>402</v>
  </rv>
  <rv s="3">
    <fb>227.9</fb>
    <v>6</v>
  </rv>
  <rv s="0">
    <v>https://www.bing.com/financeapi/forcetrigger?t=a1squ2&amp;q=XNYS%3aFE&amp;form=skydnc</v>
    <v>Learn more on Bing</v>
  </rv>
  <rv s="1">
    <v>0</v>
    <v>1</v>
    <v>FIRSTENERGY CORP. (XNYS:FE)</v>
    <v>3</v>
    <v>4</v>
    <v>Finance</v>
    <v>19</v>
    <v>de-DE</v>
    <v>a1squ2</v>
    <v>268435456</v>
    <v>1</v>
    <v>Unterstützt von Refinitiv</v>
    <v>52.29</v>
    <v>37.58</v>
    <v>0.3</v>
    <v>5.9219999999999993E-3</v>
    <v>577932900</v>
    <v>FirstEnergy Corp. Und ihre Tochtergesellschaften sind in den Segmenten Verteilung, integrierte und eigenständige Übertragung an der Übertragung, Verteilung und Erzeugung von Strom beteiligt. Das Segment Distribution, das aus den Ohio Companies und der FirstEnergy Pennsylvania Electric Company (FE PA) besteht, vertreibt Strom in Ohio und Pennsylvania. Das Segment Integrated umfasst die Vertriebs- und Übertragungsaktivitäten der Jersey Central Power &amp; Light Company (JCP&amp;L), der Monongahela Power Company (MP) und der Potomac Edison Company (PE) sowie die regulierten Erzeugungsbetriebe von MP. Das Segment vertreibt Strom in New Jersey, West Virginia und Maryland, stellt Übertragungsinfrastruktur bereit und betreibt eine regulierte maximale Nettoerzeugungskapazität von 3.604 MWS. Das Segment „Stand-Alone Transmission“ besteht aus seinem Eigentum an FET und KATCo, zu dem auch die Übertragungsinfrastruktur gehört, die im Eigentum der Übertragungsunternehmen steht und von diesen betrieben wird und für die Übertragung von Strom genutzt wird.</v>
    <v>0.59030000000000005</v>
    <v>29451460584</v>
    <v>New York Stock Exchange</v>
    <v>XNYS</v>
    <v>XNYS</v>
    <v>341 White Pond Drive, AKRON, OH, 44320 US</v>
    <v>51.05</v>
    <v>Electrical Utilities &amp; IPPs</v>
    <v>Aktie</v>
    <v>28.8796</v>
    <v>405</v>
    <v>46113.986597175783</v>
    <v>11186</v>
    <v>FIRSTENERGY CORP.</v>
    <v>50.41</v>
    <v>FIRSTENERGY CORP.</v>
    <v>50.48</v>
    <v>50.96</v>
    <v>50.66</v>
    <v>FE</v>
    <v>FIRSTENERGY CORP. (XNYS:FE)</v>
    <v>1996</v>
    <v>4242386</v>
    <v>4303421</v>
    <v>USD</v>
  </rv>
  <rv s="2">
    <v>406</v>
  </rv>
  <rv s="3">
    <fb>50.03</fb>
    <v>6</v>
  </rv>
  <rv s="0">
    <v>https://www.bing.com/financeapi/forcetrigger?t=a1ut3m&amp;q=XNAS%3aHON&amp;form=skydnc</v>
    <v>Learn more on Bing</v>
  </rv>
  <rv s="1">
    <v>0</v>
    <v>1</v>
    <v>HONEYWELL INTERNATIONAL INCORPORATION (XNAS:HON)</v>
    <v>3</v>
    <v>4</v>
    <v>Finance</v>
    <v>19</v>
    <v>de-DE</v>
    <v>a1ut3m</v>
    <v>268435456</v>
    <v>1</v>
    <v>Unterstützt von Refinitiv</v>
    <v>248.18</v>
    <v>168.98670000000001</v>
    <v>2.17</v>
    <v>9.5999999999999992E-3</v>
    <v>635675700</v>
    <v>Honeywell International Inc. ist ein integriertes Unternehmen, das eine Reihe von Branchen und Regionen auf der ganzen Welt bedient. Das Portfolio basiert auf dem Betriebssystem Honeywell Accelerator und der Plattform Honeywell Forge. Das Unternehmen bietet umsetzbare Lösungen für Luft- und Raumfahrt, Gebäudeautomation, Industrieautomation, Prozessautomatisierung und Pro</v>
    <v>0.92220000000000002</v>
    <v>145061194740</v>
    <v>Nasdaq Stock Market</v>
    <v>XNAS</v>
    <v>XNAS</v>
    <v>855 S. Mint Street, CHARLOTTE, NC, 28202 US</v>
    <v>229.7</v>
    <v>Consumer Goods Conglomerates</v>
    <v>Aktie</v>
    <v>33.196100000000001</v>
    <v>409</v>
    <v>46113.996552256249</v>
    <v>101000</v>
    <v>HONEYWELL INTERNATIONAL INCORPORATION</v>
    <v>226.62</v>
    <v>HONEYWELL INTERNATIONAL INCORPORATION</v>
    <v>227.21</v>
    <v>228.2</v>
    <v>226.03</v>
    <v>HON</v>
    <v>HONEYWELL INTERNATIONAL INCORPORATION (XNAS:HON)</v>
    <v>1985</v>
    <v>588</v>
    <v>4032131</v>
    <v>USD</v>
  </rv>
  <rv s="2">
    <v>410</v>
  </rv>
  <rv s="3">
    <fb>223.12</fb>
    <v>6</v>
  </rv>
  <rv s="0">
    <v>https://www.bing.com/financeapi/forcetrigger?t=a1q1tc&amp;q=XNYS%3aCNP&amp;form=skydnc</v>
    <v>Learn more on Bing</v>
  </rv>
  <rv s="1">
    <v>0</v>
    <v>1</v>
    <v>CENTERPOINT ENERGY, INC. (XNYS:CNP)</v>
    <v>3</v>
    <v>4</v>
    <v>Finance</v>
    <v>19</v>
    <v>de-DE</v>
    <v>a1q1tc</v>
    <v>268435456</v>
    <v>1</v>
    <v>Unterstützt von Refinitiv</v>
    <v>44.39</v>
    <v>34.715000000000003</v>
    <v>0.09</v>
    <v>2.085E-3</v>
    <v>654163300</v>
    <v>Centerpoint Energy, Inc. Ist ein Energieversorgungsunternehmen. Das Unternehmen besitzt und betreibt über seine Tochtergesellschaften elektrische Übertragungs-, Verteilungs- und Erzeugungsanlagen sowie Erdgasverteilungssysteme. Zu den Segmenten zählen Elektrik und Erdgas. Das Segment Electric umfasst elektrische Übertragungs- und Verteilungsdienste, die in den Servicegebieten von Houston Electric und Indiana Electric der Tarifregulierung unterliegen. Das Segment Erdgas umfasst den Verkauf von Erdgas innerhalb des Bundesstaates an und den Transport und die Verteilung von Erdgas für Haushalte, Gewerbe, Industrie und Institutionen in Indiana, Minnesota, Ohio und Texas, permanente Rohrleitungsverbindungen über Verbindungen mit verschiedenen fernleitungsunternehmen in den bundesstaaten und im Bundesstaat sowie Wartungs- und Reparaturdienstleistungen für Haushaltsgeräte für Kunden in Minnesota und Pläne zum Schutz von Erdgaskunden in Indiana, Ohio und Texas über einen Dritten.</v>
    <v>0.53200000000000003</v>
    <v>28292562725</v>
    <v>New York Stock Exchange</v>
    <v>XNYS</v>
    <v>XNYS</v>
    <v>P.O. Box 4567, HOUSTON, TX, 77210-4567 US</v>
    <v>43.424999999999997</v>
    <v>Multiline Utilities</v>
    <v>Aktie</v>
    <v>26.9499</v>
    <v>413</v>
    <v>46113.99323520781</v>
    <v>8794</v>
    <v>CENTERPOINT ENERGY, INC.</v>
    <v>42.81</v>
    <v>CENTERPOINT ENERGY, INC.</v>
    <v>42.91</v>
    <v>43.25</v>
    <v>43.16</v>
    <v>CNP</v>
    <v>CENTERPOINT ENERGY, INC. (XNYS:CNP)</v>
    <v>2001</v>
    <v>3454197</v>
    <v>4915677</v>
    <v>USD</v>
  </rv>
  <rv s="2">
    <v>414</v>
  </rv>
  <rv s="3">
    <fb>42.38</fb>
    <v>6</v>
  </rv>
  <rv s="0">
    <v>https://www.bing.com/financeapi/forcetrigger?t=a1qe5r&amp;q=XNAS%3aCSCO&amp;form=skydnc</v>
    <v>Learn more on Bing</v>
  </rv>
  <rv s="1">
    <v>0</v>
    <v>1</v>
    <v>CISCO SYSTEMS, INC. (XNAS:CSCO)</v>
    <v>3</v>
    <v>4</v>
    <v>Finance</v>
    <v>5</v>
    <v>de-DE</v>
    <v>a1qe5r</v>
    <v>268435456</v>
    <v>1</v>
    <v>Unterstützt von Refinitiv</v>
    <v>88.185000000000002</v>
    <v>52.11</v>
    <v>0.34</v>
    <v>4.3819999999999996E-3</v>
    <v>3949893000</v>
    <v>Cisco Systems, Inc. Entwickelt und verkauft eine Reihe von Technologien, die das Internet antreiben. Das Unternehmen integriert seine Produktportfolios für Netzwerke, Sicherheit, Zusammenarbeit, Anwendungen und die Cloud. Zu den Segmenten des Unternehmens gehören Nord- und Südamerika, Europa, Naher Osten und Afrika (EMEA) sowie Asien-Pazifik-Raum, Japan und China (APJC). Die Produktkategorie Networking repräsentiert die wichtigsten Netzwerktechnologien Switching, Routing, Wireless, 5G (5G), Silizium, optische Lösungen und Computerprodukte. Die Produktkategorie Sicherheit umfasst Cloud- und Anwendungssicherheit, industrielle Sicherheit, Netzwerksicherheit sowie Benutzer- und Gerätesicherheit. Die Produktkategorie Collaboration umfasst Meetings, Collaboration-Geräte, Anrufe, Contact Center und CPaaS-Angebote (Platform as a Service). Die Produktkategorie „Observability“ besteht aus den Angeboten zur vollständigen Beobachtung.</v>
    <v>0.81950000000000001</v>
    <v>307815161490</v>
    <v>Nasdaq Stock Market</v>
    <v>XNAS</v>
    <v>XNAS</v>
    <v>170 West Tasman Dr, SAN JOSE, CA, 95134-1706 US</v>
    <v>79.12</v>
    <v>Communications &amp; Networking</v>
    <v>Aktie</v>
    <v>27.918199999999999</v>
    <v>417</v>
    <v>46113.999094895313</v>
    <v>86200</v>
    <v>CISCO SYSTEMS, INC.</v>
    <v>77.81</v>
    <v>CISCO SYSTEMS, INC.</v>
    <v>78</v>
    <v>77.930000000000007</v>
    <v>77.59</v>
    <v>CSCO</v>
    <v>CISCO SYSTEMS, INC. (XNAS:CSCO)</v>
    <v>2021</v>
    <v>3001</v>
    <v>24249261</v>
    <v>USD</v>
  </rv>
  <rv s="2">
    <v>418</v>
  </rv>
  <rv s="3">
    <fb>79.92</fb>
    <v>6</v>
  </rv>
  <rv s="0">
    <v>https://www.bing.com/financeapi/forcetrigger?t=a1r8ur&amp;q=XNYS%3aDOV&amp;form=skydnc</v>
    <v>Learn more on Bing</v>
  </rv>
  <rv s="1">
    <v>0</v>
    <v>1</v>
    <v>DOVER CORPORATION (XNYS:DOV)</v>
    <v>3</v>
    <v>4</v>
    <v>Finance</v>
    <v>5</v>
    <v>de-DE</v>
    <v>a1r8ur</v>
    <v>268435456</v>
    <v>1</v>
    <v>Unterstützt von Refinitiv</v>
    <v>237.54</v>
    <v>143.04</v>
    <v>-1.1499999999999999</v>
    <v>-5.5169999999999993E-3</v>
    <v>134796400</v>
    <v>Dover Corporation ist ein diversifizierter globaler Hersteller und Lösungsanbieter. Der Geschäftsbereich Engineered Products bietet eine breite Palette an Geräten, Komponenten, Software, Lösungen und Dienstleistungen für den Kfz-Ersatzteilmarkt, die Luft- und Raumfahrt, die Verteidigung und weitere Branchen. Der Geschäftsbereich Clean Energy &amp; Fueling bietet Komponenten, Geräte sowie Softwarelösungen und -dienstleistungen an. Darüber hinaus entwickelt, fertigt und liefert das Unternehmen vakuumisolierte Rohrleitungssysteme für verschiedene Flüssiggase wie Stickstoff, Sauerstoff, Kohlendioxid und andere Industriegase. Der Geschäftsbereich Imaging &amp; Identification bietet Geräte für Präzisionsmarkierung und -codierung, Produktrückverfolgbarkeit, Markenschutz und digitalen Textildruck. Der Geschäftsbereich Pumps &amp; Process Solutions fertigt Spezialpumpen und Durchflussmesser, Flüssigkeitstransferverbinder, technische Präzisionskomponenten, Instrumente und digitale Steuerungen. Der Geschäftsbereich Climate &amp; Sustainability Technologies bietet energieeffiziente Geräte, Komponenten und Teile an.</v>
    <v>1.2537</v>
    <v>27943293720</v>
    <v>New York Stock Exchange</v>
    <v>XNYS</v>
    <v>XNYS</v>
    <v>3005 Highland Parkway, Suite 200, DOWNERS GROVE, IL, 60515 US</v>
    <v>211.89</v>
    <v>Machinery, Equipment &amp; Components</v>
    <v>Aktie</v>
    <v>26.021999999999998</v>
    <v>421</v>
    <v>46113.967275161718</v>
    <v>24000</v>
    <v>DOVER CORPORATION</v>
    <v>206.99</v>
    <v>DOVER CORPORATION</v>
    <v>210.08</v>
    <v>207.3</v>
    <v>208.45</v>
    <v>DOV</v>
    <v>DOVER CORPORATION (XNYS:DOV)</v>
    <v>1947</v>
    <v>1</v>
    <v>1179163</v>
    <v>USD</v>
  </rv>
  <rv s="2">
    <v>422</v>
  </rv>
  <rv s="3">
    <fb>206.6</fb>
    <v>6</v>
  </rv>
  <rv s="0">
    <v>https://www.bing.com/financeapi/forcetrigger?t=a1rdzr&amp;q=XNYS%3aDUK&amp;form=skydnc</v>
    <v>Learn more on Bing</v>
  </rv>
  <rv s="1">
    <v>0</v>
    <v>1</v>
    <v>DUKE ENERGY CORPORATION (XNYS:DUK)</v>
    <v>3</v>
    <v>4</v>
    <v>Finance</v>
    <v>5</v>
    <v>de-DE</v>
    <v>a1rdzr</v>
    <v>268435456</v>
    <v>1</v>
    <v>Unterstützt von Refinitiv</v>
    <v>134.49</v>
    <v>111.22</v>
    <v>-0.04</v>
    <v>-3.055E-4</v>
    <v>778117600</v>
    <v>Die Duke Energy Corporation ist eine Energieholdinggesellschaft. Das Unternehmen ist in zwei Segmenten tätig: Energieversorgungsunternehmen und Infrastruktur (EU&amp;I) und Gasversorgungsunternehmen und Infrastruktur (GU&amp;I). Das Segment EU&amp;I betreibt seine Aktivitäten hauptsächlich über die regulierten öffentlichen Versorgungsunternehmen Duke Energy Carolinas, Duke Energy Progress, Duke Energy Florida, Duke Energy Indiana und Duke Energy Ohio. EU&amp;I erbringt Strom im Einzelhandel durch Erzeugung, Übertragung, Verteilung und Verkauf von Strom an Kunden im Südosten und Mittleren Westen der Vereinigten Staaten. Das Segment GU&amp;I betreibt Erdgasaktivitäten hauptsächlich über die regulierten öffentlichen Versorgungsunternehmen Piedmont, Duke Energy Ohio und Duke Energy Kentucky. GU&amp;I bedient Erdgaskunden in Privathaushalten, Gewerbe, Industrie und Stromerzeugung, einschließlich Kunden von Kommunen, die Großhandelskunden sind. Außerdem kauft sie ein vielfältiges Portfolio an Transport- und Speicherdienstleistungen von interstate Pipelines.</v>
    <v>0.45440000000000003</v>
    <v>101855593840</v>
    <v>New York Stock Exchange</v>
    <v>XNYS</v>
    <v>XNYS</v>
    <v>525 South Tryon Street, CHARLOTTE, NC, 28202-1803 US</v>
    <v>131.87</v>
    <v>Electrical Utilities &amp; IPPs</v>
    <v>Aktie</v>
    <v>20.7075</v>
    <v>425</v>
    <v>46113.986599015625</v>
    <v>26441</v>
    <v>DUKE ENERGY CORPORATION</v>
    <v>129.86000000000001</v>
    <v>DUKE ENERGY CORPORATION</v>
    <v>130.43</v>
    <v>130.9</v>
    <v>130.94</v>
    <v>DUK</v>
    <v>DUKE ENERGY CORPORATION (XNYS:DUK)</v>
    <v>2005</v>
    <v>561</v>
    <v>4781747</v>
    <v>USD</v>
  </rv>
  <rv s="2">
    <v>426</v>
  </rv>
  <rv s="3">
    <fb>129.99</fb>
    <v>6</v>
  </rv>
  <rv s="0">
    <v>https://www.bing.com/financeapi/forcetrigger?t=a23jjc&amp;q=XNYS%3aSRE&amp;form=skydnc</v>
    <v>Learn more on Bing</v>
  </rv>
  <rv s="1">
    <v>0</v>
    <v>1</v>
    <v>SEMPRA (XNYS:SRE)</v>
    <v>3</v>
    <v>4</v>
    <v>Finance</v>
    <v>19</v>
    <v>de-DE</v>
    <v>a23jjc</v>
    <v>268435456</v>
    <v>1</v>
    <v>Unterstützt von Refinitiv</v>
    <v>98.45</v>
    <v>61.9</v>
    <v>0.24</v>
    <v>2.47E-3</v>
    <v>653332600</v>
    <v>Sempra ist ein nordamerikanisches Energieinfrastrukturunternehmen. Die Geschäftsbereiche des Unternehmens investieren in die Energieinfrastruktur, entwickeln und betreiben sie und bieten Kunden Strom- und Gasdienstleistungen an. Zu den Segmenten gehören Sempra California, Sempra Texas Utilities und Sempra Infrastructure. Das Segment Sempra California bietet Erdgas und Elektrizität für Südkalifornien und einen Teil Zentralkaliforniens über seine Tochtergesellschaften SDG&amp;E und SoCalGas. Das Segment Sempra Texas Utilities hält seine Beteiligung an Oncor Holdings, das über 80 % an Oncor hält, einem regulierten Stromversorger für Kunden in den nordzentralen, östlichen, westlichen und panhandle-Regionen von Texas, und seine indirekten 50 % Anteile an Sharyland Holdings, dem Eigentum von Sharyland Utilities, einem regulierten Stromversorger, der Kunden nahe der texanischen Grenze bedient. Das Segment Sempra Infrastructure entwickelt, baut, betreibt und investiert in Energieinfrastrukturen.</v>
    <v>0.6774</v>
    <v>63641128566</v>
    <v>New York Stock Exchange</v>
    <v>XNYS</v>
    <v>XNYS</v>
    <v>488 8Th Avenue, SAN DIEGO, CA, 92101 US</v>
    <v>98.45</v>
    <v>Multiline Utilities</v>
    <v>Aktie</v>
    <v>35.411000000000001</v>
    <v>429</v>
    <v>46113.992041782032</v>
    <v>15938</v>
    <v>SEMPRA</v>
    <v>96.686400000000006</v>
    <v>SEMPRA</v>
    <v>97.01</v>
    <v>97.41</v>
    <v>97.17</v>
    <v>SRE</v>
    <v>SEMPRA (XNYS:SRE)</v>
    <v>1996</v>
    <v>2598277</v>
    <v>3714066</v>
    <v>USD</v>
  </rv>
  <rv s="2">
    <v>430</v>
  </rv>
  <rv s="3">
    <fb>95.88</fb>
    <v>6</v>
  </rv>
  <rv s="0">
    <v>https://www.bing.com/financeapi/forcetrigger?t=a1nwgh&amp;q=XNYS%3aATO&amp;form=skydnc</v>
    <v>Learn more on Bing</v>
  </rv>
  <rv s="1">
    <v>0</v>
    <v>1</v>
    <v>ATMOS ENERGY CORPORATION (XNYS:ATO)</v>
    <v>3</v>
    <v>4</v>
    <v>Finance</v>
    <v>19</v>
    <v>de-DE</v>
    <v>a1nwgh</v>
    <v>268435456</v>
    <v>1</v>
    <v>Unterstützt von Refinitiv</v>
    <v>190.13</v>
    <v>141.59</v>
    <v>0.77</v>
    <v>4.1679999999999998E-3</v>
    <v>165438900</v>
    <v>Atmos Energy Corporation ist ein ausschließlich Erdgas-Distributor. Das Unternehmen liefert Erdgas an über 3,3 Millionen Verteilerkunden in über 1.400 Gemeinden in acht bundesstaaten, hauptsächlich im Süden. Es verwaltet proprietäre Pipeline- und Speicheranlagen, einschließlich innerstaatlicher Erdgaspipelinesysteme in Texas. Zu den Segmenten gehören Distribution, Pipeline und Speicherung. Das Segment Distribution umfasst die regulierte Erdgasverteilung und die damit verbundenen Vertriebsaktivitäten in acht bundesstaaten. Das Pipeline- und Speichersegment besteht aus regulierten Pipeline- und Speicherbetrieben der Division Atmos Pipeline-Texas (APT) und der Erdgasfernleitung in Louisiana. APT ist eine innerstaatliche Pipeline in Texas mit einer starken Konzentration in den etablierten Erdgas produzierenden Gebieten Zentral-, Nord- und Osttexas, die sich bis in oder in die Nähe der wichtigsten Fördergebiete des Barnett Shale, der Texas Gulf Coast und des Permian Basin in West Texas erstreckt.</v>
    <v>0.68789999999999996</v>
    <v>30687261561</v>
    <v>New York Stock Exchange</v>
    <v>XNYS</v>
    <v>XNYS</v>
    <v>1800 THREE LINCOLN CENTRE, 5430 LBJ FREEWAY, DALLAS, TX, 75240 US</v>
    <v>186.589</v>
    <v>Natural Gas Utilities</v>
    <v>Aktie</v>
    <v>24.0961</v>
    <v>433</v>
    <v>46113.986596642972</v>
    <v>5487</v>
    <v>ATMOS ENERGY CORPORATION</v>
    <v>183.58160000000001</v>
    <v>ATMOS ENERGY CORPORATION</v>
    <v>183.6</v>
    <v>185.49</v>
    <v>184.72</v>
    <v>ATO</v>
    <v>ATMOS ENERGY CORPORATION (XNYS:ATO)</v>
    <v>1981</v>
    <v>1</v>
    <v>1207982</v>
    <v>USD</v>
  </rv>
  <rv s="2">
    <v>434</v>
  </rv>
  <rv s="3">
    <fb>183.19</fb>
    <v>6</v>
  </rv>
  <rv s="0">
    <v>https://www.bing.com/financeapi/forcetrigger?t=a1shjc&amp;q=XNAS%3aEXC&amp;form=skydnc</v>
    <v>Learn more on Bing</v>
  </rv>
  <rv s="1">
    <v>0</v>
    <v>1</v>
    <v>EXELON CORPORATION (XNAS:EXC)</v>
    <v>3</v>
    <v>4</v>
    <v>Finance</v>
    <v>5</v>
    <v>de-DE</v>
    <v>a1shjc</v>
    <v>268435456</v>
    <v>1</v>
    <v>Unterstützt von Refinitiv</v>
    <v>50.65</v>
    <v>41.704999999999998</v>
    <v>-0.14000000000000001</v>
    <v>-2.856E-3</v>
    <v>1023175000</v>
    <v>Exelon Corporation ist eine Holdinggesellschaft für Versorgungsdienstleistungen, die über ihre Tochtergesellschaften Commonwealth Edison Company (ComEd), PECO Energy Company (PECO), Baltimore Gas and Electric Company (BGE), Potomac Electric Power Company (Pepco), Delmarva Power &amp; Light Company (DPL) und Atlantic City Electric Company (ACE) im Bereich der Energieübertragung und -verteilung tätig ist. Zu seinen Segmenten gehören ComEd, PECO, BGE, Pepco, DPL und ACE. Das Segment ComEd befasst sich mit dem Einkauf und der Regulierung des Einzelhandelsverkaufs von Strom. Das Segment PECO befasst sich mit dem Einkauf und der Regulierung des Einzelhandelsverkaufs von Strom und Erdgas. Über seine Tochtergesellschaft Exelon Business Services Company, LLC (BSC), bietet das Unternehmen seinen Tochtergesellschaften eine Reihe von Unterstützungsleistungen zum Selbstkostenpreis an, darunter Dienstleistungen in den Bereichen Recht, Personalwesen, Finanzen, Informationstechnologie und Liefermanagement. Das Segment BGE konzentriert sich auf die Übertragung und Verteilung von Strom und die Verteilung von Erdgas an Privatkunden.</v>
    <v>0.40039999999999998</v>
    <v>50012794000</v>
    <v>Nasdaq Stock Market</v>
    <v>XNAS</v>
    <v>XNAS</v>
    <v>10 S. Dearborn Street, Po Box 805379, CHICAGO, IL, 60680-5379 US</v>
    <v>49.145000000000003</v>
    <v>Electrical Utilities &amp; IPPs</v>
    <v>Aktie</v>
    <v>17.8704</v>
    <v>437</v>
    <v>46113.987218853908</v>
    <v>20571</v>
    <v>EXELON CORPORATION</v>
    <v>48.33</v>
    <v>EXELON CORPORATION</v>
    <v>48.82</v>
    <v>48.88</v>
    <v>49.02</v>
    <v>EXC</v>
    <v>EXELON CORPORATION (XNAS:EXC)</v>
    <v>1999</v>
    <v>7</v>
    <v>9330060</v>
    <v>USD</v>
  </rv>
  <rv s="2">
    <v>438</v>
  </rv>
  <rv s="3">
    <fb>48.32</fb>
    <v>6</v>
  </rv>
  <rv s="0">
    <v>https://www.bing.com/financeapi/forcetrigger?t=a1xzr7&amp;q=XNYS%3aMSI&amp;form=skydnc</v>
    <v>Learn more on Bing</v>
  </rv>
  <rv s="1">
    <v>0</v>
    <v>1</v>
    <v>MOTOROLA SOLUTIONS, INC. (XNYS:MSI)</v>
    <v>3</v>
    <v>4</v>
    <v>Finance</v>
    <v>19</v>
    <v>de-DE</v>
    <v>a1xzr7</v>
    <v>268435456</v>
    <v>1</v>
    <v>Unterstützt von Refinitiv</v>
    <v>492.22</v>
    <v>359.36</v>
    <v>0.16</v>
    <v>3.6870000000000002E-4</v>
    <v>165658900</v>
    <v>Motorola Solutions, Inc. bietet öffentliche Sicherheit und Unternehmenssicherheit. Das Unternehmen bietet Sicherheits- und Schutztechnologien an, zu denen Land Mobile Radio Communications (LMR), Video Security und Command Center gehören. Über die Technologien hinaus bietet das Unternehmen Cloud-basierte und hybride Softwarelösungen sowie Dienstleistungen wie Cybersecurity-Abonnementdienste und verwaltete und unterstützende Dienstleistungen. Zu den Segmenten gehören Products and Systems Integration sowie Software and Services. Das Segment Products and Systems Integration bietet ein Portfolio an Infrastruktur, Geräten, Zubehör, Videosicherheitsgeräten und Infrastruktur sowie die Implementierung und Integration solcher Systeme, Geräte und Anwendungen. Das Unternehmenssegment Software and Services bietet eine Reihe von Lösungen für Behörden, öffentliche Sicherheit und kommerzielle Kunden an. Die Software umfasst Command Center für die öffentliche Sicherheit und Unternehmen, Unified-Communications-Anwendungen, bestimmte mobile Videogeräte und Videosoftwarelösungen.</v>
    <v>0.9919</v>
    <v>71917498257</v>
    <v>New York Stock Exchange</v>
    <v>XNYS</v>
    <v>XNYS</v>
    <v>500 W. Monroe St., CHICAGO, IL, 60661 US</v>
    <v>437.58</v>
    <v>Communications &amp; Networking</v>
    <v>Aktie</v>
    <v>34.0471</v>
    <v>441</v>
    <v>46113.996751851562</v>
    <v>23000</v>
    <v>MOTOROLA SOLUTIONS, INC.</v>
    <v>430.07</v>
    <v>MOTOROLA SOLUTIONS, INC.</v>
    <v>432.21</v>
    <v>434.13</v>
    <v>433.97</v>
    <v>MSI</v>
    <v>MOTOROLA SOLUTIONS, INC. (XNYS:MSI)</v>
    <v>1973</v>
    <v>852414</v>
    <v>1108377</v>
    <v>USD</v>
  </rv>
  <rv s="2">
    <v>442</v>
  </rv>
  <rv s="3">
    <fb>438.32</fb>
    <v>6</v>
  </rv>
  <rv s="0">
    <v>https://www.bing.com/financeapi/forcetrigger?t=a1yism&amp;q=XNYS%3aNI&amp;form=skydnc</v>
    <v>Learn more on Bing</v>
  </rv>
  <rv s="1">
    <v>0</v>
    <v>1</v>
    <v>NISOURCE INC. (XNYS:NI)</v>
    <v>3</v>
    <v>4</v>
    <v>Finance</v>
    <v>19</v>
    <v>de-DE</v>
    <v>a1yism</v>
    <v>268435456</v>
    <v>1</v>
    <v>Unterstützt von Refinitiv</v>
    <v>47.958100000000002</v>
    <v>35.64</v>
    <v>0.24</v>
    <v>5.1439999999999993E-3</v>
    <v>479357800</v>
    <v>NiSource Inc. ist eine Energie-Holdinggesellschaft. Das Unternehmen ist in zwei Segmenten tätig: Columbia Operations und NIPSCO Operations. Das Segment Columbia Operations versorgt über seine hundertprozentige Tochtergesellschaft NiSource Gas Distribution Group, Inc. etwa 2,4 Millionen Privat-, Gewerbe- und Industriekunden in Ohio, Pennsylvania, Virginia, Kentucky und Maryland mit Erdgas. Das Unternehmen betreibt ca. 37.200 Meilen an Verteilungshauptleitungen plus die dazugehörigen Einzelkundenleitungen und 330 Meilen an Übertragungshauptleitungen. Das Segment NIPSCO Operations umfasst die NIPSCO Holdings I und ihre Tochtergesellschaften, einschließlich NIPSCO, die im nördlichen Indiana einen vollständig regulierten Gas- und Strombetrieb unterhält. Das Unternehmen hat sechs Anlagen zur Stromerzeugung aus erneuerbaren Energien in Betrieb: Rosewater, Indiana Crossroads Wind, Indiana Crossroads Solar, Dunns Bridge I Solar, Cavalry Solar and Storage und Dunns Bridge II Solar and Storage.</v>
    <v>0.61009999999999998</v>
    <v>22481880820</v>
    <v>New York Stock Exchange</v>
    <v>XNYS</v>
    <v>XNYS</v>
    <v>801 E 86th Ave, MERRILLVILLE, IN, 46410-6272 US</v>
    <v>47.244999999999997</v>
    <v>Multiline Utilities</v>
    <v>Aktie</v>
    <v>24.010400000000001</v>
    <v>445</v>
    <v>46113.992203437498</v>
    <v>7668</v>
    <v>NISOURCE INC.</v>
    <v>46.43</v>
    <v>NISOURCE INC.</v>
    <v>46.58</v>
    <v>46.9</v>
    <v>46.66</v>
    <v>NI</v>
    <v>NISOURCE INC. (XNYS:NI)</v>
    <v>2000</v>
    <v>2322569</v>
    <v>3703589</v>
    <v>USD</v>
  </rv>
  <rv s="2">
    <v>446</v>
  </rv>
  <rv s="3">
    <fb>45.97</fb>
    <v>6</v>
  </rv>
  <rv s="0">
    <v>https://www.bing.com/financeapi/forcetrigger?t=a1utqh&amp;q=XNYS%3aHPE&amp;form=skydnc</v>
    <v>Learn more on Bing</v>
  </rv>
  <rv s="1">
    <v>0</v>
    <v>1</v>
    <v>HEWLETT PACKARD ENTERPRISE COMPANY (XNYS:HPE)</v>
    <v>3</v>
    <v>4</v>
    <v>Finance</v>
    <v>5</v>
    <v>de-DE</v>
    <v>a1utqh</v>
    <v>268435456</v>
    <v>1</v>
    <v>Unterstützt von Refinitiv</v>
    <v>26.44</v>
    <v>11.965</v>
    <v>0.17</v>
    <v>7.1399999999999996E-3</v>
    <v>1326854000</v>
    <v>Hewlett Packard Enterprise Company ist das globale Edge-to-Cloud-Unternehmen. Es bietet offene und intelligente Technologielösungen als Service. Das Angebot umfasst Cloud-Services, Computing, High-Performance-Computing und künstliche Intelligenz, intelligente EDGE, Software und Speicher. Zu den Segmenten gehören Server, Hybrid Cloud, Intelligent Edge, Finanzdienstleistungen und Unternehmensinvestitionen und andere. Das Serversegment umfasst universelle Server für Multi-Workload-Computing, Workload-optimierte Server und integrierte Systeme. Das Segment Hybrid Cloud bietet eine Reihe von Cloud-nativen und hybriden Lösungen für Speicher, Private Cloud und Infrastruktur-Software-as-a-Service. Das Segment Intelligent Edge bietet kabelgebundene und drahtlose lokale Netzwerke, Campus-, Zweigstellen- und Rechenzentrumsvermittlung usw. Das Segment Financial Services bietet flexible Investitionslösungen wie Leasing, Finanzierung, IT-Verbrauch, Versorgungsprogramme, und Asset-Management-Services.</v>
    <v>1.2156</v>
    <v>31817958920</v>
    <v>New York Stock Exchange</v>
    <v>XNYS</v>
    <v>XNYS</v>
    <v>1701 E MOSSY OAKS ROAD, SPRING, TX, 77389 US</v>
    <v>24.434999999999999</v>
    <v>Computers, Phones &amp; Household Electronics</v>
    <v>Aktie</v>
    <v>0</v>
    <v>449</v>
    <v>46113.996484108597</v>
    <v>67000</v>
    <v>HEWLETT PACKARD ENTERPRISE COMPANY</v>
    <v>23.770099999999999</v>
    <v>HEWLETT PACKARD ENTERPRISE COMPANY</v>
    <v>24.15</v>
    <v>23.98</v>
    <v>23.81</v>
    <v>HPE</v>
    <v>HEWLETT PACKARD ENTERPRISE COMPANY (XNYS:HPE)</v>
    <v>2015</v>
    <v>5831</v>
    <v>21344412</v>
    <v>USD</v>
  </rv>
  <rv s="2">
    <v>450</v>
  </rv>
  <rv s="3">
    <fb>23.94</fb>
    <v>6</v>
  </rv>
  <rv s="0">
    <v>https://www.bing.com/financeapi/forcetrigger?t=b17tur&amp;q=XNYS%3aEVRG&amp;form=skydnc</v>
    <v>Learn more on Bing</v>
  </rv>
  <rv s="1">
    <v>0</v>
    <v>1</v>
    <v>Evergy, Inc. (XNAS:EVRG)</v>
    <v>3</v>
    <v>4</v>
    <v>Finance</v>
    <v>5</v>
    <v>de-DE</v>
    <v>b17tur</v>
    <v>268435456</v>
    <v>1</v>
    <v>Unterstützt von Refinitiv</v>
    <v>85.23</v>
    <v>61.94</v>
    <v>0.36</v>
    <v>4.3949999999999996E-3</v>
    <v>230284100</v>
    <v>Evergy, Inc. Ist ein Versorgungsunternehmen. Das Unternehmen ist hauptsächlich über seine hundertprozentigen Tochtergesellschaften Evergy Kansas Central, Inc. (Evergy Kansas Central), Evergy Metro, Inc. (Evergy Metro), Evergy Missouri West, Inc. (Evergy Missouri West) und Evergy Transmission Company, LLC (Evergy Transmission Company) tätig. Evergy Kansas Central ist ein integriertes, reguliertes Stromversorgungsunternehmen, das Kunden im Bundesstaat Kansas Strom liefert. Evergy Metro ist ein integrierter, regulierter Stromversorger, der Kunden in den bundesstaaten Missouri und Kansas Strom liefert. Evergy Missouri West ist ein integriertes, reguliertes Stromversorgungsunternehmen, das Kunden im Bundesstaat Missouri Strom liefert. Evergy Transmission Company hält 13,5 % an Transource Energy, LLC (Transource), die restlichen 86 % sind Eigentum der AEP Transmission Holding Company, LLC. Transource konzentriert sich auf die Entwicklung wettbewerbsfähiger Elektroübertragungsprojekte.</v>
    <v>0.59940000000000004</v>
    <v>18947775748</v>
    <v>Nasdaq Stock Market</v>
    <v>XNAS</v>
    <v>XNAS</v>
    <v>1200 Main St, KANSAS CITY, MO, 64105-2122 US</v>
    <v>82.62</v>
    <v>Electrical Utilities &amp; IPPs</v>
    <v>Aktie</v>
    <v>22.4695</v>
    <v>453</v>
    <v>46113.987208899998</v>
    <v>4691</v>
    <v>Evergy, Inc.</v>
    <v>81.52</v>
    <v>Evergy, Inc.</v>
    <v>81.75</v>
    <v>82.28</v>
    <v>81.92</v>
    <v>EVRG</v>
    <v>Evergy, Inc. (XNAS:EVRG)</v>
    <v>2017</v>
    <v>1</v>
    <v>2180298</v>
    <v>USD</v>
  </rv>
  <rv s="2">
    <v>454</v>
  </rv>
  <rv s="3">
    <fb>80.849999999999994</fb>
    <v>6</v>
  </rv>
  <rv s="0">
    <v>https://www.bing.com/financeapi/forcetrigger?t=a1r5fr&amp;q=XNYS%3aDLR&amp;form=skydnc</v>
    <v>Learn more on Bing</v>
  </rv>
  <rv s="1">
    <v>0</v>
    <v>1</v>
    <v>DIGITAL REALTY TRUST, INC. (XNYS:DLR)</v>
    <v>3</v>
    <v>4</v>
    <v>Finance</v>
    <v>5</v>
    <v>de-DE</v>
    <v>a1r5fr</v>
    <v>268435456</v>
    <v>1</v>
    <v>Unterstützt von Refinitiv</v>
    <v>184.79</v>
    <v>129.94999999999999</v>
    <v>0.24</v>
    <v>1.3320000000000001E-3</v>
    <v>343615400</v>
    <v>Digital Realty Trust, Inc. ist ein Immobilien-Investmentfonds. Das Unternehmen besitzt, erwirbt, entwickelt und betreibt Rechenzentren über seine Tochtergesellschaft Digital Realty Trust, L.P. Das Unternehmen konzentriert sich auf die Bereitstellung von Rechenzentren, Colocation- und Verbindungslösungen für nationale und internationale Kunden in einer Vielzahl von Branchen, die von Cloud- und Informationstechnologiedienstleistungen über Kommunikation und soziale Netzwerke bis hin zu Finanzdienstleistungen, Fertigung, Energie, Gesundheitswesen und Konsumgütern reichen. Das Portfolio des Unternehmens besteht aus über 308 Rechenzentren, von denen sich 121 in den USA, 112 in Europa, 36 in Lateinamerika, 16 in Afrika, 16 in Asien, sechs in Australien und drei in Kanada befinden. Seine PlatformDIGITAL ist eine globale Rechenzentrumsplattform für die Skalierung des digitalen Geschäfts, die es den Kunden ermöglicht, ihre kritische Infrastruktur bei einem globalen Rechenzentrumsanbieter zu betreiben.</v>
    <v>1.0909</v>
    <v>62005398929</v>
    <v>New York Stock Exchange</v>
    <v>XNYS</v>
    <v>XNYS</v>
    <v>2405 YORK ROAD SUITE 201, LUTHERVILLE-TIMONIUM, MD, 21093 US</v>
    <v>182.72</v>
    <v>Residential &amp; Commercial REIT</v>
    <v>Aktie</v>
    <v>50.405000000000001</v>
    <v>457</v>
    <v>46113.958333344533</v>
    <v>4282</v>
    <v>DIGITAL REALTY TRUST, INC.</v>
    <v>179.51</v>
    <v>DIGITAL REALTY TRUST, INC.</v>
    <v>180.91</v>
    <v>180.45</v>
    <v>180.21</v>
    <v>DLR</v>
    <v>DIGITAL REALTY TRUST, INC. (XNYS:DLR)</v>
    <v>2004</v>
    <v>1</v>
    <v>2010260</v>
    <v>USD</v>
  </rv>
  <rv s="2">
    <v>458</v>
  </rv>
  <rv s="3">
    <fb>175.42</fb>
    <v>6</v>
  </rv>
  <rv s="0">
    <v>https://www.bing.com/financeapi/forcetrigger?t=a1q6k2&amp;q=XNAS%3aCOST&amp;form=skydnc</v>
    <v>Learn more on Bing</v>
  </rv>
  <rv s="1">
    <v>0</v>
    <v>1</v>
    <v>COSTCO WHOLESALE CORPORATION (XNAS:COST)</v>
    <v>3</v>
    <v>4</v>
    <v>Finance</v>
    <v>5</v>
    <v>de-DE</v>
    <v>a1q6k2</v>
    <v>268435456</v>
    <v>1</v>
    <v>Unterstützt von Refinitiv</v>
    <v>1067.08</v>
    <v>844.06</v>
    <v>0.13</v>
    <v>1.305E-4</v>
    <v>443652500</v>
    <v>Die Costco Wholesale Corporation (Costco) betreibt Mitgliedslager und E-Commerce-Websites, die eine Auswahl an Produkten mit nationaler Marke und Eigenmarken in einer Vielzahl von Kategorien anbieten. Das Unternehmen kauft den Großteil seiner Waren direkt von Lieferanten und leitet sie an Cross-Docking-Konsolidierungspunkte (Depots) oder direkt an seine Lager weiter. Sie betreibt 891 Lager, davon 614 in den Vereinigten Staaten und Puerto Rico, 108 in Kanada, 40 in Mexiko, 35 in Japan, 29 im Vereinigten Königreich, 19 in Korea, 15 in Australien, 14 in Taiwan, sieben in China, fünf in Spanien, zwei in Frankreich und jeweils einer in Island, Neuseeland und Schweden. Außerdem betreibt das Unternehmen E-Commerce-Websites in den USA, Kanada, Großbritannien, Mexiko, Korea, Taiwan, Japan und Australien. Das Unternehmen bietet eine große Auswahl an Merchandise-Produkten sowie den Komfort von Spezialabteilungen und exklusiven Services für Mitglieder.</v>
    <v>0.98629999999999995</v>
    <v>442126335400</v>
    <v>Nasdaq Stock Market</v>
    <v>XNAS</v>
    <v>XNAS</v>
    <v>999 Lake Dr, ISSAQUAH, WA, 98027- US</v>
    <v>1003.13</v>
    <v>Diversified Retail</v>
    <v>Aktie</v>
    <v>53.382899999999999</v>
    <v>461</v>
    <v>46113.999782383595</v>
    <v>341000</v>
    <v>COSTCO WHOLESALE CORPORATION</v>
    <v>990.59</v>
    <v>COSTCO WHOLESALE CORPORATION</v>
    <v>995.02499999999998</v>
    <v>996.56</v>
    <v>996.43</v>
    <v>COST</v>
    <v>COSTCO WHOLESALE CORPORATION (XNAS:COST)</v>
    <v>1987</v>
    <v>393</v>
    <v>1858117</v>
    <v>USD</v>
  </rv>
  <rv s="2">
    <v>462</v>
  </rv>
  <rv s="3">
    <fb>983.86</fb>
    <v>6</v>
  </rv>
  <rv s="0">
    <v>https://www.bing.com/financeapi/forcetrigger?t=a1vmf2&amp;q=XNAS%3aINTC&amp;form=skydnc</v>
    <v>Learn more on Bing</v>
  </rv>
  <rv s="1">
    <v>0</v>
    <v>1</v>
    <v>INTEL CORPORATION (XNAS:INTC)</v>
    <v>3</v>
    <v>4</v>
    <v>Finance</v>
    <v>5</v>
    <v>de-DE</v>
    <v>a1vmf2</v>
    <v>268435456</v>
    <v>1</v>
    <v>Unterstützt von Refinitiv</v>
    <v>54.6</v>
    <v>17.664999999999999</v>
    <v>3.9</v>
    <v>8.8375000000000009E-2</v>
    <v>5021010000</v>
    <v>Intel Corporation ist in der Entwicklung und Herstellung von Halbleitern tätig. Sie ist in drei Segmenten tätig: Intel Produkte, Intel Foundry und alle anderen. Das Produktsegment von Intel umfasst die Client Computing Group (CCG), Data Center and AI (DCAI), Network and Edge (NEX). Das CCG konzentriert sich auf die langfristige Integration von Betriebssystem, Systemarchitektur, Hardware und Anwendungen, die PC-Erlebnisse ermöglichen. Das DCAI-Segment bietet Cloud-Service-Providern und Unternehmenskunden Workload-optimierte Lösungen sowie Halbleitergeräte für Kommunikationsdienstleister. Das NEX-Segment unterstützt Netzwerke und Edge-Computing-Systeme von unflexibler Hardware mit fester Funktion bis hin zu universellen Rechen-, Beschleunigungs- und Netzwerkgeräten, die Cloud-native Software auf programmierbarer Hardware ausführen. Das Segment Intel Foundry umfasst die Entwicklung von Gießereitechnologien, Gießereiherstellung und -Lieferkette sowie Gießereidienste. Alle anderen Segmente umfassen Altera, Mobileye und andere.</v>
    <v>1.3492</v>
    <v>241159110300</v>
    <v>Nasdaq Stock Market</v>
    <v>XNAS</v>
    <v>XNAS</v>
    <v>2200 Mission College Blvd, Rnb-4-151, SANTA CLARA, CA, 95054 US</v>
    <v>48.77</v>
    <v>Semiconductors &amp; Semiconductor Equipment</v>
    <v>Aktie</v>
    <v>0</v>
    <v>465</v>
    <v>46113.999909513281</v>
    <v>85100</v>
    <v>INTEL CORPORATION</v>
    <v>44.98</v>
    <v>INTEL CORPORATION</v>
    <v>45</v>
    <v>48.03</v>
    <v>44.13</v>
    <v>INTC</v>
    <v>INTEL CORPORATION (XNAS:INTC)</v>
    <v>1989</v>
    <v>447615</v>
    <v>84371627</v>
    <v>USD</v>
  </rv>
  <rv s="2">
    <v>466</v>
  </rv>
  <rv s="3">
    <fb>43.13</fb>
    <v>6</v>
  </rv>
  <rv s="0">
    <v>https://www.bing.com/financeapi/forcetrigger?t=a23rm7&amp;q=XNYS%3aSTZ&amp;form=skydnc</v>
    <v>Learn more on Bing</v>
  </rv>
  <rv s="1">
    <v>0</v>
    <v>1</v>
    <v>CONSTELLATION BRANDS, INC. (XNYS:STZ)</v>
    <v>3</v>
    <v>4</v>
    <v>Finance</v>
    <v>5</v>
    <v>de-DE</v>
    <v>a23rm7</v>
    <v>268435456</v>
    <v>1</v>
    <v>Unterstützt von Refinitiv</v>
    <v>196.91</v>
    <v>126.45</v>
    <v>1.0900000000000001</v>
    <v>7.267E-3</v>
    <v>173410800</v>
    <v>Constellation Brands, Inc. Ist ein Hersteller und Vermarkter von Bier, Wein und Spirituosen mit Niederlassungen in den USA, Mexiko, Neuseeland und Italien mit Marken wie Corona Extra, Modelo Especial, Robert Mondavi Winery, Kim Crawford, The Prisoner Wine Company, High West, Casa Noble und Mi CAMPO. Zu den Segmenten zählen Bier, Wein und Spirituosen sowie Corporate Operations und Sonstiges. Im Biersegment besteht das Portfolio aus hochwertigen importierten Biermarken und ABAS. Es verfügt über eine unbefristete Markenlizenz, um sein mexikanisches Bierportfolio herzustellen und ein solches Portfolio in den USA zu importieren, zu vermarkten und zu verkaufen. Im Segment Wein und Spirituosen verkauft das Unternehmen ein Portfolio, das hochwertige Weinmarken umfasst, die durch bestimmte Spirituosen der gehobenen Klasse ergänzt werden. Das Segment Corporate Operations und Sonstiges umfasst die Kosten für Unternehmensentwicklung, Unternehmensfinanzierung, Unternehmensstrategie, Management, Wachstum, Personal, interne Revision, Investor Relations, IT, Recht und Öffentlichkeitsarbeit.</v>
    <v>0.432</v>
    <v>26200637772</v>
    <v>New York Stock Exchange</v>
    <v>XNYS</v>
    <v>XNYS</v>
    <v>50 East Broad Street, ROCHESTER, NY, 14614 US</v>
    <v>152.63</v>
    <v>Beverages</v>
    <v>Aktie</v>
    <v>23.823599999999999</v>
    <v>469</v>
    <v>46113.996527881252</v>
    <v>10600</v>
    <v>CONSTELLATION BRANDS, INC.</v>
    <v>148.30000000000001</v>
    <v>CONSTELLATION BRANDS, INC.</v>
    <v>152.25</v>
    <v>151.09</v>
    <v>150</v>
    <v>STZ</v>
    <v>CONSTELLATION BRANDS, INC. (XNYS:STZ)</v>
    <v>1972</v>
    <v>1</v>
    <v>1842297</v>
    <v>USD</v>
  </rv>
  <rv s="2">
    <v>470</v>
  </rv>
  <rv s="3">
    <fb>151.4</fb>
    <v>6</v>
  </rv>
  <rv s="0">
    <v>https://www.bing.com/financeapi/forcetrigger?t=a1rcp2&amp;q=XNYS%3aDTE&amp;form=skydnc</v>
    <v>Learn more on Bing</v>
  </rv>
  <rv s="1">
    <v>0</v>
    <v>1</v>
    <v>DTE ENERGY COMPANY (XNYS:DTE)</v>
    <v>3</v>
    <v>4</v>
    <v>Finance</v>
    <v>19</v>
    <v>de-DE</v>
    <v>a1rcp2</v>
    <v>268435456</v>
    <v>1</v>
    <v>Unterstützt von Refinitiv</v>
    <v>154.63</v>
    <v>123.69</v>
    <v>0.9</v>
    <v>6.1550000000000007E-3</v>
    <v>208028100</v>
    <v>Die DTE Energy Company ist ein diversifiziertes Energieunternehmen, das in der Entwicklung und Verwaltung von Energieunternehmen und -Dienstleistungen im ganzen Land tätig ist. Zu den Segmenten des Unternehmens gehören Electric, Gas, DTE Vantage, Energy Trading und Corporate and Other. Das Segment Electric besteht hauptsächlich aus DTE Electric, das in der Erzeugung, dem Kauf, der Verteilung und dem Verkauf von Strom an Privat-, Gewerbe- und Industriekunden im Südosten von Michigan tätig ist. Das Segment Gas besteht im Wesentlichen aus DTE Gas, das in den Bereichen Einkauf, Speicherung, Transport, Verteilung und Verkauf von Erdgas an Privat-, Gewerbe- und Industriekunden in ganz Michigan tätig ist. Das Segment DTE Vantage umfasst in erster Linie Projekte für erneuerbare Energien, die Strom und Pipeline-Gas verkaufen, sowie Projekte, die maßgeschneiderte Energielösungen für industrielle, gewerbliche und institutionelle Kunden liefern. Das Energiehandel-Segment umfasst das Energiemarketing und den Energiehandel.</v>
    <v>0.44719999999999999</v>
    <v>30605094072</v>
    <v>New York Stock Exchange</v>
    <v>XNYS</v>
    <v>XNYS</v>
    <v>One Energy Plaza, DETROIT, MI, 48226 US</v>
    <v>147.33000000000001</v>
    <v>Electrical Utilities &amp; IPPs</v>
    <v>Aktie</v>
    <v>20.646699999999999</v>
    <v>473</v>
    <v>46113.99749423594</v>
    <v>9650</v>
    <v>DTE ENERGY COMPANY</v>
    <v>145.21</v>
    <v>DTE ENERGY COMPANY</v>
    <v>145.21</v>
    <v>147.12</v>
    <v>146.22</v>
    <v>DTE</v>
    <v>DTE ENERGY COMPANY (XNYS:DTE)</v>
    <v>1995</v>
    <v>692162</v>
    <v>1307653</v>
    <v>USD</v>
  </rv>
  <rv s="2">
    <v>474</v>
  </rv>
  <rv s="3">
    <fb>144.47</fb>
    <v>6</v>
  </rv>
  <rv s="0">
    <v>http://zh.wikipedia.org/wiki/太平洋瓦電公司</v>
    <v>Wikipedia</v>
  </rv>
  <rv s="6">
    <v>35</v>
    <v>477</v>
  </rv>
  <rv s="7">
    <v>18</v>
    <v>https://www.bing.com/th?id=AMMS_d7c2863336a8698ebd1054cdf3b7bcff&amp;qlt=95</v>
    <v>478</v>
    <v>0</v>
    <v>https://www.bing.com/images/search?form=xlimg&amp;q=pacific+gas+and+electric+company</v>
    <v>Image of PG&amp;E CORPORATION</v>
  </rv>
  <rv s="0">
    <v>https://www.bing.com/financeapi/forcetrigger?t=a1zkar&amp;q=XNYS%3aPCG&amp;form=skydnc</v>
    <v>Learn more on Bing</v>
  </rv>
  <rv s="8">
    <v>13</v>
    <v>14</v>
    <v>PG&amp;E CORPORATION (XNYS:PCG)</v>
    <v>16</v>
    <v>17</v>
    <v>Finance</v>
    <v>5</v>
    <v>de-DE</v>
    <v>a1zkar</v>
    <v>268435456</v>
    <v>1</v>
    <v>Unterstützt von Refinitiv</v>
    <v>19.155000000000001</v>
    <v>12.97</v>
    <v>0.18</v>
    <v>1.0244999999999999E-2</v>
    <v>2197968000</v>
    <v>PG&amp;E Corporation ist eine Holdinggesellschaft. Die wichtigste Tochtergesellschaft des Unternehmens ist die Pacific Gas and Electric Company (das Versorgungsunternehmen), ein öffentliches Versorgungsunternehmen, das in Nord- und Mittelkalifornien tätig ist. Das Versorgungsunternehmen ist im Verkauf und der Lieferung von Strom und Erdgas an Kunden tätig. Das Unternehmen erzeugt Strom und bietet in seinem gesamten Versorgungsgebiet in Nord- und Zentralkalifornien Stromübertragungs- und -verteilungsdienste für private, gewerbliche, industrielle und landwirtschaftliche Kunden an. Das Unternehmen erbringt in seinem Versorgungsgebiet Strom-, Übertragungs- und Verteilungsdienstleistungen. Das Unternehmen besitzt ca. 18.000 Stromkreiskilometer miteinander verbundener Übertragungsleitungen mit Spannungen von 60 Kilovolt (kV) bis 500 kV. Das Versorgungsunternehmen betreibt außerdem 33 Umspannwerke mit einer Kapazität von rund 67.000 Megavoltampere (MVA). Die Kunden können auch Strom von alternativen Anbietern wie Gemeinden (CCAs) beziehen.</v>
    <v>0.34420000000000001</v>
    <v>479</v>
    <v>39013932000</v>
    <v>New York Stock Exchange</v>
    <v>XNYS</v>
    <v>XNYS</v>
    <v>300 Lakeside Drive, OAKLAND, CA, 94612 US</v>
    <v>17.8</v>
    <v>Electrical Utilities &amp; IPPs</v>
    <v>Aktie</v>
    <v>15.239100000000001</v>
    <v>480</v>
    <v>46113.986583865626</v>
    <v>10</v>
    <v>PG&amp;E CORPORATION</v>
    <v>17.440000000000001</v>
    <v>PG&amp;E CORPORATION</v>
    <v>17.54</v>
    <v>17.75</v>
    <v>17.57</v>
    <v>PCG</v>
    <v>PG&amp;E CORPORATION (XNYS:PCG)</v>
    <v>1995</v>
    <v>875</v>
    <v>23663473</v>
    <v>USD</v>
  </rv>
  <rv s="2">
    <v>481</v>
  </rv>
  <rv s="3">
    <fb>17.170000000000002</fb>
    <v>6</v>
  </rv>
  <rv s="0">
    <v>https://www.bing.com/financeapi/forcetrigger?t=a25m77&amp;q=XNYS%3aVTR&amp;form=skydnc</v>
    <v>Learn more on Bing</v>
  </rv>
  <rv s="1">
    <v>0</v>
    <v>1</v>
    <v>VENTAS, INC. (XNYS:VTR)</v>
    <v>3</v>
    <v>4</v>
    <v>Finance</v>
    <v>19</v>
    <v>de-DE</v>
    <v>a25m77</v>
    <v>268435456</v>
    <v>1</v>
    <v>Unterstützt von Refinitiv</v>
    <v>88.364999999999995</v>
    <v>60.15</v>
    <v>0.23</v>
    <v>2.8120000000000003E-3</v>
    <v>474965200</v>
    <v>Ventas, Inc. Ist ein Real Estate Investment Trust (REIT). Das Unternehmen verfügt über ein Portfolio, das Seniorenwohnheime, ambulante medizinische Gebäude, Forschungszentren, Krankenhäuser und Gesundheitseinrichtungen in Nordamerika und Großbritannien umfasst. Das Unternehmen besitzt etwa 1.400 Grundstücke in Nordamerika und Großbritannien. Das Unternehmen ist in drei Segmenten tätig: Senior Housing Operating Portfolio (SHOP), ambulante medizinische und forschungsbezogene Portfolios (OM&amp;R) und Triple-Net-Mietobjekte (NNN). In seinem LADENSEGMENT besitzt und investiert sie in Seniorenwohnheime. Sie beauftragt Manager von Drittanbietern, die Communitys in ihrem Namen zu betreiben. Im Segment OM&amp;R erwirbt, besitzt, entwickelt, vermietet und verwaltet sie vor allem ambulante medizinische Gebäude und Forschungszentren. In seinem NNN-Segment investiert und besitzt das Unternehmen Seniorenwohnheime, qualifizierte Pflegeeinrichtungen (SNF), Langzeitakutpflegeeinrichtungen (LTACs) und freistehende stationäre Rehabilitationseinrichtungen (IRFS).</v>
    <v>0.76800000000000002</v>
    <v>38951896052</v>
    <v>New York Stock Exchange</v>
    <v>XNYS</v>
    <v>XNYS</v>
    <v>300 N Lasalle Street, Suite 1600, CHICAGO, IL, 60654 US</v>
    <v>82.65</v>
    <v>Residential &amp; Commercial REIT</v>
    <v>Aktie</v>
    <v>151.29320000000001</v>
    <v>484</v>
    <v>46113.986603159377</v>
    <v>542</v>
    <v>VENTAS, INC.</v>
    <v>81.558000000000007</v>
    <v>VENTAS, INC.</v>
    <v>82.63</v>
    <v>82.01</v>
    <v>81.78</v>
    <v>VTR</v>
    <v>VENTAS, INC. (XNYS:VTR)</v>
    <v>1987</v>
    <v>3074623</v>
    <v>3135049</v>
    <v>USD</v>
  </rv>
  <rv s="2">
    <v>485</v>
  </rv>
  <rv s="3">
    <fb>81.91</fb>
    <v>6</v>
  </rv>
  <rv s="0">
    <v>https://www.bing.com/financeapi/forcetrigger?t=a1p8tc&amp;q=XNYS%3aCB&amp;form=skydnc</v>
    <v>Learn more on Bing</v>
  </rv>
  <rv s="1">
    <v>0</v>
    <v>1</v>
    <v>Chubb Limited (XNYS:CB)</v>
    <v>3</v>
    <v>4</v>
    <v>Finance</v>
    <v>5</v>
    <v>de-DE</v>
    <v>a1p8tc</v>
    <v>268435456</v>
    <v>1</v>
    <v>Unterstützt von Refinitiv</v>
    <v>345.67</v>
    <v>264.10000000000002</v>
    <v>1.23</v>
    <v>3.774E-3</v>
    <v>390156600</v>
    <v>Chubb Limited ist eine schweizerische Holdinggesellschaft. Das Unternehmen bietet über seine Tochtergesellschaften eine Reihe von Versicherungs- und Rückversicherungsprodukten und -Dienstleistungen für Kunden auf der ganzen Welt an. Zu den Segmenten gehören die North America Commercial Property and Disualty (P&amp;C) Insurance, North America Personal P&amp;C Insurance, North America Agricultural Insurance, Overseas General Insurance, Global Rück Insurance und Life Insurance. Es bietet kommerzielle Versicherungsprodukte und Serviceangebote wie Risikomanagementprogramme, Schadenkontrolle sowie Engineering- und komplexes Schadenmanagement. Sie bietet spezielle Versicherungsprodukte für Bereiche wie Luftfahrt und Energie an. Es bietet auch Versicherungsschutz für Privatpersonen, einschließlich Hauseigentümer, Automobile, Wertsachen, Dachhaftung und Freizeitprodukte für den Seeverkehr. Darüber hinaus bietet es persönliche Unfall-, Gesundheits- und Lebensversicherungen an Einzelpersonen in ausgewählten Ländern.</v>
    <v>0.50319999999999998</v>
    <v>127643633256</v>
    <v>New York Stock Exchange</v>
    <v>XNYS</v>
    <v>XNYS</v>
    <v>Baerengasse 32, ZUERICH, ZUERICH, 8001 CH</v>
    <v>328.495</v>
    <v>Insurance</v>
    <v>Aktie</v>
    <v>12.7193</v>
    <v>488</v>
    <v>46113.972205532031</v>
    <v>45000</v>
    <v>Chubb Limited</v>
    <v>323.95</v>
    <v>Chubb Limited</v>
    <v>324.95999999999998</v>
    <v>327.16000000000003</v>
    <v>325.93</v>
    <v>CB</v>
    <v>Chubb Limited (XNYS:CB)</v>
    <v>2008</v>
    <v>1</v>
    <v>1836704</v>
    <v>USD</v>
  </rv>
  <rv s="2">
    <v>489</v>
  </rv>
  <rv s="3">
    <fb>319.08999999999997</fb>
    <v>6</v>
  </rv>
  <rv s="0">
    <v>https://www.bing.com/financeapi/forcetrigger?t=a1wljc&amp;q=XNYS%3aKO&amp;form=skydnc</v>
    <v>Learn more on Bing</v>
  </rv>
  <rv s="1">
    <v>0</v>
    <v>1</v>
    <v>THE COCA-COLA COMPANY (XNYS:KO)</v>
    <v>3</v>
    <v>4</v>
    <v>Finance</v>
    <v>5</v>
    <v>de-DE</v>
    <v>a1wljc</v>
    <v>268435456</v>
    <v>1</v>
    <v>Unterstützt von Refinitiv</v>
    <v>82</v>
    <v>65.353800000000007</v>
    <v>0.03</v>
    <v>3.9449999999999999E-4</v>
    <v>4304153000</v>
    <v>The Coca-Cola Company ist ein Getränkehersteller. Zu den Segmenten des Unternehmens gehören Europa, Naher Osten und Afrika, Lateinamerika, Nordamerika, Asien-Pazifik, Global Ventures und Bottling Investments. Das Unternehmen vertreibt weltweit mehrere Marken in verschiedenen Getränkekategorien. Zu seinem Portfolio an kohlensäurehaltigen Erfrischungsgetränken gehören Coca-Cola, Sprite und Fanta. Zu den Wasser-, Sport-, Kaffee- und Teemarken gehören Dasani, smartwater, vitaminwater, Topo Chico, BODYARMOR, Powerade, Costa, Georgia, Fuze Tea, Gold Peak und Ayataka. Zu den Marken für Säfte, hochwertige Milchprodukte und pflanzliche Getränke gehören Minute Maid, Simply, innocent, Del Valle, fairlife und AdeS. Das Unternehmen ist in zwei Geschäftsbereichen tätig: Konzentratgeschäft und Fertigproduktgeschäft. Im Konzentratgeschäft werden Getränkekonzentrate, Sirupe, einschließlich Fontänensirupe, und bestimmte Fertiggetränke an autorisierte Abfüllbetriebe verkauft. Im Bereich Fertigprodukte werden kohlensäurehaltige Erfrischungsgetränke und eine Reihe anderer Fertiggetränke verkauft.</v>
    <v>0.36159999999999998</v>
    <v>327459960240</v>
    <v>New York Stock Exchange</v>
    <v>XNYS</v>
    <v>XNYS</v>
    <v>1 Coca Cola Plz NW, ATLANTA, GA, 30313-2420 US</v>
    <v>76.36</v>
    <v>Beverages</v>
    <v>Aktie</v>
    <v>25.035</v>
    <v>492</v>
    <v>46113.999825312501</v>
    <v>65900</v>
    <v>THE COCA-COLA COMPANY</v>
    <v>75.260000000000005</v>
    <v>THE COCA-COLA COMPANY</v>
    <v>76.150000000000006</v>
    <v>76.08</v>
    <v>76.05</v>
    <v>KO</v>
    <v>THE COCA-COLA COMPANY (XNYS:KO)</v>
    <v>1919</v>
    <v>7768</v>
    <v>17241669</v>
    <v>USD</v>
  </rv>
  <rv s="2">
    <v>493</v>
  </rv>
  <rv s="3">
    <fb>75.709999999999994</fb>
    <v>6</v>
  </rv>
  <rv s="0">
    <v>https://www.bing.com/financeapi/forcetrigger?t=a1uwoc&amp;q=XNAS%3aHST&amp;form=skydnc</v>
    <v>Learn more on Bing</v>
  </rv>
  <rv s="1">
    <v>0</v>
    <v>1</v>
    <v>HOST HOTELS &amp; RESORTS, INC. (XNAS:HST)</v>
    <v>3</v>
    <v>4</v>
    <v>Finance</v>
    <v>19</v>
    <v>de-DE</v>
    <v>a1uwoc</v>
    <v>268435456</v>
    <v>1</v>
    <v>Unterstützt von Refinitiv</v>
    <v>21</v>
    <v>12.1198</v>
    <v>-0.06</v>
    <v>-3.1319999999999998E-3</v>
    <v>687802200</v>
    <v>Host Hotels &amp; Resorts, Inc. Ist ein Investmentfonds für Unterkünfte in Immobilien. Das Unternehmen besitzt Luxushotels und gehobene Hotels. Die Geschäftstätigkeit des Unternehmens erfolgt ausschließlich über Host Hotels &amp; Resorts, L.P. und seine Tochtergesellschaften. Das Unternehmen besitzt 75 Immobilien in den Vereinigten Staaten und fünf internationale Immobilien mit insgesamt 42.900 Zimmern. Außerdem hält sie Anteile an sieben inländischen und einem internationalen Joint Ventures. Es arbeitet mit Marken wie Marriott, Ritz-Carlton, Westin, Sheraton, W, St. Regis, The Luxury Collection, Hyatt, Fairmont, 1 Hotels, Hilton, Four Seasons, Swissotel, ibis und Novotel sowie unabhängige Marken. Zu den Grundstücken des Unternehmens gehören AC Hotel Scottsdale North, The Ritz-Carlton O'ahu, Turtle Bay, Grand Hyatt San Francisco, The Westin Denver Downtown, 1 Hotel Central Park, JW Marriott Atlanta Buckhead, JW Marriott Houston by the Galleria, Four Seasons Resort and Residences Jackson Hole und Hyatt Regency Reston.</v>
    <v>1.1271</v>
    <v>13137022020</v>
    <v>Nasdaq Stock Market</v>
    <v>XNAS</v>
    <v>XNAS</v>
    <v>C/O CSC-Lawyers Incorporating Service Company 7 St. Paul Street, Suite 1660, MD, 21202 US</v>
    <v>19.37</v>
    <v>Residential &amp; Commercial REIT</v>
    <v>Aktie</v>
    <v>17.332599999999999</v>
    <v>496</v>
    <v>46113.987146596875</v>
    <v>162</v>
    <v>HOST HOTELS &amp; RESORTS, INC.</v>
    <v>19.015000000000001</v>
    <v>HOST HOTELS &amp; RESORTS, INC.</v>
    <v>19.364999999999998</v>
    <v>19.100000000000001</v>
    <v>19.16</v>
    <v>HST</v>
    <v>HOST HOTELS &amp; RESORTS, INC. (XNAS:HST)</v>
    <v>1998</v>
    <v>11319086</v>
    <v>9103044</v>
    <v>USD</v>
  </rv>
  <rv s="2">
    <v>497</v>
  </rv>
  <rv s="3">
    <fb>18.84</fb>
    <v>6</v>
  </rv>
  <rv s="0">
    <v>http://en.wikipedia.org/wiki/Amgen</v>
    <v>Wikipedia</v>
  </rv>
  <rv s="6">
    <v>35</v>
    <v>500</v>
  </rv>
  <rv s="7">
    <v>18</v>
    <v>https://www.bing.com/th?id=AMMS_7651d2e878d4df4bb82a200be2db03e3&amp;qlt=95</v>
    <v>501</v>
    <v>0</v>
    <v>https://www.bing.com/images/search?form=xlimg&amp;q=amgen</v>
    <v>Image of AMGEN INC.</v>
  </rv>
  <rv s="0">
    <v>https://www.bing.com/financeapi/forcetrigger?t=a1nec7&amp;q=XNAS%3aAMGN&amp;form=skydnc</v>
    <v>Learn more on Bing</v>
  </rv>
  <rv s="8">
    <v>13</v>
    <v>14</v>
    <v>AMGEN INC. (XNAS:AMGN)</v>
    <v>16</v>
    <v>17</v>
    <v>Finance</v>
    <v>5</v>
    <v>de-DE</v>
    <v>a1nec7</v>
    <v>268435456</v>
    <v>1</v>
    <v>Unterstützt von Refinitiv</v>
    <v>391.29</v>
    <v>261.43</v>
    <v>1.43</v>
    <v>4.0639999999999999E-3</v>
    <v>539067700</v>
    <v>Amgen Inc. ist ein Biotechnologieunternehmen. Es erforscht, entwickelt, produziert und vertreibt Medikamente für schwerste Erkrankungen. Der Schwerpunkt liegt auf Bereichen mit hohem medizinischem Bedarf und nutzt seine Expertise, um Lösungen zu finden, die das Leben der Menschen verbessern. Amgen ist im Bereich der Humantherapie tätig. Zu den vermarkteten Produkten gehören EPOGEN (Epoetin alfa); Aranesp (Darbepoetin alfa); Parsabiv (Etelcalcetid); Neulasta (Pegfilgrastim); KANJINTI (Trastuzumab-anns); Otezla; BLINCYTO (Blinatumomab); ACTIMMUNE (Interferon gamma-1b); Neulasta (Pegfilgrastim); Sensipar/Mimpara (Cinacalcet); Prolia (Denosumab); ENBREL; QUINSAIR (Levofloxacin); Repatha (Evolocumab) und weitere. Das Unternehmen vertreibt ENBREL, einen Tumornekrosefaktor-Blocker, in den USA und Kanada. Otezla, ein kleines Molekül, das die Phosphodiesterase 4 hemmt, wird in vielen Ländern weltweit vermarktet. Repatha, ein Inhibitor der Proproteinkonvertase Subtilisin/Kexin Typ 9 (PCSK9), wird ebenfalls in vielen Ländern weltweit vermarktet.</v>
    <v>0.4657</v>
    <v>502</v>
    <v>190441837056</v>
    <v>Nasdaq Stock Market</v>
    <v>XNAS</v>
    <v>XNAS</v>
    <v>One Amgen Center Drive, THOUSAND OAKS, CA, 91320-1799 US</v>
    <v>357</v>
    <v>Pharmaceuticals</v>
    <v>Aktie</v>
    <v>24.812999999999999</v>
    <v>503</v>
    <v>46113.993732013281</v>
    <v>31500</v>
    <v>AMGEN INC.</v>
    <v>351.66</v>
    <v>AMGEN INC.</v>
    <v>354.9</v>
    <v>353.28</v>
    <v>351.85</v>
    <v>AMGN</v>
    <v>AMGEN INC. (XNAS:AMGN)</v>
    <v>1986</v>
    <v>108</v>
    <v>2721532</v>
    <v>USD</v>
  </rv>
  <rv s="2">
    <v>504</v>
  </rv>
  <rv s="3">
    <fb>348.77</fb>
    <v>6</v>
  </rv>
  <rv s="0">
    <v>https://www.bing.com/financeapi/forcetrigger?t=a1u6sm&amp;q=XNYS%3aGRMN&amp;form=skydnc</v>
    <v>Learn more on Bing</v>
  </rv>
  <rv s="1">
    <v>0</v>
    <v>1</v>
    <v>Garmin Ltd. (XNYS:GRMN)</v>
    <v>3</v>
    <v>4</v>
    <v>Finance</v>
    <v>19</v>
    <v>de-DE</v>
    <v>a1u6sm</v>
    <v>268435456</v>
    <v>1</v>
    <v>Unterstützt von Refinitiv</v>
    <v>261.69</v>
    <v>169.26009999999999</v>
    <v>5.56</v>
    <v>2.3963999999999999E-2</v>
    <v>192480800</v>
    <v>Garmin Ltd. (Garmin) ist ein in der Schweiz ansässiges Unternehmen. Das Unternehmen und seine Tochtergesellschaften bieten GPS-Navigationsgeräte sowie drahtlose Geräte und Anwendungen an. Das Unternehmen ist in fünf Segmenten tätig: Fitness, Outdoor, Luftfahrt, Marine und Auto. Es bietet eine Reihe von Autonavigationsprodukten sowie eine Reihe von Produkten und Anwendungen für den mobilen GPS-Markt an. Es bietet Outdoor-Handhelds, tragbare Geräte, Golfgeräte und Geräte für die Hundeortung und das Training von Haustieren an. Garmin bietet verschiedene Produkte an, die für den Einsatz in der Fitness- und Aktivitätsüberwachung konzipiert sind. Der Geschäftsbereich Luftfahrt des Unternehmens ist ein Anbieter von Lösungen für Flugzeughersteller, Flugzeugbesitzer und -betreiber sowie für militärische und staatliche Kunden und bedient eine Reihe von Flugzeugen, darunter Transportflugzeuge, Geschäftsflugzeuge, allgemeine Luftfahrt, Experimental-/Leichtsportflugzeuge, Hubschrauber, optional pilotierte Fahrzeuge und unbemannte Luftfahrzeuge. Das Unternehmen ist weltweit tätig.</v>
    <v>0.96879999999999999</v>
    <v>45727663656</v>
    <v>New York Stock Exchange</v>
    <v>XNYS</v>
    <v>XNYS</v>
    <v>Muehlentalstrasse 2, SCHAFFHAUSEN, SCHAFFHAUSEN, 8200 CH</v>
    <v>237.92</v>
    <v>Communications &amp; Networking</v>
    <v>Aktie</v>
    <v>27.6465</v>
    <v>507</v>
    <v>46113.958333356248</v>
    <v>23000</v>
    <v>Garmin Ltd.</v>
    <v>231.76499999999999</v>
    <v>Garmin Ltd.</v>
    <v>232.32</v>
    <v>237.57</v>
    <v>232.01</v>
    <v>GRMN</v>
    <v>Garmin Ltd. (XNYS:GRMN)</v>
    <v>2010</v>
    <v>737996</v>
    <v>860337</v>
    <v>USD</v>
  </rv>
  <rv s="2">
    <v>508</v>
  </rv>
  <rv s="3">
    <fb>230.16</fb>
    <v>6</v>
  </rv>
  <rv s="0">
    <v>https://www.bing.com/financeapi/forcetrigger?t=a1pl8m&amp;q=XNYS%3aCHD&amp;form=skydnc</v>
    <v>Learn more on Bing</v>
  </rv>
  <rv s="1">
    <v>0</v>
    <v>1</v>
    <v>CHURCH &amp; DWIGHT CO., INC. (XNYS:CHD)</v>
    <v>3</v>
    <v>4</v>
    <v>Finance</v>
    <v>5</v>
    <v>de-DE</v>
    <v>a1pl8m</v>
    <v>268435456</v>
    <v>1</v>
    <v>Unterstützt von Refinitiv</v>
    <v>113.91</v>
    <v>81.33</v>
    <v>-0.47</v>
    <v>-5.0360000000000005E-3</v>
    <v>236875100</v>
    <v>Church &amp; Dwight Co., Inc. entwickelt, produziert und vermarktet eine Reihe von Haushalts- und Körperpflegeprodukten für Verbraucher sowie Spezialprodukte für die Tier- und Lebensmittelproduktion, Chemikalien und Reinigungsmittel. Zu den Geschäftsbereichen des Unternehmens gehören Consumer Domestic, Consumer International und Specialty Products Division (SPD). Das Segment Consumer Domestic umfasst jede seiner sieben Hauptmarken sowie andere Marken und Haushalts- und Körperpflegeprodukte. Das Segment Consumer International vermarktet eine Vielzahl von Körperpflege-, Haushalts- und rezeptfreien Produkten in internationalen Tochtermärkten, darunter Australien, Kanada, Frankreich, Deutschland, Japan, Mexiko, China und Großbritannien. Das SPD-Segment konzentriert sich auf den Verkauf an Unternehmen und ist in drei Produktbereichen tätig: Tiernahrung, Spezialchemikalien sowie gewerbliche und professionelle Produkte. Zu den Marken des Unternehmens gehören ARM &amp; HAMMER; OXICLEAN; VITAFUSION und L'IL CRITTERS; BATISTE; WATERPIK; THERABREATH; und HERO.</v>
    <v>0.47310000000000002</v>
    <v>21993853035</v>
    <v>New York Stock Exchange</v>
    <v>XNYS</v>
    <v>XNYS</v>
    <v>Princeton South Corporate Center, 500 Charles Ewing Boulevard, EWING, NJ, 08628 US</v>
    <v>93.52</v>
    <v>Personal &amp; Household Products &amp; Services</v>
    <v>Aktie</v>
    <v>30.8369</v>
    <v>511</v>
    <v>46113.987224803124</v>
    <v>5550</v>
    <v>CHURCH &amp; DWIGHT CO., INC.</v>
    <v>91.352000000000004</v>
    <v>CHURCH &amp; DWIGHT CO., INC.</v>
    <v>92.5</v>
    <v>92.85</v>
    <v>93.32</v>
    <v>CHD</v>
    <v>CHURCH &amp; DWIGHT CO., INC. (XNYS:CHD)</v>
    <v>1925</v>
    <v>1</v>
    <v>2108771</v>
    <v>USD</v>
  </rv>
  <rv s="2">
    <v>512</v>
  </rv>
  <rv s="3">
    <fb>94.69</fb>
    <v>6</v>
  </rv>
  <rv s="0">
    <v>https://www.bing.com/financeapi/forcetrigger?t=a1ug1h&amp;q=XNAS%3aHAS&amp;form=skydnc</v>
    <v>Learn more on Bing</v>
  </rv>
  <rv s="1">
    <v>0</v>
    <v>1</v>
    <v>Hasbro, Inc. (XNAS:HAS)</v>
    <v>3</v>
    <v>4</v>
    <v>Finance</v>
    <v>19</v>
    <v>de-DE</v>
    <v>a1ug1h</v>
    <v>268435456</v>
    <v>1</v>
    <v>Unterstützt von Refinitiv</v>
    <v>106.98</v>
    <v>49</v>
    <v>-4.22</v>
    <v>-4.5085E-2</v>
    <v>140685800</v>
    <v>Hasbro, Inc. Ist ein Spiel-, geistiges Eigentum- und Spielzeughersteller. Das Unternehmen bietet Kindern, Familien und Fans auf der ganzen Welt Spielerlebnisse, unter anderem durch physische und digitale Spiele, Videospiele und Spielzeug. Das Segment Consumer Products ist weltweit in der Beschaffung, Vermarktung und dem Verkauf von Spielzeug- und Spielprodukten tätig. Das Segment Wizards of the Coast und Digital Gaming fördert die Marken des Unternehmens durch die Entwicklung von Handelskarten, Rollenspielen und digitalen Spielerlebnissen, die auf Hasbro- und Wizards of the Coast-Spielen basieren. Das Segment Entertainment beschäftigt sich mit der Entwicklung und Produktion von Unterhaltungsprodukten der Marke Hasbro, darunter Filme, Fernsehen, Kinderprogramme, digitale Inhalte und Live-Unterhaltung, die sich auf Hasbro-eigene Objekte konzentrieren. Das Markenportfolio umfasst MAGIC: THE GATHERING, DUNGEONS &amp; DRAGONS, MONOPOLY, HASBRO-SPIELE, NERF, TRANSFORMATOREN, PLAY-DOH und PEPPA PIG sowie führende Partnermarken.</v>
    <v>0.54359999999999997</v>
    <v>12574496804</v>
    <v>Nasdaq Stock Market</v>
    <v>XNAS</v>
    <v>XNAS</v>
    <v>1027 Newport Ave, P O Box 1059, PAWTUCKET, RI, 02861 US</v>
    <v>92.59</v>
    <v>Leisure Products</v>
    <v>Aktie</v>
    <v>0</v>
    <v>515</v>
    <v>46113.986614791407</v>
    <v>4520</v>
    <v>Hasbro, Inc.</v>
    <v>88.42</v>
    <v>Hasbro, Inc.</v>
    <v>91.6</v>
    <v>89.38</v>
    <v>93.6</v>
    <v>HAS</v>
    <v>Hasbro, Inc. (XNAS:HAS)</v>
    <v>1926</v>
    <v>4</v>
    <v>1588127</v>
    <v>USD</v>
  </rv>
  <rv s="2">
    <v>516</v>
  </rv>
  <rv s="3">
    <fb>88.59</fb>
    <v>6</v>
  </rv>
  <rv s="0">
    <v>https://www.bing.com/financeapi/forcetrigger?t=bxpkww&amp;q=XNAS%3aCHK&amp;form=skydnc</v>
    <v>Learn more on Bing</v>
  </rv>
  <rv s="1">
    <v>0</v>
    <v>1</v>
    <v>EXPAND ENERGY CORPORATION (XNAS:EXE)</v>
    <v>3</v>
    <v>4</v>
    <v>Finance</v>
    <v>19</v>
    <v>de-DE</v>
    <v>bxpkww</v>
    <v>268435456</v>
    <v>1</v>
    <v>Unterstützt von Refinitiv</v>
    <v>126.62050000000001</v>
    <v>91.015000000000001</v>
    <v>-3.75</v>
    <v>-3.4159000000000002E-2</v>
    <v>240398300</v>
    <v>Expand Energy Corporation ist ein unabhängiger Erdgasproduzent in den Vereinigten Staaten. Das Unternehmen konzentriert sich auf die Entwicklung der Versorgung mit Erdgas, Erdöl und Erdgasflüssigkeiten (LNG), um den Zugang zu Energie für alle zu erweitern. Das Unternehmen ist in Louisiana im Haynesville- und Bossier-Schiefer (Haynesville), in Pennsylvania im Marcellus-Schiefer (nordöstliche Appalachen) und in West Virginia und Ohio im Marcellus- und Utica-Schiefer (südwestliche Appalachen) tätig und hält Beteiligungen an rund 8.000 Erdgas- und Erdölbohrungen (brutto). Das Unternehmen ist in den Bereichen Bohren, Fertigstellung und Produktion tätig. Darüber hinaus betreibt es Bohranlagen und bietet bestimmte Ölfeldprodukte und -dienstleistungen an, die in erster Linie die E&amp;P-Aktivitäten des Unternehmens durch vertikale Integration unterstützen. Haynesville ist reich an Erdgas und liegt in der Nähe der Infrastruktur für den LNG-Export. Die Aktivitäten des Unternehmens in Ohio und West Virginia zielen auf das Marcellus- und Utica-Schiefergestein und liefern Öl und flüssiges Erdgas.</v>
    <v>0.45860000000000001</v>
    <v>25489431749</v>
    <v>Nasdaq Stock Market</v>
    <v>XNAS</v>
    <v>XNAS</v>
    <v>6100 N WESTERN AVE, OKLAHOMA CITY, OK, 73118 US</v>
    <v>109.59</v>
    <v>Oil &amp; Gas</v>
    <v>Aktie</v>
    <v>14.0573</v>
    <v>519</v>
    <v>46113.990187974217</v>
    <v>1600</v>
    <v>EXPAND ENERGY CORPORATION</v>
    <v>105.69</v>
    <v>EXPAND ENERGY CORPORATION</v>
    <v>108.345</v>
    <v>106.03</v>
    <v>109.78</v>
    <v>EXE</v>
    <v>EXPAND ENERGY CORPORATION (XNAS:EXE)</v>
    <v>1996</v>
    <v>10</v>
    <v>4184155</v>
    <v>USD</v>
  </rv>
  <rv s="2">
    <v>520</v>
  </rv>
  <rv s="3">
    <fb>113.5</fb>
    <v>6</v>
  </rv>
  <rv s="0">
    <v>https://www.bing.com/financeapi/forcetrigger?t=a1uyk2&amp;q=XNYS%3aHUBB&amp;form=skydnc</v>
    <v>Learn more on Bing</v>
  </rv>
  <rv s="1">
    <v>0</v>
    <v>1</v>
    <v>HUBBELL INCORPORATED (XNYS:HUBB)</v>
    <v>3</v>
    <v>4</v>
    <v>Finance</v>
    <v>19</v>
    <v>de-DE</v>
    <v>a1uyk2</v>
    <v>268435456</v>
    <v>1</v>
    <v>Unterstützt von Refinitiv</v>
    <v>533.79999999999995</v>
    <v>299.42500000000001</v>
    <v>9.64</v>
    <v>1.9643999999999998E-2</v>
    <v>53024730</v>
    <v>Hubbell Incorporated ist ein weltweit tätiger Hersteller von Elektroprodukten und Versorgungslösungen für eine Reihe von Kunden- und Endmarktanwendungen. Es ist in zwei Segmente tätig: Versorgungslösungen und elektrische Lösungen. Das Segment Utility Solutions besteht aus Unternehmen, die eine Vielzahl von Produkten für elektrische Verteilung, Übertragung, Umspannwerke und Telekommunikation entwickeln, herstellen und verkaufen, die Anwendungen vor dem Messgerät unterstützen. Das Segment Electrical Solutions umfasst Geschäftsbereiche, die Lagerprodukte und kundenspezifische Produkte verkaufen, darunter Standard- und Spezialprodukte für Verdrahtungsgeräte, raue Elektroprodukte, Steckverbinder und Erdungsprodukte sowie andere elektrische Geräte. Das Unternehmen bietet auch eine Vielzahl von Verdrahtungsgeräten und elektrischen Produkten für Wohn- und Versorgungsanwendungen an. Seine Produkte werden entweder vollständig bezogen, hergestellt oder von seinen Tochtergesellschaften montiert.</v>
    <v>0.99719999999999998</v>
    <v>26532514397</v>
    <v>New York Stock Exchange</v>
    <v>XNYS</v>
    <v>XNYS</v>
    <v>40 Waterview Drive, SHELTON, CT, 06484 US</v>
    <v>504.90989999999999</v>
    <v>Machinery, Equipment &amp; Components</v>
    <v>Aktie</v>
    <v>29.9815</v>
    <v>523</v>
    <v>46113.958333356248</v>
    <v>18000</v>
    <v>HUBBELL INCORPORATED</v>
    <v>495.78</v>
    <v>HUBBELL INCORPORATED</v>
    <v>496.56</v>
    <v>500.38</v>
    <v>490.74</v>
    <v>HUBB</v>
    <v>HUBBELL INCORPORATED (XNYS:HUBB)</v>
    <v>1905</v>
    <v>421533</v>
    <v>580739</v>
    <v>USD</v>
  </rv>
  <rv s="2">
    <v>524</v>
  </rv>
  <rv s="3">
    <fb>480.97</fb>
    <v>6</v>
  </rv>
  <rv s="0">
    <v>https://www.bing.com/financeapi/forcetrigger?t=a1xaar&amp;q=XNAS%3aMAR&amp;form=skydnc</v>
    <v>Learn more on Bing</v>
  </rv>
  <rv s="1">
    <v>0</v>
    <v>1</v>
    <v>MARRIOTT INTERNATIONAL, INC. (XNAS:MAR)</v>
    <v>3</v>
    <v>4</v>
    <v>Finance</v>
    <v>19</v>
    <v>de-DE</v>
    <v>a1xaar</v>
    <v>268435456</v>
    <v>1</v>
    <v>Unterstützt von Refinitiv</v>
    <v>370</v>
    <v>205.4</v>
    <v>6.39</v>
    <v>1.9536999999999999E-2</v>
    <v>264932000</v>
    <v>Marriott International, Inc. Ist Betreiber, Franchisegeber und Lizenzgeber von Hotel-, Wohn-, Timesharing- und anderen Unterkünften unter verschiedenen Markennamen. Zu den Segmenten zählen die USA und Kanada, Europa, der nahe Osten und Afrika (EMEA), Großchina, asiatisch-pazifischer Raum, ausgenommen China. Sein Markenportfolio bietet eine Reihe von Marken und Unterkunftsangeboten im Bereich Gastgewerbe. Seine Marken sind nach dem Stil des Angebots kategorisiert: Klassisch und unverwechselbar. Die klassischen Marken bieten altehrwürdige Gastfreundschaft für den modernen Reisenden. Die unverwechselbaren Marken bieten unvergessliche Erlebnisse mit einer Perspektive, die jeweils in vier Stufen unterteilt werden: Luxus, Premium, Select und Midscale. Zu den Hotelmarken gehören JW Marriott, The Ritz-Carlton, The Luxury Collection, W Hotels, Marriott Hotels, Sheraton, Delta Hotels by Marriott, Marriott Executive Apartments, Courtyard, SpringHill Suites, TownePlace, City Express, Four Points Flex by Sheraton, citizenM und andere.</v>
    <v>1.0972999999999999</v>
    <v>88344224720</v>
    <v>Nasdaq Stock Market</v>
    <v>XNAS</v>
    <v>XNAS</v>
    <v>7750 WISCONSIN AVENUE, BETHESDA, MD, 20814 US</v>
    <v>334.13499999999999</v>
    <v>Hotels &amp; Entertainment Services</v>
    <v>Aktie</v>
    <v>35.117199999999997</v>
    <v>527</v>
    <v>46113.997348899997</v>
    <v>148000</v>
    <v>MARRIOTT INTERNATIONAL, INC.</v>
    <v>325.31</v>
    <v>MARRIOTT INTERNATIONAL, INC.</v>
    <v>329.64</v>
    <v>333.46</v>
    <v>327.07</v>
    <v>MAR</v>
    <v>MARRIOTT INTERNATIONAL, INC. (XNAS:MAR)</v>
    <v>1997</v>
    <v>101</v>
    <v>1645574</v>
    <v>USD</v>
  </rv>
  <rv s="2">
    <v>528</v>
  </rv>
  <rv s="3">
    <fb>317.54000000000002</fb>
    <v>6</v>
  </rv>
  <rv s="0">
    <v>https://www.bing.com/financeapi/forcetrigger?t=a1r177&amp;q=XNYS%3aDGX&amp;form=skydnc</v>
    <v>Learn more on Bing</v>
  </rv>
  <rv s="1">
    <v>0</v>
    <v>1</v>
    <v>QUEST DIAGNOSTICS INCORPORATED (XNYS:DGX)</v>
    <v>3</v>
    <v>4</v>
    <v>Finance</v>
    <v>5</v>
    <v>de-DE</v>
    <v>a1r177</v>
    <v>268435456</v>
    <v>1</v>
    <v>Unterstützt von Refinitiv</v>
    <v>213.5</v>
    <v>157.19999999999999</v>
    <v>1.71</v>
    <v>8.7250000000000001E-3</v>
    <v>109866300</v>
    <v>Quest Diagnostics Incorporated ist ein Anbieter von Diagnoseinformationsdiensten. Das Unternehmen liefert diagnostische Erkenntnisse aus den Ergebnissen seiner Labortests, um Menschen, Ärzten und Organisationen in die Lage zu versetzen, Maßnahmen zur Verbesserung der gesundheitlichen Ergebnisse zu ergreifen. Das Unternehmen arbeitet über das DIS-Segment, das diagnostische Informationsdienste für eine Reihe von Kunden innerhalb seiner primären Kundenkanäle anbietet: Ärzte, Krankenhäuser, Patienten und Verbraucher. Es bietet breiten Zugang zu klinischen Tests über ein landesweites Netzwerk von Laboren, Patientendienstzentren, Phlebotomisten in Arztpraxen und Konnektivitätsressourcen, einschließlich Call-Center und mobile Phlebotomisten, Krankenschwestern und andere Gesundheits- und Wellness-Fachkräfte. Das Unternehmen konzentriert sich auch auf künstliche Intelligenz (KI) und digitale Pathologielösungen für biopharmazeutische Unternehmen und Pathologielabors. Es hat KI-, digitale und Automatisierungstechnologien in verschiedenen Labor- und Geschäftsfunktionen implementiert.</v>
    <v>0.65469999999999995</v>
    <v>21719468847</v>
    <v>New York Stock Exchange</v>
    <v>XNYS</v>
    <v>XNYS</v>
    <v>500 Plaza Drive, SECAUCUS, NJ, 07094 US</v>
    <v>198.86</v>
    <v>Healthcare Providers &amp; Services</v>
    <v>Aktie</v>
    <v>22.519100000000002</v>
    <v>531</v>
    <v>46113.958333356248</v>
    <v>46000</v>
    <v>QUEST DIAGNOSTICS INCORPORATED</v>
    <v>194.09010000000001</v>
    <v>QUEST DIAGNOSTICS INCORPORATED</v>
    <v>195.51</v>
    <v>197.69</v>
    <v>195.98</v>
    <v>DGX</v>
    <v>QUEST DIAGNOSTICS INCORPORATED (XNYS:DGX)</v>
    <v>1996</v>
    <v>1</v>
    <v>853196</v>
    <v>USD</v>
  </rv>
  <rv s="2">
    <v>532</v>
  </rv>
  <rv s="3">
    <fb>195.51</fb>
    <v>6</v>
  </rv>
  <rv s="0">
    <v>https://www.bing.com/financeapi/forcetrigger?t=a1xwnm&amp;q=XNAS%3aMPWR&amp;form=skydnc</v>
    <v>Learn more on Bing</v>
  </rv>
  <rv s="1">
    <v>0</v>
    <v>1</v>
    <v>MONOLITHIC POWER SYSTEMS, INC. (XNAS:MPWR)</v>
    <v>3</v>
    <v>4</v>
    <v>Finance</v>
    <v>5</v>
    <v>de-DE</v>
    <v>a1xwnm</v>
    <v>268435456</v>
    <v>1</v>
    <v>Unterstützt von Refinitiv</v>
    <v>1256.22</v>
    <v>438.86</v>
    <v>26.16</v>
    <v>2.3925999999999999E-2</v>
    <v>49118000</v>
    <v>Monolithic Power Systems, Inc. Ist ein fabelloses Unternehmen, das Halbleiterbasierte Leistungselektronik-Lösungen anbietet. Das Unternehmen entwirft und entwickelt seine Produkte für die Bereiche Unternehmensdaten, Speicher und Computing, Automobil, Kommunikation, Verbraucher, und industrielle Endmärkte. Gleichstrom (DC) zu DC, Wechselstrom (AC) zu DC, Treiber Metalloxid-Halbleiter-Feldeffekttransistor, integrierte Stromversorgungsschaltung (IC), Strombegrenzungsschalter und Beleuchtungssteuergeräte. Seine DC/DC-ICs werden zur Konvertierung und Steuerung von Spannungen in einer Reihe von elektronischen Systemen verwendet, wie z. B. Cloud-basierte CPU-Server (Central Processing Unit), KI-Anwendungen (Server), Speicheranwendungen, kommerzielle Notebooks, digitales Cockpit, Stromquellen, Haushaltsgeräte, Infrastruktur der vierten Generation (4G) und fünften Generation (5G) und Satellitenkommunikationsanwendungen. Das Unternehmen verfügt über Vertriebsbüros an verschiedenen Standorten in Asien, Europa und den USA.</v>
    <v>1.478</v>
    <v>54988092180</v>
    <v>Nasdaq Stock Market</v>
    <v>XNAS</v>
    <v>XNAS</v>
    <v>5808 Lake Washington Blvd. Ne, KIRKLAND, WA, 98033 US</v>
    <v>1138.42</v>
    <v>Semiconductors &amp; Semiconductor Equipment</v>
    <v>Aktie</v>
    <v>87.8536</v>
    <v>535</v>
    <v>46113.994457649998</v>
    <v>4501</v>
    <v>MONOLITHIC POWER SYSTEMS, INC.</v>
    <v>1095.01</v>
    <v>MONOLITHIC POWER SYSTEMS, INC.</v>
    <v>1100.75</v>
    <v>1119.51</v>
    <v>1093.3499999999999</v>
    <v>MPWR</v>
    <v>MONOLITHIC POWER SYSTEMS, INC. (XNAS:MPWR)</v>
    <v>2004</v>
    <v>26</v>
    <v>564639</v>
    <v>USD</v>
  </rv>
  <rv s="2">
    <v>536</v>
  </rv>
  <rv s="3">
    <fb>1053.01</fb>
    <v>6</v>
  </rv>
  <rv s="0">
    <v>https://www.bing.com/financeapi/forcetrigger?t=a1wifr&amp;q=XNYS%3aKIM&amp;form=skydnc</v>
    <v>Learn more on Bing</v>
  </rv>
  <rv s="1">
    <v>0</v>
    <v>1</v>
    <v>KIMCO REALTY CORPORATION. (XNYS:KIM)</v>
    <v>3</v>
    <v>4</v>
    <v>Finance</v>
    <v>19</v>
    <v>de-DE</v>
    <v>a1wifr</v>
    <v>268435456</v>
    <v>1</v>
    <v>Unterstützt von Refinitiv</v>
    <v>23.905000000000001</v>
    <v>17.93</v>
    <v>-0.02</v>
    <v>-8.9010000000000001E-4</v>
    <v>674066700</v>
    <v>Kimco Realty Corporation ist ein Real Estate Investment Trust (REIT) und Eigentümer und Betreiber von Einkaufszentren mit Lebensmittelgeschäften und gemischter Nutzung in den Vereinigten Staaten. Das Portfolio des Unternehmens konzentriert sich in erster Linie auf die Vororte der großen Metropolen, einschließlich der Küstenmärkte mit hohen Eintrittsbarrieren und der schnell wachsenden Städte im Sun Belt. Der Mietermix des Unternehmens konzentriert sich auf Waren und Dienstleistungen des täglichen Bedarfs, die zu mehreren Einkaufstouren pro Woche führen. Das Unternehmen ist spezialisiert auf den Besitz von Einkaufszentren, deren Management, Akquisitionen und wertsteigernde Sanierungsmaßnahmen. Zu den Immobilien- und Vermietungsdienstleistungen gehören die Suche nach verfügbaren Flächen, Unterschriftenserien, Sanierung/Entwicklung, Spezialvermietung, Vermietungsprogramme, Akquisitionen und Veräußerungen sowie bevorzugte Eigenkapital- und Mezzanine-Finanzierungen. Das Unternehmen ist in den Vereinigten Staaten an ca. 568 Einkaufszentren mit einer Gesamtmietfläche von 101 Millionen Quadratfuß in 30 Bundesstaaten beteiligt.</v>
    <v>1.0526</v>
    <v>15132797415</v>
    <v>New York Stock Exchange</v>
    <v>XNYS</v>
    <v>XNYS</v>
    <v>500 North Broadway, Suite 201, P.O. Box 9010, JERICHO, NY, 11753 US</v>
    <v>22.585000000000001</v>
    <v>Residential &amp; Commercial REIT</v>
    <v>Aktie</v>
    <v>27.378</v>
    <v>539</v>
    <v>46113.958333344533</v>
    <v>710</v>
    <v>KIMCO REALTY CORPORATION.</v>
    <v>22.37</v>
    <v>KIMCO REALTY CORPORATION.</v>
    <v>22.38</v>
    <v>22.45</v>
    <v>22.47</v>
    <v>KIM</v>
    <v>KIMCO REALTY CORPORATION. (XNYS:KIM)</v>
    <v>2022</v>
    <v>5713305</v>
    <v>6087689</v>
    <v>USD</v>
  </rv>
  <rv s="2">
    <v>540</v>
  </rv>
  <rv s="3">
    <fb>22.22</fb>
    <v>6</v>
  </rv>
  <rv s="0">
    <v>https://www.bing.com/financeapi/forcetrigger?t=a23a5r&amp;q=XNYS%3aSO&amp;form=skydnc</v>
    <v>Learn more on Bing</v>
  </rv>
  <rv s="1">
    <v>0</v>
    <v>1</v>
    <v>THE SOUTHERN COMPANY (XNYS:SO)</v>
    <v>3</v>
    <v>4</v>
    <v>Finance</v>
    <v>5</v>
    <v>de-DE</v>
    <v>a23a5r</v>
    <v>268435456</v>
    <v>1</v>
    <v>Unterstützt von Refinitiv</v>
    <v>100.83499999999999</v>
    <v>83.09</v>
    <v>0.42</v>
    <v>4.3509999999999998E-3</v>
    <v>1119391000</v>
    <v>Die Southern Company ist ein Energieversorger. Das Unternehmen besitzt drei traditionelle Elektrizitätsunternehmen, Southern Power Company und Southern Company Gas. Die traditionellen Stromversorgungsunternehmen Alabama Power, Georgia Power und Mississippi Power betreiben öffentliche Versorgungsunternehmen, die Einzelhandelskunden in drei südöstlichen bundesstaaten sowie Großhandelskunden im Südosten mit Strom versorgen. Die Southern Power Company entwickelt, baut, erwirbt, besitzt und verwaltet Stromerzeugungsanlagen, einschließlich Projekte für erneuerbare Energien, und verkauft Strom zu marktüblichen Preisen auf dem Großhandelsmarkt. Die Southern Company Gas ist eine Energiedienstleistungsgesellschaft, deren Hauptgeschäft die Verteilung von Erdgas in vier bundesstaaten ist - Illinois, Georgia, Virginia und Tennessee. Southern Company Gas ist auch an mehreren anderen Geschäftsbereichen beteiligt, die die Verteilung von Erdgas ergänzen.</v>
    <v>0.40610000000000002</v>
    <v>108513763540</v>
    <v>New York Stock Exchange</v>
    <v>XNYS</v>
    <v>XNYS</v>
    <v>30 Ivan Allen Jr. Blvd., N.W., ATLANTA, GA, 30308 US</v>
    <v>97.14</v>
    <v>Electrical Utilities &amp; IPPs</v>
    <v>Aktie</v>
    <v>24.7485</v>
    <v>543</v>
    <v>46113.986616678128</v>
    <v>29800</v>
    <v>THE SOUTHERN COMPANY</v>
    <v>95.94</v>
    <v>THE SOUTHERN COMPANY</v>
    <v>96.09</v>
    <v>96.94</v>
    <v>96.52</v>
    <v>SO</v>
    <v>THE SOUTHERN COMPANY (XNYS:SO)</v>
    <v>1945</v>
    <v>3</v>
    <v>5606001</v>
    <v>USD</v>
  </rv>
  <rv s="2">
    <v>544</v>
  </rv>
  <rv s="3">
    <fb>95.55</fb>
    <v>6</v>
  </rv>
  <rv s="0">
    <v>https://www.bing.com/financeapi/forcetrigger?t=a1mxkr&amp;q=XNYS%3aAEE&amp;form=skydnc</v>
    <v>Learn more on Bing</v>
  </rv>
  <rv s="1">
    <v>0</v>
    <v>1</v>
    <v>AMEREN CORPORATION (XNYS:AEE)</v>
    <v>3</v>
    <v>4</v>
    <v>Finance</v>
    <v>19</v>
    <v>de-DE</v>
    <v>a1mxkr</v>
    <v>268435456</v>
    <v>1</v>
    <v>Unterstützt von Refinitiv</v>
    <v>113.93</v>
    <v>91.77</v>
    <v>0.87</v>
    <v>7.9150000000000002E-3</v>
    <v>276424500</v>
    <v>Ameren Corporation ist eine öffentliche Versorgungsgesellschaft. Das Unternehmen ist in vier Segmenten tätig: Ameren Missouri, Ameren Illinois Electric Distribution, Ameren Illinois Natural Gas und Ameren Transmission. Das Segment Ameren Missouri umfasst alle Aktivitäten von Ameren Missouri. Ameren Missouri betreibt ein ratenreguliertes Stromversorgungs-, Übertragungs- und Verteilungsgeschäft sowie ein ratenreguliertes Erdgasverteilergeschäft in Missouri. Das Segment Ameren Illinois Electric Distribution besteht aus dem Elektroverteilergeschäft von Ameren Illinois. Das Segment Ameren Illinois Natural Gas besteht aus dem Erdgasgeschäft von Ameren Illinois. Das Segment Ameren Transmission besteht hauptsächlich aus den aggregierten Elektroübertragungsgeschäften von Ameren Illinois und Ameren Transmission Company of Illinois (ATXI). Das Unternehmen besitzt ein integriertes Übertragungssystem, das sich aus den Übertragungsanlagen von Ameren Missouri, Ameren Illinois und ATXI zusammensetzt.</v>
    <v>0.53339999999999999</v>
    <v>30625070355</v>
    <v>New York Stock Exchange</v>
    <v>XNYS</v>
    <v>XNYS</v>
    <v>1901 Chouteau Ave, Mc 1310, ST. LOUIS, MO, 63103-3003 US</v>
    <v>110.99</v>
    <v>Multiline Utilities</v>
    <v>Aktie</v>
    <v>20.711099999999998</v>
    <v>547</v>
    <v>46113.986597291405</v>
    <v>8913</v>
    <v>AMEREN CORPORATION</v>
    <v>109.17</v>
    <v>AMEREN CORPORATION</v>
    <v>109.17</v>
    <v>110.79</v>
    <v>109.92</v>
    <v>AEE</v>
    <v>AMEREN CORPORATION (XNYS:AEE)</v>
    <v>1995</v>
    <v>1696675</v>
    <v>1707573</v>
    <v>USD</v>
  </rv>
  <rv s="2">
    <v>548</v>
  </rv>
  <rv s="3">
    <fb>108.72</fb>
    <v>6</v>
  </rv>
  <rv s="0">
    <v>https://www.bing.com/financeapi/forcetrigger?t=a1pap2&amp;q=BATS%3aCBOE&amp;form=skydnc</v>
    <v>Learn more on Bing</v>
  </rv>
  <rv s="1">
    <v>0</v>
    <v>1</v>
    <v>Cboe Global Markets, Inc. (BATS:CBOE)</v>
    <v>3</v>
    <v>4</v>
    <v>Finance</v>
    <v>25</v>
    <v>de-DE</v>
    <v>a1pap2</v>
    <v>268435456</v>
    <v>1</v>
    <v>Unterstützt von Refinitiv</v>
    <v>305.68</v>
    <v>200.88</v>
    <v>-1.52</v>
    <v>-5.4079999999999996E-3</v>
    <v>104667700</v>
    <v>CBOE Global Markets, Inc. Ist ein Anbieter von Derivaten und Wertpapierbörsennetzen und bietet Kunden Handels-, Clearing- und Anlagelösungen an. Das Unternehmen ist in sechs Segmenten tätig. Das Segment Optionen umfasst Optionen auf Marktindizes (Indexoptionen) sowie auf Aktien einzelner Unternehmen (Aktienoptionen). Das Segment North American Equities umfasst US-Aktien und ETP-Transaktionsdienstleistungen. Zu den Segmenten Europa und Asien-Pazifik gehören die europaweiten börsennotierten Aktien- und Derivatstransaktionsdienste, ETPs, börsengehandelte Rohstoffe und internationale Depotquittungen. Das Segment Futures umfasst Transaktionsdienstleistungen von CBOE Futures Exchange, LLC (CFE), einer elektronischen Futures-Börse, die den Handel mit VIX-Futures und anderen Futures-Produkten anbietet. Das Segment Global FX umfasst institutionelle Devisenhandelsdienstleistungen. Das Segment Digital umfasst eine regulierte Terminbörse (CBOE Digital Exchange) und eine regulierte Clearingstelle.</v>
    <v>0.36909999999999998</v>
    <v>29259855535</v>
    <v>CBOE BZX Exchange</v>
    <v>BATS</v>
    <v>BATS</v>
    <v>433 WEST VAN BUREN STREET, CHICAGO, IL, 60607 US</v>
    <v>283.51499999999999</v>
    <v>Investment Banking &amp; Investment Services</v>
    <v>Aktie</v>
    <v>143.71639999999999</v>
    <v>551</v>
    <v>46113.982190010938</v>
    <v>1661</v>
    <v>Cboe Global Markets, Inc.</v>
    <v>278.77999999999997</v>
    <v>Cboe Global Markets, Inc.</v>
    <v>280.04000000000002</v>
    <v>279.55</v>
    <v>281.07</v>
    <v>CBOE</v>
    <v>Cboe Global Markets, Inc. (BATS:CBOE)</v>
    <v>2006</v>
    <v>1</v>
    <v>931711</v>
    <v>USD</v>
  </rv>
  <rv s="2">
    <v>552</v>
  </rv>
  <rv s="3">
    <fb>273</fb>
    <v>6</v>
  </rv>
  <rv s="0">
    <v>https://www.bing.com/financeapi/forcetrigger?t=a1pyar&amp;q=XNYS%3aCMS&amp;form=skydnc</v>
    <v>Learn more on Bing</v>
  </rv>
  <rv s="1">
    <v>0</v>
    <v>1</v>
    <v>CMS ENERGY CORPORATION (XNYS:CMS)</v>
    <v>3</v>
    <v>4</v>
    <v>Finance</v>
    <v>19</v>
    <v>de-DE</v>
    <v>a1pyar</v>
    <v>268435456</v>
    <v>1</v>
    <v>Unterstützt von Refinitiv</v>
    <v>78.88</v>
    <v>67.704999999999998</v>
    <v>0.34</v>
    <v>4.3830000000000006E-3</v>
    <v>307996600</v>
    <v>CMS Energy Corporation ist ein Energieunternehmen, das hauptsächlich in Michigan tätig ist. Das Unternehmen führt seine Geschäfte nach der Art der angebotenen Dienstleistungen und ist hauptsächlich in drei Geschäftsbereichen tätig: Stromversorgungsunternehmen, Gasversorgungsunternehmen und NorthStar Clean Energy. Das Segment Electric Utility umfasst die regulierten Aktivitäten im Zusammenhang mit der Erzeugung, dem Kauf, der Verteilung und dem Verkauf von Strom in Michigan. Das Segment Gas Utility umfasst die regulierten Aktivitäten im Zusammenhang mit dem Kauf, der Übertragung, der Speicherung, der Verteilung und dem Verkauf von Erdgas in Michigan. Das Segment NorthStar Clean Energy besteht aus verschiedenen Tochtergesellschaften, die in der inländischen unabhängigen Stromerzeugung tätig sind, einschließlich der Entwicklung und des Betriebs von Anlagen zur Stromerzeugung aus erneuerbaren Energiequellen sowie der Vermarktung der unabhängigen Stromerzeugung. Das Gastransport-, -speicher- und -verteilungssystem des Unternehmens besteht aus 2.342 Meilen an Transportleitungen und 15 Gasspeicherfeldern mit einer Gesamtspeicherkapazität von 309 Milliarden Kubikfuß (Bcf).</v>
    <v>0.42459999999999998</v>
    <v>23999095072</v>
    <v>New York Stock Exchange</v>
    <v>XNYS</v>
    <v>XNYS</v>
    <v>One Energy Plaza, JACKSON, MI, 49201 US</v>
    <v>78.144999999999996</v>
    <v>Multiline Utilities</v>
    <v>Aktie</v>
    <v>22.137699999999999</v>
    <v>555</v>
    <v>46113.99688165469</v>
    <v>8350</v>
    <v>CMS ENERGY CORPORATION</v>
    <v>77.069999999999993</v>
    <v>CMS ENERGY CORPORATION</v>
    <v>77.069999999999993</v>
    <v>77.92</v>
    <v>77.58</v>
    <v>CMS</v>
    <v>CMS ENERGY CORPORATION (XNYS:CMS)</v>
    <v>1987</v>
    <v>3339350</v>
    <v>2819401</v>
    <v>USD</v>
  </rv>
  <rv s="2">
    <v>556</v>
  </rv>
  <rv s="3">
    <fb>76.209999999999994</fb>
    <v>6</v>
  </rv>
  <rv s="0">
    <v>https://www.bing.com/financeapi/forcetrigger?t=a1z8jc&amp;q=XNAS%3aON&amp;form=skydnc</v>
    <v>Learn more on Bing</v>
  </rv>
  <rv s="1">
    <v>0</v>
    <v>1</v>
    <v>ON SEMICONDUCTOR CORPORATION (XNAS:ON)</v>
    <v>3</v>
    <v>4</v>
    <v>Finance</v>
    <v>5</v>
    <v>de-DE</v>
    <v>a1z8jc</v>
    <v>268435456</v>
    <v>1</v>
    <v>Unterstützt von Refinitiv</v>
    <v>73.760000000000005</v>
    <v>31.04</v>
    <v>0.28000000000000003</v>
    <v>4.522E-3</v>
    <v>394020500</v>
    <v>DIE ON Semiconductor Corporation ist zusammen mit ihren hundertprozentigen Tochtergesellschaften unter der Marke onsemi tätig. Das Unternehmen bietet intelligente Stromversorgungs- und intelligente Sensorlösungen. Zu den Segmenten zählen die Power Solutions Group (PSG), die Analog &amp; Mixed-Signal Group (AMG) und die Intelligent Sensing Group (ISG). PSG bietet eine Reihe von analogen, diskreten, modularen und integrierten Halbleiterprodukten, die verschiedene Anwendungsfunktionen ausführen, einschließlich Leistungsumschaltung, Leistungsumwandlung und Signalaufbereitung. AMG entwirft und entwickelt analoge, Mixed-Signal-, Power-Management-integrierte Schaltungen (ICs) und Sensorschnittstellen für eine Reihe von Endanwendern in den Endmärkten Automotive, Industrie, Computing und Mobile. ISG entwickelt und entwickelt komplementäre CMOS-Bildsensoren, Bildsignalprozessoren und Einzelphotonendetektoren. SWIR Vision Systems ist ein Anbieter von kolloidaler quantenpunktbasierter (CQD) kurzwelliger Infrarot-Technologie (SWIR).</v>
    <v>1.5245</v>
    <v>24508075100</v>
    <v>Nasdaq Stock Market</v>
    <v>XNAS</v>
    <v>XNAS</v>
    <v>5701 NORTH PIMA ROAD, SCOTTSDALE, AZ, 85250 US</v>
    <v>63.685000000000002</v>
    <v>Semiconductors &amp; Semiconductor Equipment</v>
    <v>Aktie</v>
    <v>187.73390000000001</v>
    <v>559</v>
    <v>46113.999683020309</v>
    <v>22600</v>
    <v>ON SEMICONDUCTOR CORPORATION</v>
    <v>61.96</v>
    <v>ON SEMICONDUCTOR CORPORATION</v>
    <v>62.78</v>
    <v>62.2</v>
    <v>61.92</v>
    <v>ON</v>
    <v>ON SEMICONDUCTOR CORPORATION (XNAS:ON)</v>
    <v>2000</v>
    <v>28</v>
    <v>7636226</v>
    <v>USD</v>
  </rv>
  <rv s="2">
    <v>560</v>
  </rv>
  <rv s="3">
    <fb>58.35</fb>
    <v>6</v>
  </rv>
  <rv s="0">
    <v>https://www.bing.com/financeapi/forcetrigger?t=a1rzh7&amp;q=XNAS%3aENPH&amp;form=skydnc</v>
    <v>Learn more on Bing</v>
  </rv>
  <rv s="1">
    <v>0</v>
    <v>1</v>
    <v>ENPHASE ENERGY, INC. (XNAS:ENPH)</v>
    <v>3</v>
    <v>4</v>
    <v>Finance</v>
    <v>5</v>
    <v>de-DE</v>
    <v>a1rzh7</v>
    <v>268435456</v>
    <v>1</v>
    <v>Unterstützt von Refinitiv</v>
    <v>63.696399999999997</v>
    <v>25.774999999999999</v>
    <v>0.47</v>
    <v>1.2431000000000001E-2</v>
    <v>131098800</v>
    <v>Enphase Energy, Inc. Ist ein weltweit tätiges Energieunternehmen. Das Unternehmen ist ein Anbieter von Solar- und Batteriesystemen auf Mikroinverterbasis, mit denen Menschen die Sonne nutzen können, um ihren eigenen Strom herzustellen, zu nutzen, zu sparen und zu verkaufen und alles mit einer intelligenten mobilen Anwendung zu steuern. Das Unternehmen entwirft, entwickelt, produziert und verkauft Energielösungen für Haushalte, die Energieerzeugung, Energiespeicherung sowie Steuerung und Kommunikation auf einer intelligenten Plattform verwalten. Das Enphase Energy System bietet einen technologischen, vernetzten Ansatz für die Solarerzeugung und Energiespeicherung, indem es sein Know-how in Sachen Leistungselektronik, Halbleiter und Cloud-basierte Softwaretechnologien nutzt. Das Enphase Energy System, das von IQ-Mikroinvertern, IQ-Batterien und anderen Produkten und Dienstleistungen betrieben wird, ist ein integriertes Solar-, Speicher- und Energiemanagement-Angebot, das den Eigenverbrauch ermöglicht. Das Unternehmen bietet auch eine prädiktive Softwareplattform zur Vereinfachung der Cleantech-Servicelandschaft an.</v>
    <v>1.3816999999999999</v>
    <v>5018462064</v>
    <v>Nasdaq Stock Market</v>
    <v>XNAS</v>
    <v>XNAS</v>
    <v>47281 Bayside Parkway, FREMONT, CA, 94538 US</v>
    <v>38.799999999999997</v>
    <v>Renewable Energy</v>
    <v>Aktie</v>
    <v>29.996700000000001</v>
    <v>563</v>
    <v>46113.997259883596</v>
    <v>2872</v>
    <v>ENPHASE ENERGY, INC.</v>
    <v>37.71</v>
    <v>ENPHASE ENERGY, INC.</v>
    <v>38.229999999999997</v>
    <v>38.28</v>
    <v>37.81</v>
    <v>ENPH</v>
    <v>ENPHASE ENERGY, INC. (XNAS:ENPH)</v>
    <v>2006</v>
    <v>7680</v>
    <v>5055670</v>
    <v>USD</v>
  </rv>
  <rv s="2">
    <v>564</v>
  </rv>
  <rv s="3">
    <fb>37.840000000000003</fb>
    <v>6</v>
  </rv>
  <rv s="0">
    <v>https://www.bing.com/financeapi/forcetrigger?t=a243ec&amp;q=XNYS%3aTDY&amp;form=skydnc</v>
    <v>Learn more on Bing</v>
  </rv>
  <rv s="1">
    <v>0</v>
    <v>1</v>
    <v>TELEDYNE TECHNOLOGIES INCORPORATED (XNYS:TDY)</v>
    <v>3</v>
    <v>4</v>
    <v>Finance</v>
    <v>19</v>
    <v>de-DE</v>
    <v>a243ec</v>
    <v>268435456</v>
    <v>1</v>
    <v>Unterstützt von Refinitiv</v>
    <v>693.38</v>
    <v>419</v>
    <v>12.96</v>
    <v>2.1421000000000003E-2</v>
    <v>46317280</v>
    <v>Teledyne Technologies Incorporated bietet grundlegende Technologien für industrielle Wachstumsmärkte. Zu diesen Märkten gehören Fabrikautomatisierung, Luft- und Wasserqualitätsüberwachung, Elektronikdesign und -Entwicklung und andere. Zu den Segmenten des Unternehmens gehören digitale Bildgebung, die Sensoren, Kameras und Systeme in den Bereichen sichtbare, Infrarot-, Infrarot-, Ultraviolett- und Röntgenspektren zur Verwendung in Industrie, Wissenschaft, Regierung, Verteidigung und anderen Bereichen; das Segment Instrumentation bietet Überwachungs- und Steuerungsinstrumente für Marine-, Umwelt-, Industrie- und andere Anwendungen sowie elektronische Prüf- und Messgeräte; das Segment Luft- und Raumfahrt- und Verteidigungselektronik bietet elektronische und optische Komponenten und Subsysteme, Datenerfassungs- und Kommunikationskomponenten und -Geräte, Verbindungen in rauen Umgebungen, Batterien für die allgemeine Luftfahrt und andere Komponenten, und das Segment Engineered Systems bietet Lösungen für Systemtechnik, Integration und Technologieentwicklung sowie Fertigungslösungen.</v>
    <v>1.0083</v>
    <v>28622689521</v>
    <v>New York Stock Exchange</v>
    <v>XNYS</v>
    <v>XNYS</v>
    <v>1049 Camino Dos Rios, THOUSAND OAKS, CA, 91360 US</v>
    <v>622.63</v>
    <v>Electronic Equipment &amp; Parts</v>
    <v>Aktie</v>
    <v>32.735599999999998</v>
    <v>567</v>
    <v>46113.98660871484</v>
    <v>15800</v>
    <v>TELEDYNE TECHNOLOGIES INCORPORATED</v>
    <v>605.07399999999996</v>
    <v>TELEDYNE TECHNOLOGIES INCORPORATED</v>
    <v>608.91999999999996</v>
    <v>617.97</v>
    <v>605.01</v>
    <v>TDY</v>
    <v>TELEDYNE TECHNOLOGIES INCORPORATED (XNYS:TDY)</v>
    <v>1999</v>
    <v>362390</v>
    <v>306523</v>
    <v>USD</v>
  </rv>
  <rv s="2">
    <v>568</v>
  </rv>
  <rv s="3">
    <fb>593.30999999999995</fb>
    <v>6</v>
  </rv>
  <rv s="0">
    <v>https://www.bing.com/financeapi/forcetrigger?t=a1px2w&amp;q=XNAS%3aCME&amp;form=skydnc</v>
    <v>Learn more on Bing</v>
  </rv>
  <rv s="1">
    <v>0</v>
    <v>1</v>
    <v>CME GROUP INC. (XNAS:CME)</v>
    <v>3</v>
    <v>4</v>
    <v>Finance</v>
    <v>5</v>
    <v>de-DE</v>
    <v>a1px2w</v>
    <v>268435456</v>
    <v>1</v>
    <v>Unterstützt von Refinitiv</v>
    <v>329.16</v>
    <v>248.53</v>
    <v>1.59</v>
    <v>5.3829999999999998E-3</v>
    <v>362804900</v>
    <v>CME Group Inc. bietet einen Marktplatz für Derivate. Das Unternehmen ermöglicht seinen Kunden den Handel mit Futures, Optionen, Kassa- und Freiverkehrsmärkten, die Optimierung von Portfolios und die Analyse von Daten. Die Börsen bieten eine Reihe von globalen Benchmark-Produkten für alle wichtigen Anlageklassen auf der Grundlage von Zinssätzen, Aktienindizes, Devisen, Energie, landwirtschaftlichen Produkten und Metallen. Sie bietet den Handel mit Futures und Optionen auf Futures über die CME Globex-Plattform, den Handel mit festverzinslichen Wertpapieren über BrokerTec und den Devisenhandel über die EBS-Plattform an. Darüber hinaus betreibt die CME Clearing, eine zentrale Gegenpartei für das Clearing. Die Produkte der CME dienen der Absicherung, Spekulation und Vermögensallokation im Zusammenhang mit Risiken, die unter anderem mit zinssensiblen Instrumenten und Preisänderungen bei Agrar-, Energie- und Metallrohstoffen verbunden sind. Sie bietet Clearing- und Abrechnungsdienstleistungen für eine Reihe von börsengehandelten Futures und Optionen auf Futures-Kontrakte sowie OTC-Derivate an.</v>
    <v>0.30049999999999999</v>
    <v>107731287006</v>
    <v>Nasdaq Stock Market</v>
    <v>XNAS</v>
    <v>XNAS</v>
    <v>20 S. Wacker Dr., CHICAGO, IL, 60606 US</v>
    <v>297.2</v>
    <v>Investment Banking &amp; Investment Services</v>
    <v>Aktie</v>
    <v>26.607900000000001</v>
    <v>571</v>
    <v>46113.944238969532</v>
    <v>3875</v>
    <v>CME GROUP INC.</v>
    <v>293.5</v>
    <v>CME GROUP INC.</v>
    <v>295.74</v>
    <v>296.94</v>
    <v>295.35000000000002</v>
    <v>CME</v>
    <v>CME GROUP INC. (XNAS:CME)</v>
    <v>2001</v>
    <v>72</v>
    <v>2339819</v>
    <v>USD</v>
  </rv>
  <rv s="2">
    <v>572</v>
  </rv>
  <rv s="3">
    <fb>293.77999999999997</fb>
    <v>6</v>
  </rv>
  <rv s="0">
    <v>https://www.bing.com/financeapi/forcetrigger?t=a1tvoc&amp;q=XNAS%3aGILD&amp;form=skydnc</v>
    <v>Learn more on Bing</v>
  </rv>
  <rv s="1">
    <v>0</v>
    <v>1</v>
    <v>GILEAD SCIENCES, INC. (XNAS:GILD)</v>
    <v>3</v>
    <v>4</v>
    <v>Finance</v>
    <v>5</v>
    <v>de-DE</v>
    <v>a1tvoc</v>
    <v>268435456</v>
    <v>1</v>
    <v>Unterstützt von Refinitiv</v>
    <v>157.29</v>
    <v>93.37</v>
    <v>0.93</v>
    <v>6.6730000000000001E-3</v>
    <v>1241222000</v>
    <v>Gilead Sciences, Inc. Ist ein biopharmazeutisches Unternehmen. Es ist an der Entwicklung von Arzneimitteln zur Vorbeugung und Behandlung lebensbedrohlicher Krankheiten wie HIV, Virushepatitis, COVID-19, Krebs und Entzündungen beteiligt. Es konzentriert sich auf die Entdeckung, Entwicklung und Bereitstellung von Arzneimitteln, die auf ungedeckten medizinischen Bedarf in der Virologie, Onkologie und anderen therapeutischen Bereichen abgestellt werden. Das Portfolio der vermarkteten Produkte umfasst Biktarvy, Genvoya, Descovy, Complera/Eviplera, Symtuza, Truvada, Stribild, Sunlenca, Epclusa, Vemlidy, Harvoni, Viread, Livdelzi, Veklury, Yescarta, Tecartus, Trodelvy, AmBisome und Letairis. Zu den Produktkandidaten gehören Bulevirtide, Lenacapavir, Axicabtagene Ciloleucel, Sacituzumab Govitecan-hziy und andere. Es entwickelt auch das HB-400-Programm und das HB-500-Programm. Es entwickelt Therapien, die funktionelle Heilungen gegen das Hepatitis-B-Virus und das humane Immundefizienzvirus-1 liefern sollen. Es ist in mehr als 35 Ländern weltweit tätig.</v>
    <v>0.40379999999999999</v>
    <v>174143446600</v>
    <v>Nasdaq Stock Market</v>
    <v>XNAS</v>
    <v>XNAS</v>
    <v>333 LAKESIDE DR, FOSTER CITY, CA, 94404-1147 US</v>
    <v>141.49</v>
    <v>Pharmaceuticals</v>
    <v>Aktie</v>
    <v>20.682099999999998</v>
    <v>575</v>
    <v>46113.999669050783</v>
    <v>17000</v>
    <v>GILEAD SCIENCES, INC.</v>
    <v>138.82</v>
    <v>GILEAD SCIENCES, INC.</v>
    <v>139.69</v>
    <v>140.30000000000001</v>
    <v>139.37</v>
    <v>GILD</v>
    <v>GILEAD SCIENCES, INC. (XNAS:GILD)</v>
    <v>1987</v>
    <v>81</v>
    <v>6638102</v>
    <v>USD</v>
  </rv>
  <rv s="2">
    <v>576</v>
  </rv>
  <rv s="3">
    <fb>134.25</fb>
    <v>6</v>
  </rv>
  <rv s="0">
    <v>https://www.bing.com/financeapi/forcetrigger?t=a1vcgh&amp;q=XNYS%3aIFF&amp;form=skydnc</v>
    <v>Learn more on Bing</v>
  </rv>
  <rv s="5">
    <v>10</v>
    <v>11</v>
    <v>INTERNATIONAL FLAVORS &amp; FRAGRANCES INC. (XNYS:IFF)</v>
    <v>3</v>
    <v>12</v>
    <v>Finance</v>
    <v>5</v>
    <v>de-DE</v>
    <v>a1vcgh</v>
    <v>268435456</v>
    <v>1</v>
    <v>Unterstützt von Refinitiv</v>
    <v>84.45</v>
    <v>59.14</v>
    <v>0.02</v>
    <v>2.7570000000000003E-4</v>
    <v>255437800</v>
    <v>International Flavors &amp; Fragrances Inc. Ist ein Schöpfer und Hersteller von Lebensmitteln, Getränken, Gesundheits- und Biowissenschaften, Duft und ergänzenden angrenzenden Produkten. Das Unternehmenssegment umfasst Geschmack, Lebensmittelzutaten, Gesundheit &amp; Biowissenschaften und Duft. Das Geschmackssegment besteht aus einer Reihe von Geschmacksverbindungen und natürlichen Geschmackslösungen, die in der Lebensmittel- und Getränkeindustrie verwendet werden. Das Segment Food Ingredients umfasst ein breites Portfolio an natürlichen und pflanzlichen Spezialzutaten, die Texturierungs- und Lebensmittelschutzfunktionen bieten, sowie Soja- und Erbsenproteinlösungen, Emulgatoren und Süßungsmittel. Das Segment Health &amp; Biosciences umfasst die Entwicklung und Produktion eines fortschrittlichen, biotechnologischen Portfolios von Enzymen, Lebensmittelkulturen, Probiotika und Spezialzutaten für Lebensmittel- und Non-Food-Anwendungen. Das Duftsegment produziert Duftstoffe und Duftstoffe, die integrale Bestandteile von Parfüms sowie Haushalts- und Körperpflegeprodukten sind.</v>
    <v>1.0318000000000001</v>
    <v>18537121146</v>
    <v>New York Stock Exchange</v>
    <v>XNYS</v>
    <v>XNYS</v>
    <v>521 W 57TH ST, NEW YORK, NY, 10019 US</v>
    <v>73.790000000000006</v>
    <v>Food &amp; Tobacco</v>
    <v>Aktie</v>
    <v>579</v>
    <v>46113.991267013284</v>
    <v>21500</v>
    <v>INTERNATIONAL FLAVORS &amp; FRAGRANCES INC.</v>
    <v>72.03</v>
    <v>INTERNATIONAL FLAVORS &amp; FRAGRANCES INC.</v>
    <v>72.17</v>
    <v>72.569999999999993</v>
    <v>72.55</v>
    <v>IFF</v>
    <v>INTERNATIONAL FLAVORS &amp; FRAGRANCES INC. (XNYS:IFF)</v>
    <v>1909</v>
    <v>6</v>
    <v>1845864</v>
    <v>USD</v>
  </rv>
  <rv s="2">
    <v>580</v>
  </rv>
  <rv s="3">
    <fb>71.010000000000005</fb>
    <v>6</v>
  </rv>
  <rv s="0">
    <v>https://www.bing.com/financeapi/forcetrigger?t=a1p58m&amp;q=XNYS%3aCAH&amp;form=skydnc</v>
    <v>Learn more on Bing</v>
  </rv>
  <rv s="1">
    <v>0</v>
    <v>1</v>
    <v>CARDINAL HEALTH, INC. (XNYS:CAH)</v>
    <v>3</v>
    <v>4</v>
    <v>Finance</v>
    <v>5</v>
    <v>de-DE</v>
    <v>a1p58m</v>
    <v>268435456</v>
    <v>1</v>
    <v>Unterstützt von Refinitiv</v>
    <v>233.6</v>
    <v>120.72</v>
    <v>1.2210000000000001</v>
    <v>5.7920000000000003E-3</v>
    <v>235316000</v>
    <v>Cardinal Health, Inc. Ist ein weltweit tätiges Unternehmen für Dienstleistungen und Produkte im Gesundheitswesen. Das Unternehmen bietet maßgeschneiderte Lösungen für Krankenhäuser, Gesundheitssysteme, Apotheken, ambulante Chirurgische Zentren, klinische Labore, Arztpraxen und Patienten im Haushalt. Das Unternehmen bietet auch pharmazeutische und medizinische Produkte an. Zu den Segmenten zählen Pharma- und Speziallösungen sowie Global Medical Products and Distribution (GMPD). Das Segment Pharmaceutical and Specialty Solutions vertreibt Marken- und Generika, Spezialpharmazeutika sowie frei verkäufliche Gesundheits- und Konsumgüter in den USA und besitzt Urologie MSO. Das Segment GMPD produziert, beschafft und vertreibt Produkte der Marke Cardinal Health für Medizin, Chirurgie und Laboratorien, die in den USA, Kanada, Europa, Asien und anderen Märkten verkauft werden. Das Unternehmen verbindet Patienten, Leistungserbringer, Kostenträger, Apotheker und Hersteller für eine integrierte Koordination der Versorgung.</v>
    <v>0.65069999999999995</v>
    <v>49891698320</v>
    <v>New York Stock Exchange</v>
    <v>XNYS</v>
    <v>XNYS</v>
    <v>7000 Cardinal Pl, DUBLIN, OH, 43017 US</v>
    <v>213.42</v>
    <v>Pharmaceuticals</v>
    <v>Aktie</v>
    <v>30.4938</v>
    <v>583</v>
    <v>46113.998242488284</v>
    <v>57700</v>
    <v>CARDINAL HEALTH, INC.</v>
    <v>210.08</v>
    <v>CARDINAL HEALTH, INC.</v>
    <v>211.36</v>
    <v>212.02</v>
    <v>210.79900000000001</v>
    <v>CAH</v>
    <v>CARDINAL HEALTH, INC. (XNYS:CAH)</v>
    <v>1979</v>
    <v>1</v>
    <v>1878904</v>
    <v>USD</v>
  </rv>
  <rv s="2">
    <v>584</v>
  </rv>
  <rv s="3">
    <fb>206.58</fb>
    <v>6</v>
  </rv>
  <rv s="0">
    <v>https://www.bing.com/financeapi/forcetrigger?t=a214vh&amp;q=XNYS%3aPPL&amp;form=skydnc</v>
    <v>Learn more on Bing</v>
  </rv>
  <rv s="1">
    <v>0</v>
    <v>1</v>
    <v>PPL CORPORATION (XNYS:PPL)</v>
    <v>3</v>
    <v>4</v>
    <v>Finance</v>
    <v>19</v>
    <v>de-DE</v>
    <v>a214vh</v>
    <v>268435456</v>
    <v>1</v>
    <v>Unterstützt von Refinitiv</v>
    <v>39.085000000000001</v>
    <v>32.5</v>
    <v>0.17</v>
    <v>4.45E-3</v>
    <v>751306800</v>
    <v>PPL Corporation ist ein Energieunternehmen. Das Unternehmen konzentriert sich auf die Bereitstellung von Strom und Erdgas in den Vereinigten Staaten. Das Unternehmen ist in drei Segmenten tätig: Kentucky (reguliert), Pennsylvania (reguliert) und Rhode Island (reguliert). Das Segment Kentucky Regulated umfasst in erster Linie die regulierte Stromerzeugung, -übertragung und -verteilung durch Louisville Gas &amp; Electric Company (LG&amp;E) und Kentucky Utilities Company (KU) sowie die regulierte Verteilung und den Verkauf von Erdgas durch LG&amp;E. LG&amp;E und KU sind in der regulierten Erzeugung, Übertragung, Verteilung und dem Verkauf von Strom in Kentucky und, im Falle von KU, auch in Virginia tätig. Das Segment Pennsylvania Regulated umfasst das regulierte Stromübertragungs- und -verteilungsgeschäft von PPL Electric. Das Segment Rhode Island Regulated umfasst das regulierte Stromübertragungs- und -verteilungsgeschäft sowie die regulierte Verteilung und den Verkauf von Erdgas durch RIE.</v>
    <v>0.68049999999999999</v>
    <v>28827641915</v>
    <v>New York Stock Exchange</v>
    <v>XNYS</v>
    <v>XNYS</v>
    <v>645 Hamilton Street, ALLENTOWN, PA, 18101-1179 US</v>
    <v>38.51</v>
    <v>Multiline Utilities</v>
    <v>Aktie</v>
    <v>24.1462</v>
    <v>587</v>
    <v>46113.981510763282</v>
    <v>6546</v>
    <v>PPL CORPORATION</v>
    <v>38</v>
    <v>PPL CORPORATION</v>
    <v>38.11</v>
    <v>38.369999999999997</v>
    <v>38.200000000000003</v>
    <v>PPL</v>
    <v>PPL CORPORATION (XNYS:PPL)</v>
    <v>1994</v>
    <v>6350914</v>
    <v>8057516</v>
    <v>USD</v>
  </rv>
  <rv s="2">
    <v>588</v>
  </rv>
  <rv s="3">
    <fb>37.65</fb>
    <v>6</v>
  </rv>
  <rv s="0">
    <v>https://www.bing.com/financeapi/forcetrigger?t=a1stjc&amp;q=XNAS%3aFFIV&amp;form=skydnc</v>
    <v>Learn more on Bing</v>
  </rv>
  <rv s="1">
    <v>0</v>
    <v>1</v>
    <v>F5, INC. (XNAS:FFIV)</v>
    <v>3</v>
    <v>4</v>
    <v>Finance</v>
    <v>5</v>
    <v>de-DE</v>
    <v>a1stjc</v>
    <v>268435456</v>
    <v>1</v>
    <v>Unterstützt von Refinitiv</v>
    <v>346</v>
    <v>223.76</v>
    <v>6.32</v>
    <v>2.1844000000000002E-2</v>
    <v>56519270</v>
    <v>F5, Inc. Ist ein Anbieter von Lösungen für die Anwendungssicherheit und -Bereitstellung in mehreren Clouds. Das Unternehmen ermöglicht es seinen Kunden, jede Anwendungs- und Anwendungsprogrammierschnittstelle (API) über jede Architektur hinweg bereitzustellen, zu betreiben, zu sichern, zu optimieren und zu steuern, und zwar in der Cloud, an der Peripherie und in hybriden, Multi-Cloud-Umgebungen. Die Anwendungsservices der Enterprise-Klasse sind als Hardware-, Software- und Software-as-a-Service-Lösungen erhältlich, die für hybride Umgebungen mit mehreren Laut optimiert sind, mit Modulen, die unabhängig voneinander ausgeführt werden können, oder als Teil einer integrierten Lösung auf ihren Hochleistungs-Appliances. Mit seinen BIG-IP-, F5 NGINX- und F5 Distributed Cloud Services-Produkten bietet es eine Reihe integrierter, künstlicher Intelligenz und maschinellem Lernen basierender Lösungen, die die Leistung unterstützen und Anwendungen und APIs in Rechenzentren, Cloud- und Edge-Standorten schützen. Zu den Produkten und Lösungen gehören unter anderem F5 Distributed Cloud CDN und F5 NGINX Ingress Controller.</v>
    <v>0.9304</v>
    <v>16709922175</v>
    <v>Nasdaq Stock Market</v>
    <v>XNAS</v>
    <v>XNAS</v>
    <v>801 5Th Avenue, SEATTLE, WA, 98104 US</v>
    <v>297.31</v>
    <v>Software &amp; IT Services</v>
    <v>Aktie</v>
    <v>24.474599999999999</v>
    <v>591</v>
    <v>46113.924362928126</v>
    <v>6578</v>
    <v>F5, INC.</v>
    <v>289</v>
    <v>F5, INC.</v>
    <v>290.82</v>
    <v>295.64999999999998</v>
    <v>289.33</v>
    <v>FFIV</v>
    <v>F5, INC. (XNAS:FFIV)</v>
    <v>1996</v>
    <v>5</v>
    <v>773711</v>
    <v>USD</v>
  </rv>
  <rv s="2">
    <v>592</v>
  </rv>
  <rv s="3">
    <fb>281.98</fb>
    <v>6</v>
  </rv>
  <rv s="0">
    <v>https://www.bing.com/financeapi/forcetrigger?t=a1sl52&amp;q=XNAS%3aFAST&amp;form=skydnc</v>
    <v>Learn more on Bing</v>
  </rv>
  <rv s="1">
    <v>0</v>
    <v>1</v>
    <v>FASTENAL COMPANY (XNAS:FAST)</v>
    <v>3</v>
    <v>4</v>
    <v>Finance</v>
    <v>5</v>
    <v>de-DE</v>
    <v>a1sl52</v>
    <v>268435456</v>
    <v>1</v>
    <v>Unterstützt von Refinitiv</v>
    <v>50.63</v>
    <v>35.305</v>
    <v>0.23</v>
    <v>4.9569999999999996E-3</v>
    <v>1148328000</v>
    <v>Fastenal Company ist im Großhandelsvertrieb von Industrie- und Baubedarf tätig. Das Unternehmen vertreibt Gewindeverbindungselemente, Bolzen, Muttern, Schrauben, Stifte und entsprechende Unterlegscheiben sowie diverses Zubehör wie Stifte, Maschinenschlüssel, Betonanker, Metallrahmensysteme, Drahtseile, Verstrebungen, Nieten und entsprechendes Zubehör. Zu den Geschäftsinstrumenten des Unternehmens gehören Fastenal Managed Inventory (FMI), Bin Stock (FASTStock und FASTBin) und Industrial Vending (FASTVend). Das Unternehmen investiert auch in digitale Lösungen, die darauf abzielen, seinen Kunden einen Mehrwert zu bieten, lokale Bestände für Lösungen am selben Tag zu nutzen und Service zu bieten. Das Unternehmen beliefert Generalunternehmer und gewerbliche Bauunternehmer in Nichtwohngebäuden sowie Landwirte, Lastwagenfahrer, Eisenbahnen, Erdöl-Explorationsunternehmen, Erdölförderungs- und -veredelungsunternehmen, Bergbauunternehmen, Bundes-, Landes- und Kommunalverwaltungen, Schulen und bestimmte Einzelhandelsunternehmen.</v>
    <v>0.83879999999999999</v>
    <v>53546534640</v>
    <v>Nasdaq Stock Market</v>
    <v>XNAS</v>
    <v>XNAS</v>
    <v>2001 Theurer Blvd, WINONA, MN, 55987 US</v>
    <v>46.95</v>
    <v>Machinery, Equipment &amp; Components</v>
    <v>Aktie</v>
    <v>42.619500000000002</v>
    <v>595</v>
    <v>46113.995295161716</v>
    <v>21602</v>
    <v>FASTENAL COMPANY</v>
    <v>46.21</v>
    <v>FASTENAL COMPANY</v>
    <v>46.55</v>
    <v>46.63</v>
    <v>46.4</v>
    <v>FAST</v>
    <v>FASTENAL COMPANY (XNAS:FAST)</v>
    <v>1968</v>
    <v>2</v>
    <v>8148317</v>
    <v>USD</v>
  </rv>
  <rv s="2">
    <v>596</v>
  </rv>
  <rv s="3">
    <fb>44.95</fb>
    <v>6</v>
  </rv>
  <rv s="0">
    <v>https://www.bing.com/financeapi/forcetrigger?t=a21ua2&amp;q=XNAS%3aREG&amp;form=skydnc</v>
    <v>Learn more on Bing</v>
  </rv>
  <rv s="1">
    <v>0</v>
    <v>1</v>
    <v>REGENCY CENTERS CORPORATION (XNAS:REG)</v>
    <v>3</v>
    <v>4</v>
    <v>Finance</v>
    <v>19</v>
    <v>de-DE</v>
    <v>a21ua2</v>
    <v>268435456</v>
    <v>1</v>
    <v>Unterstützt von Refinitiv</v>
    <v>79.894999999999996</v>
    <v>63.44</v>
    <v>0.45</v>
    <v>5.9480000000000002E-3</v>
    <v>183083400</v>
    <v>Die Regency Centers Corporation ist ein vollständig integriertes Immobilienunternehmen und ein selbstverwalteter und selbstverwalteter Immobilien-Investmentfonds. Das Unternehmen führt alle seine Aktivitäten über Regency Centers, L.P. (die Operating Partnership) durch. Das Unternehmen beschäftigt sich mit dem Erwerb, der Entwicklung, dem Besitz und dem Betrieb einkommensfördernder Einzelhandelsimmobilien, die hauptsächlich in den vorstädtischen Handelsgebieten mit überzeugender demografischer Entwicklung innerhalb der Vereinigten Staaten liegen. Das Portfolio umfasst rund 488 Immobilien. Zu den Anlagen gehören Amerige Heights Town Center, Friars Mission Center, Navajo Shopping Center, Point Loma Plaza, Rancho San Diego Village, Scripps Ranch Marketplace, Hub Hillcrest Market, Twin Peaks, 200 Potrero, Bayhill Shopping Center, Clayton Valley Shopping Center, Diablo Plaza, Encina Grande, Plaza Escuela, Pleasant Hill Shopping Center, Potrero Center, Corral Hollow, Serramonte Center, Bridgepark Plaza, Mercantile West, Mercantile East, Terrassengeschäfte, Sendero Marketplace und andere.</v>
    <v>0.92200000000000004</v>
    <v>13934477574</v>
    <v>Nasdaq Stock Market</v>
    <v>XNAS</v>
    <v>XNAS</v>
    <v>SUITE 114, ONE INDEPENDENT DRIVE, JACKSONVILLE, FL, 32202 US</v>
    <v>76.5</v>
    <v>Residential &amp; Commercial REIT</v>
    <v>Aktie</v>
    <v>27.055399999999999</v>
    <v>599</v>
    <v>46113.924373332811</v>
    <v>507</v>
    <v>REGENCY CENTERS CORPORATION</v>
    <v>75.38</v>
    <v>REGENCY CENTERS CORPORATION</v>
    <v>75.489999999999995</v>
    <v>76.11</v>
    <v>75.66</v>
    <v>REG</v>
    <v>REGENCY CENTERS CORPORATION (XNAS:REG)</v>
    <v>1993</v>
    <v>1272186</v>
    <v>1363498</v>
    <v>USD</v>
  </rv>
  <rv s="2">
    <v>600</v>
  </rv>
  <rv s="3">
    <fb>74.3</fb>
    <v>6</v>
  </rv>
  <rv s="0">
    <v>https://www.bing.com/financeapi/forcetrigger?t=a1udz2&amp;q=XNYS%3aGWW&amp;form=skydnc</v>
    <v>Learn more on Bing</v>
  </rv>
  <rv s="1">
    <v>0</v>
    <v>1</v>
    <v>W.W. GRAINGER, INC. (XNYS:GWW)</v>
    <v>3</v>
    <v>4</v>
    <v>Finance</v>
    <v>19</v>
    <v>de-DE</v>
    <v>a1udz2</v>
    <v>268435456</v>
    <v>1</v>
    <v>Unterstützt von Refinitiv</v>
    <v>1218.6300000000001</v>
    <v>893.99</v>
    <v>16.77</v>
    <v>1.5374000000000001E-2</v>
    <v>47329990</v>
    <v>W.W. Grainger, Inc. Ist ein broadline-Distributor von MRO-Produkten (Maintenance, Repair and Operating) für Unternehmen und Institutionen. Zu den Segmenten des Unternehmens gehören High-Touch Solutions North America (High-Touch Solutions N.A.) und Endless Sortiments. Das Segment High-Touch Solutions N.A. des Unternehmens bietet MRO-Lösungen mit Mehrwert. Dieses Segment umfasst vor allem die Grainger-Marken in den USA, Kanada, Mexiko und Puerto Rico. Das Segment Endless Ssortment des Unternehmens bietet eine Online-Plattform mit One-Stop-Shopping für verschiedene Produkte. Das Segment Endless Ssortment umfasst die Online-Kanäle Zoro Tools, Inc. (Zoro) und MonotaRO Co., Ltd. (MonotaRO) des Unternehmens, die überwiegend in den USA und Japan tätig sind. Das Produktangebot des Unternehmens ist in mehrere große Kategorien unterteilt, darunter Sicherheit und Sicherheit, Materialhandhabung und -Lagerung, Pumpen und Sanitärausrüstungen, Reinigung und Wartung, Metallbearbeitung und Handwerkzeuge.</v>
    <v>1.0923</v>
    <v>52421750324</v>
    <v>New York Stock Exchange</v>
    <v>XNYS</v>
    <v>XNYS</v>
    <v>100 Grainger Parkway, LAKE FOREST, IL, 60045-5201 US</v>
    <v>1112.81</v>
    <v>Machinery, Equipment &amp; Components</v>
    <v>Aktie</v>
    <v>31.172499999999999</v>
    <v>603</v>
    <v>46113.958333367969</v>
    <v>22100</v>
    <v>W.W. GRAINGER, INC.</v>
    <v>1093.0150000000001</v>
    <v>W.W. GRAINGER, INC.</v>
    <v>1094.08</v>
    <v>1107.58</v>
    <v>1090.81</v>
    <v>GWW</v>
    <v>W.W. GRAINGER, INC. (XNYS:GWW)</v>
    <v>1928</v>
    <v>215503</v>
    <v>251291</v>
    <v>USD</v>
  </rv>
  <rv s="2">
    <v>604</v>
  </rv>
  <rv s="3">
    <fb>1057.07</fb>
    <v>6</v>
  </rv>
  <rv s="0">
    <v>https://www.bing.com/financeapi/forcetrigger?t=a21uim&amp;q=XNAS%3aREGN&amp;form=skydnc</v>
    <v>Learn more on Bing</v>
  </rv>
  <rv s="1">
    <v>0</v>
    <v>1</v>
    <v>REGENERON PHARMACEUTICALS, INC. (XNAS:REGN)</v>
    <v>3</v>
    <v>4</v>
    <v>Finance</v>
    <v>5</v>
    <v>de-DE</v>
    <v>a21uim</v>
    <v>268435456</v>
    <v>1</v>
    <v>Unterstützt von Refinitiv</v>
    <v>821.11</v>
    <v>476.48689999999999</v>
    <v>4.6100000000000003</v>
    <v>5.9670000000000001E-3</v>
    <v>105719800</v>
    <v>Regeneron Pharmaceuticals, Inc. ist ein voll integriertes Biotechnologieunternehmen. Das Unternehmen erfindet, entwickelt, produziert und vermarktet Medikamente für Menschen mit schweren Krankheiten. Seine Produkte und Produktkandidaten in der Entwicklung sollen Patienten mit Augenerkrankungen, allergischen und entzündlichen Erkrankungen, Krebs, Herz-Kreislauf- und Stoffwechselerkrankungen, neurologischen Erkrankungen, hämatologischen Erkrankungen, Infektionskrankheiten und seltenen Krankheiten helfen. Das Unternehmen beschleunigt die Entwicklung von Medikamenten durch den Einsatz seiner firmeneigenen Technologien, wie z.B. VelociSuite, die optimierte vollständig menschliche Antikörper und neue Klassen bispezifischer Antikörper produziert. VelociSuite besteht aus VelocImmune, VelociGene, VelociMouse, VelociMab, Veloci-Bi, VelociT, VelociHum und anderen verwandten Technologien. Zu den vermarkteten Produkten gehören EYLEA (Aflibercept); Dupixent (Dupilumab); Libtayo (Cemiplimab); Ordspono (Odronextamab); Kevzara (Sarilumab); Itepekimab; Linvoseltamab und andere.</v>
    <v>0.39660000000000001</v>
    <v>82170714550</v>
    <v>Nasdaq Stock Market</v>
    <v>XNAS</v>
    <v>XNAS</v>
    <v>777 Old Saw Mill River Road, TARRYTOWN, NY, 10591 US</v>
    <v>781.21</v>
    <v>Pharmaceuticals</v>
    <v>Aktie</v>
    <v>18.522200000000002</v>
    <v>607</v>
    <v>46113.987204409372</v>
    <v>15410</v>
    <v>REGENERON PHARMACEUTICALS, INC.</v>
    <v>769.97</v>
    <v>REGENERON PHARMACEUTICALS, INC.</v>
    <v>775</v>
    <v>777.25</v>
    <v>772.64</v>
    <v>REGN</v>
    <v>REGENERON PHARMACEUTICALS, INC. (XNAS:REGN)</v>
    <v>1988</v>
    <v>5</v>
    <v>621252</v>
    <v>USD</v>
  </rv>
  <rv s="2">
    <v>608</v>
  </rv>
  <rv s="3">
    <fb>737.71</fb>
    <v>6</v>
  </rv>
  <rv s="0">
    <v>https://www.bing.com/financeapi/forcetrigger?t=a1uqpr&amp;q=XNYS%3aHLT&amp;form=skydnc</v>
    <v>Learn more on Bing</v>
  </rv>
  <rv s="1">
    <v>0</v>
    <v>1</v>
    <v>HILTON WORLDWIDE HOLDINGS INC. (XNYS:HLT)</v>
    <v>3</v>
    <v>4</v>
    <v>Finance</v>
    <v>19</v>
    <v>de-DE</v>
    <v>a1uqpr</v>
    <v>268435456</v>
    <v>1</v>
    <v>Unterstützt von Refinitiv</v>
    <v>333.86</v>
    <v>196.04</v>
    <v>4.18</v>
    <v>1.3746000000000001E-2</v>
    <v>229291600</v>
    <v>Hilton Worldwide Holdings Inc. ist ein weltweit tätiges Gastgewerbeunternehmen, das Hotels und Resorts verwaltet, franchisiert, besitzt und verpachtet und sein geistiges Eigentum, einschließlich Markennamen, Warenzeichen und Dienstleistungsmarken, lizenziert. Das Unternehmen verfügt über ein Portfolio von über 24 Marken mit mehr als 8.400 Hotels und mehr als 1,25 Millionen Zimmern in 140 Ländern und Gebieten. Das Unternehmen hat zwei Segmente: Management und Franchise sowie Eigentum. Das Management- und Franchise-Segment umfasst alle Hotels, die das Unternehmen für Dritte verwaltet, sowie alle Franchise-Hotels, die das geistige Eigentum des Unternehmens lizenzieren und/oder seine Buchungskanäle und damit verbundenen Programme nutzen und für die es andere vertragliche Dienstleistungen für Dritte erbringt. Das Eigentumssegment umfasst den nächtlichen Verkauf von Hotelzimmern, den Verkauf von Speisen und Getränken und andere Dienstleistungen in den konsolidierten eigenen und gepachteten Hotels. Zu den Marken gehören Waldorf Astoria Hotels &amp; Resorts, LXR Hotels &amp; Resorts, Conrad Hotels &amp; Resorts und andere.</v>
    <v>1.1097999999999999</v>
    <v>70681428616</v>
    <v>New York Stock Exchange</v>
    <v>XNYS</v>
    <v>XNYS</v>
    <v>7930 Jones Branch Dr Ste 1100, MCLEAN, VA, 22102 US</v>
    <v>309.05</v>
    <v>Hotels &amp; Entertainment Services</v>
    <v>Aktie</v>
    <v>50.354100000000003</v>
    <v>611</v>
    <v>46113.9993129625</v>
    <v>182000</v>
    <v>HILTON WORLDWIDE HOLDINGS INC.</v>
    <v>300.81</v>
    <v>HILTON WORLDWIDE HOLDINGS INC.</v>
    <v>304.35000000000002</v>
    <v>308.26</v>
    <v>304.08</v>
    <v>HLT</v>
    <v>HILTON WORLDWIDE HOLDINGS INC. (XNYS:HLT)</v>
    <v>2010</v>
    <v>1531589</v>
    <v>1887436</v>
    <v>USD</v>
  </rv>
  <rv s="2">
    <v>612</v>
  </rv>
  <rv s="3">
    <fb>294.04000000000002</fb>
    <v>6</v>
  </rv>
  <rv s="0">
    <v>https://www.bing.com/financeapi/forcetrigger?t=a23wlh&amp;q=XNYS%3aSYY&amp;form=skydnc</v>
    <v>Learn more on Bing</v>
  </rv>
  <rv s="1">
    <v>0</v>
    <v>1</v>
    <v>SYSCO CORPORATION (XNYS:SYY)</v>
    <v>3</v>
    <v>4</v>
    <v>Finance</v>
    <v>5</v>
    <v>de-DE</v>
    <v>a23wlh</v>
    <v>268435456</v>
    <v>1</v>
    <v>Unterstützt von Refinitiv</v>
    <v>91.844999999999999</v>
    <v>67.12</v>
    <v>0.84</v>
    <v>1.1776E-2</v>
    <v>478178300</v>
    <v>Die Sysco Corporation ist im Verkauf, Marketing und Vertrieb von Lebensmitteln an Restaurants, Gesundheits- und Bildungseinrichtungen, Unterkünfte und andere Kunden tätig, die Mahlzeiten außerhalb des Hauses zubereiten. Es liefert auch eine Vielzahl von Non-Food-Artikeln. Zu den Segmenten gehören U.S. Foodservice Operations, International Foodservice Operations, SYGMA und andere. Das Segment U.S. Foodservice Operations umfasst den Betrieb der USA Broadline und der USA Specialty Operations. International Foodservice Operations umfasst Aktivitäten außerhalb der Vereinigten Staaten. Das Segment SYGMA umfasst seine maßgeschneiderten Vertriebsaktivitäten in den USA, die Kundenstandorte von Schnellrestaurants in der Restaurantkette bedienen. Das Segment Sonstiges umfasst vor allem den Hotellieferbetrieb Guest Worldwide. Das Unternehmen vertreibt verschiedene Produkte wie Tiefkühlkost, frisches Fleisch und Meeresfrüchte, Milchprodukte, Getränkeprodukte, importierte Spezialitäten und frische Produkte. Das Unternehmen betreibt weltweit rund 340 Vertriebsstätten.</v>
    <v>0.69279999999999997</v>
    <v>34510127911</v>
    <v>New York Stock Exchange</v>
    <v>XNYS</v>
    <v>XNYS</v>
    <v>1390 Enclave Pkwy, HOUSTON, TX, 77077 US</v>
    <v>72.55</v>
    <v>Food &amp; Drug Retailing</v>
    <v>Aktie</v>
    <v>19.264600000000002</v>
    <v>615</v>
    <v>46113.999050995313</v>
    <v>75000</v>
    <v>SYSCO CORPORATION</v>
    <v>71.064999999999998</v>
    <v>SYSCO CORPORATION</v>
    <v>71.680000000000007</v>
    <v>72.17</v>
    <v>71.33</v>
    <v>SYY</v>
    <v>SYSCO CORPORATION (XNYS:SYY)</v>
    <v>1969</v>
    <v>59</v>
    <v>4467429</v>
    <v>USD</v>
  </rv>
  <rv s="2">
    <v>616</v>
  </rv>
  <rv s="3">
    <fb>81.8</fb>
    <v>6</v>
  </rv>
  <rv s="0">
    <v>https://www.bing.com/financeapi/forcetrigger?t=a1o1jc&amp;q=XNYS%3aAWK&amp;form=skydnc</v>
    <v>Learn more on Bing</v>
  </rv>
  <rv s="1">
    <v>0</v>
    <v>1</v>
    <v>AMERICAN WATER WORKS COMPANY, INC. (XNYS:AWK)</v>
    <v>3</v>
    <v>4</v>
    <v>Finance</v>
    <v>5</v>
    <v>de-DE</v>
    <v>a1o1jc</v>
    <v>268435456</v>
    <v>1</v>
    <v>Unterstützt von Refinitiv</v>
    <v>155.5</v>
    <v>121.27500000000001</v>
    <v>0.7</v>
    <v>5.1439999999999993E-3</v>
    <v>195280100</v>
    <v>American Water Works Company, Inc. Ist ein Wasser- und Abwasserunternehmen. Das Hauptgeschäft des Unternehmens umfasst das Eigentum an Versorgungsunternehmen, die Wasser- und Abwasserdienstleistungen für Wohn-, Gewerbe-, Industrie-, Behörden-, Feuerwehr- und Wiederverkaufskunden erbringen. Es betreibt auch andere Unternehmen, die der Regierung der Vereinigten Staaten Wasser- und Abwasserdienstleistungen für militärische Anlagen sowie Gemeinden anbieten. Das Unternehmen betreibt sein Geschäft über das Segment regulierte Geschäftsbereiche. Das Segment der regulierten Geschäftsbereiche umfasst Tochtergesellschaften, die Kunden in etwa 14 bundesstaaten Wasser- und Abwasserdienstleistungen anbieten. Die Versorgungsunternehmen des Unternehmens sind in bundesstaaten wie Pennsylvania, Georgia, Hawaii, Indiana, Iowa, Kentucky, Maryland, Tennessee, Virginia und West Virginia. Das Unternehmen betreut auch gewerbliche Kunden, Feuerwehren, industrielle Kunden, Behörden, andere Versorgungsunternehmen sowie kommunale Wasser- und Abwassersysteme.</v>
    <v>0.73450000000000004</v>
    <v>26712364879</v>
    <v>New York Stock Exchange</v>
    <v>XNYS</v>
    <v>XNYS</v>
    <v>1 Water Street, CAMDEN, NJ, 08102-1658 US</v>
    <v>137.45500000000001</v>
    <v>Water Utilities</v>
    <v>Aktie</v>
    <v>24.0091</v>
    <v>619</v>
    <v>46113.9866329625</v>
    <v>7000</v>
    <v>AMERICAN WATER WORKS COMPANY, INC.</v>
    <v>135.08000000000001</v>
    <v>AMERICAN WATER WORKS COMPANY, INC.</v>
    <v>135.08000000000001</v>
    <v>136.79</v>
    <v>136.09</v>
    <v>AWK</v>
    <v>AMERICAN WATER WORKS COMPANY, INC. (XNYS:AWK)</v>
    <v>1936</v>
    <v>17</v>
    <v>1884916</v>
    <v>USD</v>
  </rv>
  <rv s="2">
    <v>620</v>
  </rv>
  <rv s="3">
    <fb>136.86000000000001</fb>
    <v>6</v>
  </rv>
  <rv s="0">
    <v>https://www.bing.com/financeapi/forcetrigger?t=a1pxec&amp;q=XNYS%3aCMI&amp;form=skydnc</v>
    <v>Learn more on Bing</v>
  </rv>
  <rv s="1">
    <v>0</v>
    <v>1</v>
    <v>CUMMINS INC. (XNYS:CMI)</v>
    <v>3</v>
    <v>4</v>
    <v>Finance</v>
    <v>5</v>
    <v>de-DE</v>
    <v>a1pxec</v>
    <v>268435456</v>
    <v>1</v>
    <v>Unterstützt von Refinitiv</v>
    <v>617.98</v>
    <v>260.01889999999997</v>
    <v>12.07</v>
    <v>2.2433999999999999E-2</v>
    <v>138165500</v>
    <v>Cummins Inc. ist ein globales Unternehmen für Energielösungen. Die Segmente des Unternehmens sind Komponenten, Motor, Vertrieb, Power Systems und Accelera. Das Komponentensegment entwickelt, fertigt und liefert Produkte wie Achsen, Antriebsstränge, Bremsen und Aufhängungssysteme. Das Motorensegment fertigt und vermarktet eine Reihe von Diesel- und Erdgasmotoren unter dem Markennamen Cummins für den On- und Off-Highway-Markt. Das Vertriebssegment umfasst den Verkauf und die Unterstützung einer Reihe von Produkten und Dienstleistungen, darunter Stromerzeugungssysteme, Hochleistungsmotoren, schwere und mittelschwere Motoren und andere. Das Segment Power Systems ist ein Energieversorgungsunternehmen, das Motoren für industrielle Anwendungen, Stromaggregate, Generatoren und andere Produkte entwickelt, herstellt und vertreibt. Das Segment Accelera entwickelt, fertigt, vertreibt und unterstützt elektrifizierte Stromversorgungssysteme mit Komponenten und Subsystemen, einschließlich Batterie-, Brennstoffzellen-, Elektroantriebs- und Wasserstofferzeugungstechnologien.</v>
    <v>1.1398999999999999</v>
    <v>76003459895</v>
    <v>New York Stock Exchange</v>
    <v>XNYS</v>
    <v>XNYS</v>
    <v>500 JACKSON ST, BOX 3005 MAIL CODE 93050, COLUMBUS, IN, 47202-3005 US</v>
    <v>556.95249999999999</v>
    <v>Automobiles &amp; Auto Parts</v>
    <v>Aktie</v>
    <v>26.818100000000001</v>
    <v>623</v>
    <v>46113.997662765621</v>
    <v>67400</v>
    <v>CUMMINS INC.</v>
    <v>543.48220000000003</v>
    <v>CUMMINS INC.</v>
    <v>549.86</v>
    <v>550.09</v>
    <v>538.02</v>
    <v>CMI</v>
    <v>CUMMINS INC. (XNYS:CMI)</v>
    <v>1919</v>
    <v>20</v>
    <v>922619</v>
    <v>USD</v>
  </rv>
  <rv s="2">
    <v>624</v>
  </rv>
  <rv s="3">
    <fb>523.24</fb>
    <v>6</v>
  </rv>
  <rv s="4">
    <v>7</v>
    <v>8</v>
    <v>KENVUE INC. (XNYS:KVUE)</v>
    <v>9</v>
    <v>4</v>
    <v>Finance</v>
    <v>5</v>
    <v>de-DE</v>
    <v>c8ki6h</v>
    <v>268435456</v>
    <v>1</v>
    <v>Unterstützt von Refinitiv</v>
    <v>25.17</v>
    <v>14.02</v>
    <v>0.14000000000000001</v>
    <v>8.1209999999999997E-3</v>
    <v>1916732000</v>
    <v>Kenvue Inc. Ist ein Gesundheitsunternehmen für Konsumgüter. Das differenzierte Markenportfolio des Unternehmens umfasst Tylenol, Neutrogena, Listerine, Johnson's, BANDAID, Aveeno, Zyrtec und Nicorette. Es ist in drei Segmenten tätig: Self Care, Skin Health und Beauty und Essential Health. Seine Self Care Produktkategorien umfassen Schmerzpflege; Husten, Erkältung und Allergie; Verdauungsgesundheit; Raucherentwöhnung, Augenpflege und andere Produkte. Zu den Segmenten der Selbstpflege gehören Marken wie Tylenol, Motrin, Nicorette, Benadryl, Zyrtec, Zarbee's, ORSLTM, Rhinocort und Calpol. Das Segment Skin Health and Beauty konzentriert sich auf Gesichts- und Körperpflege sowie auf Haare, Sonne und andere Produkte. Das Segment Essential Health umfasst Mundpflege, Babypflege, Frauengesundheit, Wundversorgung und andere Produkte. Das Portfolio umfasst Self Care, Skin Health and Beauty und Essential Health Products, die mit Verbrauchern in Nordamerika, Asien-Pazifik-Raum (APAC), Europa, dem Nahen Osten und Afrika (EMEA) in Verbindung stehen. und Lateinamerika (LATAM).</v>
    <v>0.23</v>
    <v>33312802160</v>
    <v>New York Stock Exchange</v>
    <v>XNYS</v>
    <v>XNYS</v>
    <v>1 Kenvue Way, SUMMIT, NJ, 07901 US</v>
    <v>17.475000000000001</v>
    <v>Personal &amp; Household Products &amp; Services</v>
    <v>Aktie</v>
    <v>22.752600000000001</v>
    <v>46113.993795150003</v>
    <v>21780</v>
    <v>KENVUE INC.</v>
    <v>17.170000000000002</v>
    <v>KENVUE INC.</v>
    <v>17.23</v>
    <v>17.38</v>
    <v>17.239999999999998</v>
    <v>KVUE</v>
    <v>KENVUE INC. (XNYS:KVUE)</v>
    <v>2022</v>
    <v>479</v>
    <v>25540561</v>
    <v>USD</v>
  </rv>
  <rv s="2">
    <v>627</v>
  </rv>
  <rv s="3">
    <fb>17.52</fb>
    <v>6</v>
  </rv>
  <rv s="0">
    <v>https://www.bing.com/financeapi/forcetrigger?t=a24p1h&amp;q=XNAS%3aTXN&amp;form=skydnc</v>
    <v>Learn more on Bing</v>
  </rv>
  <rv s="1">
    <v>0</v>
    <v>1</v>
    <v>TEXAS INSTRUMENTS INCORPORATED (XNAS:TXN)</v>
    <v>3</v>
    <v>4</v>
    <v>Finance</v>
    <v>5</v>
    <v>de-DE</v>
    <v>a24p1h</v>
    <v>268435456</v>
    <v>1</v>
    <v>Unterstützt von Refinitiv</v>
    <v>231.32</v>
    <v>139.94999999999999</v>
    <v>2.16</v>
    <v>1.1126E-2</v>
    <v>910463400</v>
    <v>Texas Instruments Incorporated ist ein globales Halbleiterunternehmen, das analoge und eingebettete Verarbeitungschips für Märkte wie Industrie, Automobil, Unterhaltungselektronik, Kommunikationsgeräte und Unternehmenssysteme entwickelt, herstellt, testet und verkauft. Das Analogsegment umfasst Produktlinien wie Power und Signal Chain. Power umfasst Produkte, die Kunden bei der Verwaltung der Stromversorgung in elektronischen Systemen unterstützen. Das Portfolio ist darauf ausgelegt, den Strombedarf über verschiedene Spannungsebenen hinweg zu regeln, darunter Batteriemanagementlösungen, DC/DC-Schaltregler, AC/DC- und isolierte DC/DC-Schaltregler, Leistungsschalter, lineare und Low-Dropout-Regler, Spannungsreferenzen und mehr. Signal Chain umfasst Produkte, die reale Signale erfassen, aufbereiten und messen, um die Übertragung oder Umwandlung von Informationen zur weiteren Verarbeitung und Steuerung zu ermöglichen. Das Segment Embedded Processing umfasst Mikrocontroller, digitale Signalprozessoren (DSPs) und Anwendungsprozessoren.</v>
    <v>0.99470000000000003</v>
    <v>178723965420</v>
    <v>Nasdaq Stock Market</v>
    <v>XNAS</v>
    <v>XNAS</v>
    <v>12500 T I Blvd, DALLAS, TX, 75243-0592 US</v>
    <v>197.26</v>
    <v>Semiconductors &amp; Semiconductor Equipment</v>
    <v>Aktie</v>
    <v>35.820399999999999</v>
    <v>630</v>
    <v>46113.99764302031</v>
    <v>33000</v>
    <v>TEXAS INSTRUMENTS INCORPORATED</v>
    <v>194.28</v>
    <v>TEXAS INSTRUMENTS INCORPORATED</v>
    <v>194.28</v>
    <v>196.3</v>
    <v>194.14</v>
    <v>TXN</v>
    <v>TEXAS INSTRUMENTS INCORPORATED (XNAS:TXN)</v>
    <v>1938</v>
    <v>833</v>
    <v>6608167</v>
    <v>USD</v>
  </rv>
  <rv s="2">
    <v>631</v>
  </rv>
  <rv s="3">
    <fb>190.33</fb>
    <v>6</v>
  </rv>
  <rv s="0">
    <v>https://www.bing.com/financeapi/forcetrigger?t=a25552&amp;q=XNYS%3aRTX&amp;form=skydnc</v>
    <v>Learn more on Bing</v>
  </rv>
  <rv s="1">
    <v>0</v>
    <v>1</v>
    <v>RTX CORPORATION (XNYS:RTX)</v>
    <v>3</v>
    <v>4</v>
    <v>Finance</v>
    <v>5</v>
    <v>de-DE</v>
    <v>a25552</v>
    <v>268435456</v>
    <v>1</v>
    <v>Unterstützt von Refinitiv</v>
    <v>214.5</v>
    <v>112.27</v>
    <v>1.82</v>
    <v>9.4350000000000007E-3</v>
    <v>1345974000</v>
    <v>RTX Corporation ist ein Luft- und Raumfahrt- sowie Verteidigungsunternehmen, das fortschrittliche Systeme und Dienstleistungen für kommerzielle, militärische und staatliche Kunden weltweit anbietet. Das Unternehmen ist in drei Segmenten tätig: Collins Aerospace, Pratt &amp; Whitney, und Raytheon. Das Segment Collins Aerospace bietet technologisch fortschrittliche Luft- und Raumfahrt- und Verteidigungsprodukte sowie Servicelösungen für zivile und militärische Flugzeughersteller, kommerzielle Fluggesellschaften, die Regional-, Geschäfts- und allgemeine Luftfahrt sowie für Verteidigungs- und kommerzielle Raumfahrtunternehmen. Das Segment Pratt &amp; Whitney liefert Flugzeugtriebwerke für zivile und militärische Kunden, Geschäftsflugzeuge und die allgemeine Luftfahrt. Das Segment Raytheon bietet Defensiv- und Offensivfähigkeiten zur Erkennung, Verfolgung und Abwehr von Bedrohungen für US-amerikanische und ausländische Regierungs- und Geschäftskunden. Raytheon entwirft, entwickelt und liefert fortschrittliche Fähigkeiten in den Bereichen integrierte Luft- und Raketenabwehr, intelligente Waffen, Raketen und andere.</v>
    <v>0.42809999999999998</v>
    <v>262088057280</v>
    <v>New York Stock Exchange</v>
    <v>XNYS</v>
    <v>XNYS</v>
    <v>1000 Wilson Blvd, ARLINGTON, VA, 22209 US</v>
    <v>196.64</v>
    <v>Aerospace &amp; Defense</v>
    <v>Aktie</v>
    <v>39.233199999999997</v>
    <v>634</v>
    <v>46113.999423633592</v>
    <v>180000</v>
    <v>RTX CORPORATION</v>
    <v>193.55</v>
    <v>RTX CORPORATION</v>
    <v>194.47</v>
    <v>194.72</v>
    <v>192.9</v>
    <v>RTX</v>
    <v>RTX CORPORATION (XNYS:RTX)</v>
    <v>1934</v>
    <v>1080</v>
    <v>6134150</v>
    <v>USD</v>
  </rv>
  <rv s="2">
    <v>635</v>
  </rv>
  <rv s="3">
    <fb>189.71</fb>
    <v>6</v>
  </rv>
  <rv s="0">
    <v>https://www.bing.com/financeapi/forcetrigger?t=a1usr7&amp;q=XNAS%3aHOLX&amp;form=skydnc</v>
    <v>Learn more on Bing</v>
  </rv>
  <rv s="1">
    <v>0</v>
    <v>1</v>
    <v>HOLOGIC, INC. (XNAS:HOLX)</v>
    <v>3</v>
    <v>4</v>
    <v>Finance</v>
    <v>19</v>
    <v>de-DE</v>
    <v>a1usr7</v>
    <v>268435456</v>
    <v>1</v>
    <v>Unterstützt von Refinitiv</v>
    <v>75.78</v>
    <v>51.9</v>
    <v>0.01</v>
    <v>1.3230000000000002E-4</v>
    <v>223244900</v>
    <v>Hologic, Inc. Ist ein Medizintechnikunternehmen, das sich auf die Verbesserung der Gesundheit und des Wohlbefindens von Frauen durch Früherkennung und Behandlung konzentriert. Es ist Entwickler, Hersteller und Lieferant von Diagnostikprodukten, medizinischen Bildgebungssystemen und chirurgischen Produkten. Zu den Segmenten gehören die Diagnostik, die Brustgesundheit, die Gynäkologie und die Skelettgesundheit. Das Segment Diagnostics bietet eine Reihe diagnostischer Produkte, die bei der Früherkennung und Diagnose von Erkrankungen des Menschen eingesetzt werden. Das Segment Breast Health bietet ein Portfolio an Lösungen für die Brustkrebsversorgung in den Bereichen Radiologie, Brustchirurgie, Pathologie und Behandlung. Außerdem bietet es Lösungen zur drahtlosen Lokalisierung der Brustchirurgie und zur Lymphkurve. Zu den Produkten des Segments GYN Surgical gehören das hysteroskopische Gewebeentfernungssystem MyoSure, das Endometriumablationssystem NovaSure, das Fluent Fluid Management System und das laparoskopische Hochfrequenzablationssystem Acessa ProVu. Zu den Produkten des Segments Skeletal Health gehören Horizon DXA Systeme und Fluoroscan Insight FD.</v>
    <v>0.7036</v>
    <v>16877314439</v>
    <v>Nasdaq Stock Market</v>
    <v>XNAS</v>
    <v>XNAS</v>
    <v>250 Campus Drive, MARLBOROUGH, MA, 01752 US</v>
    <v>75.715000000000003</v>
    <v>Healthcare Equipment &amp; Supplies</v>
    <v>Aktie</v>
    <v>31.3749</v>
    <v>638</v>
    <v>46113.924371353904</v>
    <v>7070</v>
    <v>HOLOGIC, INC.</v>
    <v>75.540000000000006</v>
    <v>HOLOGIC, INC.</v>
    <v>75.56</v>
    <v>75.599999999999994</v>
    <v>75.59</v>
    <v>HOLX</v>
    <v>HOLOGIC, INC. (XNAS:HOLX)</v>
    <v>1990</v>
    <v>2309512</v>
    <v>3188733</v>
    <v>USD</v>
  </rv>
  <rv s="2">
    <v>639</v>
  </rv>
  <rv s="3">
    <fb>75.67</fb>
    <v>6</v>
  </rv>
  <rv s="0">
    <v>https://www.bing.com/financeapi/forcetrigger?t=c4655r&amp;q=XASX%3aIPG&amp;form=skydnc</v>
    <v>Learn more on Bing</v>
  </rv>
  <rv s="1">
    <v>0</v>
    <v>1</v>
    <v>Ipd Group (XASX:IPG)</v>
    <v>3</v>
    <v>26</v>
    <v>Finance</v>
    <v>27</v>
    <v>de-DE</v>
    <v>c4655r</v>
    <v>268435456</v>
    <v>1</v>
    <v>Unterstützt von Refinitiv</v>
    <v>5.22</v>
    <v>2.75</v>
    <v>0.18</v>
    <v>3.9474000000000002E-2</v>
    <v>103980100</v>
    <v>IPD Group Ltd is an Australia-based automation and electrical distributor. The Company's Products division is engaged in the sale of electrical infrastructure products to customers, including switchboard manufacturers, electrical wholesalers, electrical contractors, power utilities, original equipment manufacturers (OEMs) and system integrators. Within the division there are five categories of products: power distribution, industrial and motor control, automation and industrial communication, power monitoring, and hazardous area equipment. In addition to selling products, it provides a range of value-added services, including custom assembly, sourcing, engineering design, technical compliance, procurement, transport, storage, regulatory management, technical support, packaging, labelling, inventory management and delivery. Its Services division is engaged in provision of services, including installation and commissioning, calibration and testing, maintenance, and repairs, and others.</v>
    <v>0.99860000000000004</v>
    <v>461097100</v>
    <v>Australian Securities Exchange</v>
    <v>XASX</v>
    <v>XASX</v>
    <v>43 Newton Road, Wetherill Park, SYDNEY, NEW SOUTH WALES, 2164 AU</v>
    <v>4.78</v>
    <v>Machinery, Equipment &amp; Components</v>
    <v>Aktie</v>
    <v>18.301200000000001</v>
    <v>642</v>
    <v>46114.326388888891</v>
    <v>625</v>
    <v>Ipd Group</v>
    <v>4.5599999999999996</v>
    <v>Ipd Group</v>
    <v>4.5599999999999996</v>
    <v>4.74</v>
    <v>4.5599999999999996</v>
    <v>IPG</v>
    <v>Ipd Group (XASX:IPG)</v>
    <v>2004</v>
    <v>89210</v>
    <v>130270</v>
    <v>AUD</v>
  </rv>
  <rv s="2">
    <v>643</v>
  </rv>
  <rv s="3">
    <fb>4.22</fb>
    <v>28</v>
  </rv>
  <rv s="0">
    <v>https://www.bing.com/financeapi/forcetrigger?t=a249r7&amp;q=XNYS%3aTJX&amp;form=skydnc</v>
    <v>Learn more on Bing</v>
  </rv>
  <rv s="1">
    <v>0</v>
    <v>1</v>
    <v>THE TJX COMPANIES, INC. (XNYS:TJX)</v>
    <v>3</v>
    <v>4</v>
    <v>Finance</v>
    <v>5</v>
    <v>de-DE</v>
    <v>a249r7</v>
    <v>268435456</v>
    <v>1</v>
    <v>Unterstützt von Refinitiv</v>
    <v>162.6799</v>
    <v>116.37</v>
    <v>2.33</v>
    <v>1.4590000000000001E-2</v>
    <v>1110467000</v>
    <v>TJX Companies, Inc. Ist ein preisgünstiges Einzelhandelsunternehmen für Bekleidung und Heimmode in den USA und weltweit. Zu den Segmenten des Unternehmens gehören Marmaxx und HomeGoods in den USA, TJX Canada und TJX International, einschließlich Europa und Australien. Die Ketten TJ Maxx und Marshalls verkaufen Familienbekleidung, einschließlich Schuhe und Accessoires, Heimmode, einschließlich Basics für Zuhause, dekorative Accessoires, Geschenkartikel und andere Waren. Das Segment HomeGoods betreibt HomeGoods- und Homesense-Ketten. HomeGoods bietet ein vielseitiges Sortiment an Wohnmoden, darunter Möbel, Teppiche, Beleuchtung, weiches Zuhause, dekoratives Zubehör, Tischplatte und Kochgeschirr sowie Abteilungen für erweiterte Haustier- und Gourmetgerichte. Das Segment TJX Canada betreibt die Ketten Winners, HomeSense und Marshalls in Kanada und bietet eine Reihe von Wohnaccessoires, Möbeln und saisonalen Hausartikeln an. Das Segment TJX International betreibt die Ketten TK Maxx und Homesense in Europa und die Ketten TK Maxx in Australien.</v>
    <v>0.72709999999999997</v>
    <v>179928968010</v>
    <v>New York Stock Exchange</v>
    <v>XNYS</v>
    <v>XNYS</v>
    <v>770 Cochituate Rd, FRAMINGHAM, MA, 01701 US</v>
    <v>162.37</v>
    <v>Diversified Retail</v>
    <v>Aktie</v>
    <v>35.780799999999999</v>
    <v>646</v>
    <v>46113.999857128903</v>
    <v>364000</v>
    <v>THE TJX COMPANIES, INC.</v>
    <v>160</v>
    <v>THE TJX COMPANIES, INC.</v>
    <v>160.46</v>
    <v>162.03</v>
    <v>159.69999999999999</v>
    <v>TJX</v>
    <v>THE TJX COMPANIES, INC. (XNYS:TJX)</v>
    <v>1962</v>
    <v>82</v>
    <v>4847038</v>
    <v>USD</v>
  </rv>
  <rv s="2">
    <v>647</v>
  </rv>
  <rv s="3">
    <fb>155.12</fb>
    <v>6</v>
  </rv>
  <rv s="0">
    <v>https://www.bing.com/financeapi/forcetrigger?t=az6zf2&amp;q=XNYS%3aWELL&amp;form=skydnc</v>
    <v>Learn more on Bing</v>
  </rv>
  <rv s="1">
    <v>0</v>
    <v>1</v>
    <v>WELLTOWER INC. (XNYS:WELL)</v>
    <v>3</v>
    <v>4</v>
    <v>Finance</v>
    <v>5</v>
    <v>de-DE</v>
    <v>az6zf2</v>
    <v>268435456</v>
    <v>1</v>
    <v>Unterstützt von Refinitiv</v>
    <v>216.43</v>
    <v>130.29</v>
    <v>1.1499999999999999</v>
    <v>5.8170000000000001E-3</v>
    <v>697752500</v>
    <v>Welltower Inc. Ist ein Infrastrukturunternehmen für Wohn- und Wellness- und Gesundheitseinrichtungen. Das Unternehmen will sein Portfolio von über 1.500 Senioren- und Wellness-Wohngemeinschaften an der Schnittstelle von Wohnen, Gesundheitswesen und Gastgewerbe positionieren und Gemeinden für Erwachsene und ältere Erwachsene in den Vereinigten Staaten, Großbritannien und Kanada schaffen. Zu den Segmenten gehören Seniors Housing Operating, Triple-net und Ampatient Medical. Zu den Betriebsimmobilien für Seniorenwohnungen gehören Seniorenwohnungen, betreute Wohngemeinschaften, unabhängige Wohn-/Pflegeeinrichtungen, unabhängige unterstützende Wohngemeinschaften (Kanada), Pflegeheime mit und ohne Pflege (Vereinigtes Königreich) und Kombinationen daraus. Zu den drei-Netz-Grundstücken gehören die Grundstückstypen, die unter Seniorenwohnheimen betrieben werden, sowie langfristige/postakute Pflegeeinrichtungen. Das ambulante medizinische Portfolio ist in erster Linie selbstverwaltet und besteht aus Mehrmietobjekten, die an Gesundheitsdienstleister vermietet werden.</v>
    <v>0.82130000000000003</v>
    <v>138755062150</v>
    <v>New York Stock Exchange</v>
    <v>XNYS</v>
    <v>XNYS</v>
    <v>4500 Dorr Street, TOLEDO, OH, 43615 US</v>
    <v>200.34</v>
    <v>Residential &amp; Commercial REIT</v>
    <v>Aktie</v>
    <v>0</v>
    <v>650</v>
    <v>46113.958333356248</v>
    <v>712</v>
    <v>WELLTOWER INC.</v>
    <v>196.93049999999999</v>
    <v>WELLTOWER INC.</v>
    <v>197.75</v>
    <v>198.86</v>
    <v>197.71</v>
    <v>WELL</v>
    <v>WELLTOWER INC. (XNYS:WELL)</v>
    <v>2022</v>
    <v>1</v>
    <v>3269905</v>
    <v>USD</v>
  </rv>
  <rv s="2">
    <v>651</v>
  </rv>
  <rv s="3">
    <fb>195.77</fb>
    <v>6</v>
  </rv>
  <rv s="0">
    <v>https://www.bing.com/financeapi/forcetrigger?t=a1zk27&amp;q=XNAS%3aPCAR&amp;form=skydnc</v>
    <v>Learn more on Bing</v>
  </rv>
  <rv s="1">
    <v>0</v>
    <v>1</v>
    <v>PACCAR INC (XNAS:PCAR)</v>
    <v>3</v>
    <v>4</v>
    <v>Finance</v>
    <v>19</v>
    <v>de-DE</v>
    <v>a1zk27</v>
    <v>268435456</v>
    <v>1</v>
    <v>Unterstützt von Refinitiv</v>
    <v>131.875</v>
    <v>83.584500000000006</v>
    <v>2.15</v>
    <v>1.8615E-2</v>
    <v>526263000</v>
    <v>PACCAR Inc. ist ein multinationales Unternehmen, das in drei Hauptgeschäftsfeldern tätig ist. Das Lkw-Segment umfasst die Entwicklung, Herstellung und den Vertrieb von leichten, mittelschweren und schweren Nutzfahrzeugen. Schwere Lkw haben ein zulässiges Gesamtgewicht von über 33.000 lbs (Klasse 8) in Nordamerika und über 16 Tonnen in Europa und Südamerika. Mittelschwere Lkw haben in Nordamerika ein zulässiges Gesamtgewicht von 19.500 bis 33.000 lbs (Klasse 6 bis 7), und in Europa liegen leichte und mittelschwere Lkw zwischen 6 und 16 Tonnen. Die Lkw sind so konfiguriert, dass der Motor vor dem Fahrerhaus (konventionell) oder im Fahrerhaus über dem Motor (COE) eingebaut ist. Das Segment Ersatzteile umfasst den Vertrieb von Ersatzteilen für Lkw und verwandte Nutzfahrzeuge. Das Segment Finanzdienstleistungen umfasst Finanzierungs- und Leasingprodukte und -dienstleistungen für Kunden und Händler. Die Finanzierungs- und Leasingaktivitäten beziehen sich in erster Linie auf die Produkte des Unternehmens und die dazugehörige Ausrüstung.</v>
    <v>1.0628</v>
    <v>61914841950</v>
    <v>Nasdaq Stock Market</v>
    <v>XNAS</v>
    <v>XNAS</v>
    <v>777 106th Avenue NE, BELLEVUE, WA, 98004 US</v>
    <v>118</v>
    <v>Machinery, Equipment &amp; Components</v>
    <v>Aktie</v>
    <v>26.087199999999999</v>
    <v>654</v>
    <v>46113.924373553127</v>
    <v>25900</v>
    <v>PACCAR INC</v>
    <v>115.77500000000001</v>
    <v>PACCAR INC</v>
    <v>115.77500000000001</v>
    <v>117.65</v>
    <v>115.5</v>
    <v>PCAR</v>
    <v>PACCAR INC (XNAS:PCAR)</v>
    <v>1971</v>
    <v>2646363</v>
    <v>2973151</v>
    <v>USD</v>
  </rv>
  <rv s="2">
    <v>655</v>
  </rv>
  <rv s="3">
    <fb>112.75</fb>
    <v>6</v>
  </rv>
  <rv s="0">
    <v>https://www.bing.com/financeapi/forcetrigger?t=a1vc52&amp;q=XNYS%3aIEX&amp;form=skydnc</v>
    <v>Learn more on Bing</v>
  </rv>
  <rv s="1">
    <v>0</v>
    <v>1</v>
    <v>IDEX CORPORATION (XNYS:IEX)</v>
    <v>3</v>
    <v>4</v>
    <v>Finance</v>
    <v>19</v>
    <v>de-DE</v>
    <v>a1vc52</v>
    <v>268435456</v>
    <v>1</v>
    <v>Unterstützt von Refinitiv</v>
    <v>217.155</v>
    <v>153.36000000000001</v>
    <v>2.4300000000000002</v>
    <v>1.282E-2</v>
    <v>74202620</v>
    <v>IDEX Corporation ist ein globaler Anbieter von Anwendungslösungen. Das Unternehmen entwirft und baut technische Produkte und unternehmenskritische Komponenten. Zu den Segmenten zählen Fluid &amp; Metering Technologies (FMT), Health &amp; Science Technologies (HST) und Fire &amp; Safety/Diversified Products (FSDP). Das Segment FMT entwirft, produziert und vertreibt Verdrängerpumpen, Ventile, Kleinvolumenprüfer, Durchflussmesser, Einspritzdüsen und andere Pumpenmodule und Systeme zur Förderung von Flüssigkeiten und bietet Durchflussüberwachung und andere Dienstleistungen an. Das HST-Segment entwickelt, produziert und vertreibt eine Reihe von Präzisionsflüssigkeitspumpen, Verdrängerpumpen, Pulver- und Flüssigkeitstechnologien, Trocknungssysteme, Mikropräzisionskomponenten, pneumatische Komponenten und Dichtungslösungen und andere. Das FSDP-Segment entwickelt, produziert und vertreibt Feuerlöschpumpen, -Ventile und -Steuerungen, Rettungswerkzeuge, Hebesäcke und andere Komponenten und Systeme, entwickelte Band- und Spannvorrichtungen aus Edelstahl und andere.</v>
    <v>0.98009999999999997</v>
    <v>14245418987</v>
    <v>New York Stock Exchange</v>
    <v>XNYS</v>
    <v>XNYS</v>
    <v>3100 Sanders Road, Suite 301, NORTHBROOK, IL, 60062 US</v>
    <v>192.87</v>
    <v>Machinery, Equipment &amp; Components</v>
    <v>Aktie</v>
    <v>29.935700000000001</v>
    <v>658</v>
    <v>46113.958333356248</v>
    <v>8700</v>
    <v>IDEX CORPORATION</v>
    <v>189.155</v>
    <v>IDEX CORPORATION</v>
    <v>190.52</v>
    <v>191.98</v>
    <v>189.55</v>
    <v>IEX</v>
    <v>IDEX CORPORATION (XNYS:IEX)</v>
    <v>1987</v>
    <v>724722</v>
    <v>863627</v>
    <v>USD</v>
  </rv>
  <rv s="2">
    <v>659</v>
  </rv>
  <rv s="3">
    <fb>186.55</fb>
    <v>6</v>
  </rv>
  <rv s="0">
    <v>https://www.bing.com/financeapi/forcetrigger?t=a1vrec&amp;q=XNYS%3aIRM&amp;form=skydnc</v>
    <v>Learn more on Bing</v>
  </rv>
  <rv s="1">
    <v>0</v>
    <v>1</v>
    <v>IRON MOUNTAIN INCORPORATED (XNYS:IRM)</v>
    <v>3</v>
    <v>4</v>
    <v>Finance</v>
    <v>5</v>
    <v>de-DE</v>
    <v>a1vrec</v>
    <v>268435456</v>
    <v>1</v>
    <v>Unterstützt von Refinitiv</v>
    <v>115.24</v>
    <v>72.33</v>
    <v>-1.19</v>
    <v>-1.1651E-2</v>
    <v>297478800</v>
    <v>Iron Mountain Incorporated ist ein Anbieter von Informationsmanagement-Dienstleistungen. Das Unternehmen bietet eine Reihe von Dienstleistungen für die Bereiche digitale Transformation, Informationssicherheit, Rechenzentren und Asset-Lifecycle-Management (ALM). Das Unternehmen unterstützt Unternehmen dabei, den Wert und die Erkenntnisse aus ihren gespeicherten digitalen und physischen Ressourcen zu schöpfen und die Arbeit seiner Kunden zu schützen. Das Unternehmen ist in zwei Segmenten tätig: Global Records and Information Management (Global RIM) Business und Global Data Center Business. Das Segment Global RIM Business bietet verschiedene Angebote, darunter Records Management, Datenmanagement, globale digitale Lösungen, sichere Aktenvernichtung, Unterhaltungsdienste und Verbraucherspeicher. Das Segment Global Data Center Business stellt Rechenzentrumseinrichtungen und -kapazitäten bereit, um unternehmenskritische Ressourcen zu schützen und den kontinuierlichen Betrieb der IT-Infrastruktur seiner Kunden mit flexiblen Rechenzentrumsoptionen sicherzustellen.</v>
    <v>1.1517999999999999</v>
    <v>30030484860</v>
    <v>New York Stock Exchange</v>
    <v>XNYS</v>
    <v>XNYS</v>
    <v>85 New Hampshire Avenue, Suite 150, Pease International Tradeport, PORTSMOUTH, NH, 03801 US</v>
    <v>104.08</v>
    <v>Residential &amp; Commercial REIT</v>
    <v>Aktie</v>
    <v>208.73830000000001</v>
    <v>662</v>
    <v>46113.980491122653</v>
    <v>29400</v>
    <v>IRON MOUNTAIN INCORPORATED</v>
    <v>100.9</v>
    <v>IRON MOUNTAIN INCORPORATED</v>
    <v>103.06</v>
    <v>100.95</v>
    <v>102.14</v>
    <v>IRM</v>
    <v>IRON MOUNTAIN INCORPORATED (XNYS:IRM)</v>
    <v>2014</v>
    <v>3</v>
    <v>1571049</v>
    <v>USD</v>
  </rv>
  <rv s="2">
    <v>663</v>
  </rv>
  <rv s="3">
    <fb>98.3</fb>
    <v>6</v>
  </rv>
  <rv s="0">
    <v>https://www.bing.com/financeapi/forcetrigger?t=a1ythw&amp;q=XNYS%3aNUE&amp;form=skydnc</v>
    <v>Learn more on Bing</v>
  </rv>
  <rv s="1">
    <v>0</v>
    <v>1</v>
    <v>NUCOR CORPORATION (XNYS:NUE)</v>
    <v>3</v>
    <v>4</v>
    <v>Finance</v>
    <v>5</v>
    <v>de-DE</v>
    <v>a1ythw</v>
    <v>268435456</v>
    <v>1</v>
    <v>Unterstützt von Refinitiv</v>
    <v>196.89500000000001</v>
    <v>97.59</v>
    <v>4.62</v>
    <v>2.7320999999999998E-2</v>
    <v>227735600</v>
    <v>Nucor Corporation ist ein Hersteller von Stahl und Stahlprodukten mit Betriebsstätten in den USA, Kanada und Mexiko. Das Unternehmen produziert und beschafft auch Eisen- und Nichteisenmaterialien, die hauptsächlich für die Stahlherstellung bestimmt sind. Zu den Segmenten zählen Stahlwerke, Stahlerzeugnisse und Rohstoffe. Zu den Produkten gehören Kohlenstoffstahl und legierter Stahl in Stangen, Balken, Blechen und Platten; Rohrleitungen für Hohlbauteile; elektrische Leitungen; Stahlregale; Stahlpfähle; Stahlträger und Träger; Stahltrapezträger; Stahltrapezbleche; Stahlbetonverstärkungsstahl; kaltgefertigter Stahl; Präzisionsguss; Stahlbefestigungen; Metallbausysteme; isolierte Metallpaneele, Überkopftüren, Stahlgitter, Draht- und Drahtgeflecht sowie Versorgungsstrukturen. Das Unternehmen verhandelt über die David J. Joseph Company und ihre Tochtergesellschaften auch Eisen- und Nichteisenmetalle, Roheisen und warmbrikettiertes Eisen/direkt reduziertes Eisen, liefert Ferrolegierungen und verarbeitet Eisen- und Nichteisenschrott.</v>
    <v>1.7450000000000001</v>
    <v>39562228432</v>
    <v>New York Stock Exchange</v>
    <v>XNYS</v>
    <v>XNYS</v>
    <v>1915 REXFORD RD, CHARLOTTE, NC, 28211 US</v>
    <v>175.28</v>
    <v>Metals &amp; Mining</v>
    <v>Aktie</v>
    <v>23.058700000000002</v>
    <v>666</v>
    <v>46113.999192742966</v>
    <v>33000</v>
    <v>NUCOR CORPORATION</v>
    <v>170.96</v>
    <v>NUCOR CORPORATION</v>
    <v>171.25</v>
    <v>173.72</v>
    <v>169.1</v>
    <v>NUE</v>
    <v>NUCOR CORPORATION (XNYS:NUE)</v>
    <v>1958</v>
    <v>1</v>
    <v>1471040</v>
    <v>USD</v>
  </rv>
  <rv s="2">
    <v>667</v>
  </rv>
  <rv s="3">
    <fb>163.37</fb>
    <v>6</v>
  </rv>
  <rv s="0">
    <v>https://www.bing.com/financeapi/forcetrigger?t=a1tctc&amp;q=XNYS%3aFRT&amp;form=skydnc</v>
    <v>Learn more on Bing</v>
  </rv>
  <rv s="1">
    <v>0</v>
    <v>1</v>
    <v>FEDERAL REALTY INVESTMENT TRUST (XNYS:FRT)</v>
    <v>3</v>
    <v>4</v>
    <v>Finance</v>
    <v>19</v>
    <v>de-DE</v>
    <v>a1tctc</v>
    <v>268435456</v>
    <v>1</v>
    <v>Unterstützt von Refinitiv</v>
    <v>110.88500000000001</v>
    <v>80.650000000000006</v>
    <v>0.98</v>
    <v>9.3259999999999992E-3</v>
    <v>86388210</v>
    <v>Der Federal Realty Investment Trust (der Trust) ist ein Immobilienfonds (REIT). Der Trust ist auf den Besitz, die Verwaltung und die Sanierung von Einzelhandels- und Mixed-Use-Immobilien spezialisiert, die sich hauptsächlich in Gemeinden im Nordosten und Mittelatlantik der Vereinigten Staaten, Kalifornien und Südflorida befinden. Das Portfolio umfasst den Einzelhandel in vielen Formaten, von regionalen, kommunalen und benachbarten Einkaufszentren, die oft in Lebensmittelgeschäften verankert sind, bis hin zu gemischten Immobilien, die sich um eine Einzelhandelskomponente, aber auch Wohn- und Bürokomponenten konzentrieren. Der Trust hat über 104 Immobilien, darunter etwa 3.500 Mieter auf 27 Millionen Quadratmetern und etwa 3.100 Wohneinheiten. Das Immobilienportfolio umfasst Assembly Square, Andorra Shopping Center, Assembly Row, Bala Cynwyd auf der City Avenue, Town Center Plaza, Town Center Crossing, Del Monte Shopping Center und andere.</v>
    <v>0.99209999999999998</v>
    <v>9162333552</v>
    <v>New York Stock Exchange</v>
    <v>XNYS</v>
    <v>XNYS</v>
    <v>909 Rose Avenue, Suite 200, NORTH BETHESDA, MD, 20852 US</v>
    <v>106.46</v>
    <v>Residential &amp; Commercial REIT</v>
    <v>Aktie</v>
    <v>22.795000000000002</v>
    <v>670</v>
    <v>46113.958333367969</v>
    <v>314</v>
    <v>FEDERAL REALTY INVESTMENT TRUST</v>
    <v>104.31</v>
    <v>FEDERAL REALTY INVESTMENT TRUST</v>
    <v>104.31</v>
    <v>106.06</v>
    <v>105.08</v>
    <v>FRT</v>
    <v>FEDERAL REALTY INVESTMENT TRUST (XNYS:FRT)</v>
    <v>2021</v>
    <v>1</v>
    <v>762694</v>
    <v>USD</v>
  </rv>
  <rv s="2">
    <v>671</v>
  </rv>
  <rv s="3">
    <fb>102.87</fb>
    <v>6</v>
  </rv>
  <rv s="0">
    <v>https://www.bing.com/financeapi/forcetrigger?t=a23p6h&amp;q=XNAS%3aSTLD&amp;form=skydnc</v>
    <v>Learn more on Bing</v>
  </rv>
  <rv s="1">
    <v>0</v>
    <v>1</v>
    <v>STEEL DYNAMICS, INC. (XNAS:STLD)</v>
    <v>3</v>
    <v>4</v>
    <v>Finance</v>
    <v>5</v>
    <v>de-DE</v>
    <v>a23p6h</v>
    <v>268435456</v>
    <v>1</v>
    <v>Unterstützt von Refinitiv</v>
    <v>208.47</v>
    <v>103.17</v>
    <v>2.85</v>
    <v>1.5833E-2</v>
    <v>144722200</v>
    <v>Steel Dynamics, Inc. Ist ein Unternehmen für industrielle Metalllösungen. Das Segment Steel Operations besteht aus seinen EAF-Stahlwerken, die Stahl aus eisenhaltigem Schrott und Schrott herstellen, Stranggieß- und automatisierten Walzwerken sowie zahlreichen Stahlbeschichtungs-, Verarbeitungs- und Lagerbetrieben einsetzen. Das Segment Metals Recycling Operations umfasst seine OmniSource-Dienstleistungen für die Verarbeitung von Eisen- und Nichteisenmetallen, den Transport, das Marketing, die Vermittlung und die Entsorgung von Schrott hauptsächlich in den Vereinigten Staaten sowie in Zentral- und Nordmexiko. Das Segment Steel Fabrication Operations umfasst die Balken- und Deckswerke von New Millennium Building Systems in den Vereinigten Staaten und im Norden Mexikos. Das Segment Aluminum Operations umfasst die Fabrik für flachgewalzte Produkte aus recyceltem Aluminium, die in Columbus, Mississippi, gebaut wird, und zwei Satellitenzentren für recycelte Aluminiumplatten im Südwesten der USA und in Zentralmexiko.</v>
    <v>1.4001999999999999</v>
    <v>26462454270</v>
    <v>Nasdaq Stock Market</v>
    <v>XNAS</v>
    <v>XNAS</v>
    <v>7575 W JEFFERSON BLVD, FORT WAYNE, IN, 46804 US</v>
    <v>184.94</v>
    <v>Metals &amp; Mining</v>
    <v>Aktie</v>
    <v>22.8581</v>
    <v>674</v>
    <v>46113.992025335159</v>
    <v>14400</v>
    <v>STEEL DYNAMICS, INC.</v>
    <v>181.2</v>
    <v>STEEL DYNAMICS, INC.</v>
    <v>181.97</v>
    <v>182.85</v>
    <v>180</v>
    <v>STLD</v>
    <v>STEEL DYNAMICS, INC. (XNAS:STLD)</v>
    <v>1994</v>
    <v>34</v>
    <v>1232075</v>
    <v>USD</v>
  </rv>
  <rv s="2">
    <v>675</v>
  </rv>
  <rv s="3">
    <fb>170.97</fb>
    <v>6</v>
  </rv>
  <rv s="0">
    <v>https://www.bing.com/financeapi/forcetrigger?t=a25xjc&amp;q=XNYS%3aWM&amp;form=skydnc</v>
    <v>Learn more on Bing</v>
  </rv>
  <rv s="1">
    <v>0</v>
    <v>1</v>
    <v>WASTE MANAGEMENT, INC. (XNYS:WM)</v>
    <v>3</v>
    <v>4</v>
    <v>Finance</v>
    <v>5</v>
    <v>de-DE</v>
    <v>a25xjc</v>
    <v>268435456</v>
    <v>1</v>
    <v>Unterstützt von Refinitiv</v>
    <v>248.13</v>
    <v>194.11</v>
    <v>1.21</v>
    <v>5.2659999999999998E-3</v>
    <v>403335800</v>
    <v>Waste Management, Inc. Ist ein Anbieter von Umweltlösungen. Das Unternehmen bietet Dienstleistungen für Sammlung, Recycling und Entsorgung für Millionen von Kunden in Privathaushalten, Gewerbe, Industrie und Kommunen in den USA und Kanada an. Zu den Segmenten gehören East Tier, West Tier, Recycling Processing and Sales, WM Renewable Energy und WM Healthcare Solutions. East Tier besteht hauptsächlich aus geografischen Gebieten im Osten der USA, in der Region der Großen Seen und ganz Kanada. Die West Tier umfasst in erster Linie geografische Gebiete im Westen der USA, einschließlich der Region des oberen Mittleren Westens und British Columbia, Kanada. Recycling Processing and Sales umfasst die Verarbeitung und den Verkauf von Materialien, die von Privat-, Gewerbe- und Industriekunden gesammelt werden. WM Renewable Energy entwickelt, betreibt und fördert Projekte zur nutzbringenden Nutzung von Deponiegas. WM Healthcare Solutions umfasst regulierte Abfall- und Compliance-Services sowie Services zur sicheren Informationsvernichtung.</v>
    <v>0.54669999999999996</v>
    <v>93170569800</v>
    <v>New York Stock Exchange</v>
    <v>XNYS</v>
    <v>XNYS</v>
    <v>800 Capitol Street, Suite 3000, HOUSTON, TX, 77002 US</v>
    <v>232.49</v>
    <v>Professional &amp; Commercial Services</v>
    <v>Aktie</v>
    <v>34.491599999999998</v>
    <v>678</v>
    <v>46113.999400346875</v>
    <v>60500</v>
    <v>WASTE MANAGEMENT, INC.</v>
    <v>228.73</v>
    <v>WASTE MANAGEMENT, INC.</v>
    <v>230.29</v>
    <v>231</v>
    <v>229.79</v>
    <v>WM</v>
    <v>WASTE MANAGEMENT, INC. (XNYS:WM)</v>
    <v>1995</v>
    <v>217</v>
    <v>2229410</v>
    <v>USD</v>
  </rv>
  <rv s="2">
    <v>679</v>
  </rv>
  <rv s="3">
    <fb>225.06</fb>
    <v>6</v>
  </rv>
  <rv s="0">
    <v>https://www.bing.com/financeapi/forcetrigger?t=a1ztzr&amp;q=XNYS%3aPH&amp;form=skydnc</v>
    <v>Learn more on Bing</v>
  </rv>
  <rv s="1">
    <v>0</v>
    <v>1</v>
    <v>PARKER-HANNIFIN CORPORATION (XNYS:PH)</v>
    <v>3</v>
    <v>4</v>
    <v>Finance</v>
    <v>19</v>
    <v>de-DE</v>
    <v>a1ztzr</v>
    <v>268435456</v>
    <v>1</v>
    <v>Unterstützt von Refinitiv</v>
    <v>1034.96</v>
    <v>488.45</v>
    <v>25.53</v>
    <v>2.8517000000000001E-2</v>
    <v>126216500</v>
    <v>Die Parker-Hannifin Corporation ist auf Bewegungs- und Steuerungstechnologien spezialisiert. Das Unternehmen entwickelt, produziert und bietet Support für hochentwickelte Lösungen an. Zu den Segmenten gehören diversifizierte Industrie- und Luft- und Raumfahrtsysteme. Diversified Industrial Segment, das aus mehreren Geschäftseinheiten besteht, verkauft hochentwickelte, differenzierte Produkte sowohl an Erstausrüster (OEMs) als auch an Distributoren, die den Ersatzteilmarkt bedienen. Dieses Segment bedient verschiedene Märkte, darunter Luft- und Raumfahrt, Verteidigung, Off-Highway, Anlagen- und Industrieausrüstung, Energie, Transport sowie HLK und Kälte. Das Segment Aerospace Systems verkauft hochentwickelte, differenzierte Komponenten und Systeme für Flugzeuge und Motoren an Erstausrüster sowie Ersatzteile und Wartung für den Ersatzteilmarkt direkt an Endverbraucher, hauptsächlich in den kommerziellen Branchen Luft- und Raumfahrt und Verteidigung. Zu den Produkten gehören aktive und passive Vibrationskontrolle, Avionik, Flugsteuerungssysteme und andere.</v>
    <v>1.2504</v>
    <v>116216366705</v>
    <v>New York Stock Exchange</v>
    <v>XNYS</v>
    <v>XNYS</v>
    <v>6035 Parkland Boulevard, CLEVELAND, OH, 44124-4141 US</v>
    <v>929</v>
    <v>Machinery, Equipment &amp; Components</v>
    <v>Aktie</v>
    <v>33.583500000000001</v>
    <v>682</v>
    <v>46113.988312128909</v>
    <v>57950</v>
    <v>PARKER-HANNIFIN CORPORATION</v>
    <v>903.99</v>
    <v>PARKER-HANNIFIN CORPORATION</v>
    <v>905.51</v>
    <v>920.77</v>
    <v>895.24</v>
    <v>PH</v>
    <v>PARKER-HANNIFIN CORPORATION (XNYS:PH)</v>
    <v>1938</v>
    <v>22</v>
    <v>868772</v>
    <v>USD</v>
  </rv>
  <rv s="2">
    <v>683</v>
  </rv>
  <rv s="3">
    <fb>888.44</fb>
    <v>6</v>
  </rv>
  <rv s="0">
    <v>https://www.bing.com/financeapi/forcetrigger?t=axyhnm&amp;q=XNAS%3aPEP&amp;form=skydnc</v>
    <v>Learn more on Bing</v>
  </rv>
  <rv s="1">
    <v>0</v>
    <v>1</v>
    <v>Pepsico, Inc. (XNAS:PEP)</v>
    <v>3</v>
    <v>4</v>
    <v>Finance</v>
    <v>5</v>
    <v>de-DE</v>
    <v>axyhnm</v>
    <v>268435456</v>
    <v>1</v>
    <v>Unterstützt von Refinitiv</v>
    <v>171.48</v>
    <v>127.6</v>
    <v>-0.64</v>
    <v>-4.1210000000000005E-3</v>
    <v>1366941000</v>
    <v>PepsiCo, Inc. Ist ein weltweit tätiges Unternehmen für Getränke und günstige Lebensmittel. Zu den Segmenten des Unternehmens gehören PepsiCo Foods North America (PFNA), PepsiCo Beverages North America (PBNA), International Beverage Franchise (IB Franchise), Europa, Naher Osten und Afrika (EMEA), Latin America Foods (LATAM Foods) und Asia Pacific Foods. Das Segment PFNA umfasst alle seine Lebensmittelgeschäfte in den USA und Kanada. Das Segment PBNA umfasst alle seine Getränkebranchen in den USA und Kanada. Das Segment IB Franchise umfasst seine internationalen Franchise-Getränkegeschäfte sowie sein SodaStream-Geschäft. Das EMEA-Segment umfasst seine Lebensmittelgeschäfte und Getränkegeschäfte mit unternehmenseigenen Abfüllern in Europa, dem Nahen Osten und Afrika. Das Segment LATAM Foods umfasst alle Lebensmittelgeschäfte in Lateinamerika. Das Segment Asia Pacific Foods besteht aus seinen praktischen Lebensmittelgeschäften im asiatisch-pazifischen Raum, darunter China, Australien und Neuseeland sowie Indien.</v>
    <v>0.40989999999999999</v>
    <v>211397425650</v>
    <v>Nasdaq Stock Market</v>
    <v>XNAS</v>
    <v>XNAS</v>
    <v>700 ANDERSON HILL RD, PURCHASE, NY, 10577 US</v>
    <v>155.15</v>
    <v>Beverages</v>
    <v>Aktie</v>
    <v>25.768699999999999</v>
    <v>686</v>
    <v>46113.99966400391</v>
    <v>306000</v>
    <v>Pepsico, Inc.</v>
    <v>153.26</v>
    <v>Pepsico, Inc.</v>
    <v>153.55000000000001</v>
    <v>154.65</v>
    <v>155.29</v>
    <v>PEP</v>
    <v>Pepsico, Inc. (XNAS:PEP)</v>
    <v>1986</v>
    <v>976</v>
    <v>6758177</v>
    <v>USD</v>
  </rv>
  <rv s="2">
    <v>687</v>
  </rv>
  <rv s="3">
    <fb>153.04</fb>
    <v>6</v>
  </rv>
  <rv s="0">
    <v>https://www.bing.com/financeapi/forcetrigger?t=a1xe52&amp;q=XNYS%3aMCK&amp;form=skydnc</v>
    <v>Learn more on Bing</v>
  </rv>
  <rv s="1">
    <v>0</v>
    <v>1</v>
    <v>MCKESSON CORPORATION (XNYS:MCK)</v>
    <v>3</v>
    <v>4</v>
    <v>Finance</v>
    <v>5</v>
    <v>de-DE</v>
    <v>a1xe52</v>
    <v>268435456</v>
    <v>1</v>
    <v>Unterstützt von Refinitiv</v>
    <v>999</v>
    <v>637</v>
    <v>6.96</v>
    <v>8.0429999999999998E-3</v>
    <v>122487500</v>
    <v>McKesson Corporation ist ein diversifiziertes Gesundheitsdienstleistungsunternehmen, das sich auf die Verbesserung der Gesundheitsergebnisse für Patienten in aller Welt konzentriert. Das US-amerikanische Pharma-Segment vertreibt Marken-, Generika-, Spezial-, Biosimilar- und frei verkäufliche Arzneimittel sowie andere Produkte im Gesundheitsbereich in den USA. Das Segment Prescription Technology Solutions (RxTS) unterstützt Patienten bei der Lösung von Herausforderungen in Bezug auf den Zugang zu Medikamenten, die Erschwinglichkeit und die Einhaltung von Medikamenten, indem es im gesamten Gesundheitswesen arbeitet, um Patienten, Apotheken, Vorteilsmanager, Gesundheitspläne und Biopharmaunternehmen miteinander zu verbinden. Die medizinisch-chirurgischen Lösungen bieten medizinisch-chirurgische Versorgungsverteilung, Logistik und andere Dienstleistungen für Gesundheitsdienstleister, einschließlich Arztpraxen, Referenzlabors im Krankenhaus und häusliche Gesundheitsbehörden. Das Segment International bietet Vertriebs- und Dienstleistungen für Großhandels-, institutionelle und Einzelhandelskunden in Kanada und Norwegen an. Es bietet auch Onkologie- und Speziallösungen.</v>
    <v>0.4234</v>
    <v>106848296000</v>
    <v>New York Stock Exchange</v>
    <v>XNYS</v>
    <v>XNYS</v>
    <v>6555 State Highway 161, IRVING, TX, 75039 US</v>
    <v>880.86</v>
    <v>Pharmaceuticals</v>
    <v>Aktie</v>
    <v>25.097300000000001</v>
    <v>690</v>
    <v>46113.958333344533</v>
    <v>43000</v>
    <v>MCKESSON CORPORATION</v>
    <v>863</v>
    <v>MCKESSON CORPORATION</v>
    <v>863.08</v>
    <v>872.32</v>
    <v>865.36</v>
    <v>MCK</v>
    <v>MCKESSON CORPORATION (XNYS:MCK)</v>
    <v>1994</v>
    <v>38</v>
    <v>783331</v>
    <v>USD</v>
  </rv>
  <rv s="2">
    <v>691</v>
  </rv>
  <rv s="3">
    <fb>860.16</fb>
    <v>6</v>
  </rv>
  <rv s="0">
    <v>https://www.bing.com/financeapi/forcetrigger?t=a237gh&amp;q=XNYS%3aSNA&amp;form=skydnc</v>
    <v>Learn more on Bing</v>
  </rv>
  <rv s="1">
    <v>0</v>
    <v>1</v>
    <v>SNAP-ON INCORPORATED (XNYS:SNA)</v>
    <v>3</v>
    <v>4</v>
    <v>Finance</v>
    <v>19</v>
    <v>de-DE</v>
    <v>a237gh</v>
    <v>268435456</v>
    <v>1</v>
    <v>Unterstützt von Refinitiv</v>
    <v>390.13</v>
    <v>289.81</v>
    <v>3.8</v>
    <v>1.0462000000000001E-2</v>
    <v>52057340</v>
    <v>Snap-On Incorporated ist Hersteller und Vermarkter von Werkzeugen, Geräten, Diagnosen, Reparaturinformationen und Systemlösungen. Das Segment Commercial and Industrial Group des Unternehmens bedient eine Reihe von industriellen und kommerziellen Kunden weltweit, einschließlich Kunden in den Marktsegmenten Luft- und Raumfahrt, natürliche Ressourcen, Regierung, Stromerzeugung, Transport und technische Bildung, über direkte Kanäle und Vertriebskanäle. Das Segment Snap-On Tools Group umfasst Aktivitäten, die hauptsächlich Fahrzeugservice- und Reparaturtechniker über den Vertriebskanal für mobile Werkzeuge des Unternehmens bedienen. Das Segment Repair Systems and Information Group umfasst Geschäftsaktivitäten, die andere professionelle Fahrzeugreparaturkunden weltweit, Eigentümer und Manager unabhängiger Reparaturwerkstätten und Händlerbetriebe von Erstausrüsterherstellern über direkt- und Vertriebskanäle beliefern. Das Segment Finanzdienstleistungen umfasst die Geschäftstätigkeit seiner Tochtergesellschaften im Finanzbereich.</v>
    <v>0.76029999999999998</v>
    <v>19106084926</v>
    <v>New York Stock Exchange</v>
    <v>XNYS</v>
    <v>XNYS</v>
    <v>2801 80th St, KENOSHA, WI, 53143 US</v>
    <v>368.25990000000002</v>
    <v>Machinery, Equipment &amp; Components</v>
    <v>Aktie</v>
    <v>19.128799999999998</v>
    <v>694</v>
    <v>46113.958333344533</v>
    <v>13000</v>
    <v>SNAP-ON INCORPORATED</v>
    <v>363</v>
    <v>SNAP-ON INCORPORATED</v>
    <v>364.63</v>
    <v>367.02</v>
    <v>363.22</v>
    <v>SNA</v>
    <v>SNAP-ON INCORPORATED (XNYS:SNA)</v>
    <v>1930</v>
    <v>304849</v>
    <v>421923</v>
    <v>USD</v>
  </rv>
  <rv s="2">
    <v>695</v>
  </rv>
  <rv s="3">
    <fb>359.04</fb>
    <v>6</v>
  </rv>
  <rv s="0">
    <v>https://www.bing.com/financeapi/forcetrigger?t=a24xww&amp;q=XNYS%3aUNP&amp;form=skydnc</v>
    <v>Learn more on Bing</v>
  </rv>
  <rv s="1">
    <v>0</v>
    <v>1</v>
    <v>UNION PACIFIC CORPORATION (XNYS:UNP)</v>
    <v>3</v>
    <v>4</v>
    <v>Finance</v>
    <v>5</v>
    <v>de-DE</v>
    <v>a24xww</v>
    <v>268435456</v>
    <v>1</v>
    <v>Unterstützt von Refinitiv</v>
    <v>268.14</v>
    <v>204.66</v>
    <v>0.5</v>
    <v>2.0609999999999999E-3</v>
    <v>593678300</v>
    <v>Union Pacific Corporation verbindet über ihre Hauptbetriebsgesellschaft, die Union Pacific Railroad Company, mehr als 23 Staaten in den westlichen zwei Dritteln des Landes mit dem Schienenverkehr und stellt damit ein wichtiges Glied in der globalen Lieferkette dar. Sie unterhält koordinierte Fahrpläne mit anderen Eisenbahnunternehmen, um Fracht von und nach der Atlantikküste, der Pazifikküste, dem Südosten, dem Südwesten, Kanada und Mexiko zu befördern. Der diversifizierte Geschäftsmix der Bahn umfasst Massengut-, Industrie- und Premiumtransporte. Zu den Massenguttransporten gehören Getreide und Getreideprodukte, Düngemittel, Lebensmittel und Kühltransporte sowie Kohle und erneuerbare Energien. Die industriellen Sendungen bestehen aus mehreren Kategorien, darunter Bauwesen, Industriechemikalien, Kunststoffe, Forstprodukte, Spezialprodukte (vor allem Abfall, Salz und Bedachungen), Metalle und Erze, Erdöl, Flüssiggas (LPG), Soda und Sand. Zu den Premium-Sendungen gehören fertige Automobile, Autoteile und Waren in intermodalen Containern.</v>
    <v>0.96879999999999999</v>
    <v>144335068296</v>
    <v>New York Stock Exchange</v>
    <v>XNYS</v>
    <v>XNYS</v>
    <v>1400 Douglas Street, OMAHA, NE, 68179 US</v>
    <v>246.125</v>
    <v>Freight &amp; Logistics Services</v>
    <v>Aktie</v>
    <v>20.2882</v>
    <v>698</v>
    <v>46113.995422985936</v>
    <v>29287</v>
    <v>UNION PACIFIC CORPORATION</v>
    <v>242</v>
    <v>UNION PACIFIC CORPORATION</v>
    <v>243.13</v>
    <v>243.12</v>
    <v>242.62</v>
    <v>UNP</v>
    <v>UNION PACIFIC CORPORATION (XNYS:UNP)</v>
    <v>1969</v>
    <v>17</v>
    <v>3023772</v>
    <v>USD</v>
  </rv>
  <rv s="2">
    <v>699</v>
  </rv>
  <rv s="3">
    <fb>238.79</fb>
    <v>6</v>
  </rv>
  <rv s="0">
    <v>https://www.bing.com/financeapi/forcetrigger?t=a1ne3m&amp;q=XNYS%3aAME&amp;form=skydnc</v>
    <v>Learn more on Bing</v>
  </rv>
  <rv s="1">
    <v>0</v>
    <v>1</v>
    <v>AMETEK, INC. (XNYS:AME)</v>
    <v>3</v>
    <v>4</v>
    <v>Finance</v>
    <v>5</v>
    <v>de-DE</v>
    <v>a1ne3m</v>
    <v>268435456</v>
    <v>1</v>
    <v>Unterstützt von Refinitiv</v>
    <v>242.05</v>
    <v>145.02000000000001</v>
    <v>4.2699999999999996</v>
    <v>1.992E-2</v>
    <v>229065400</v>
    <v>AMETEK, Inc. Ist ein weltweit tätiger Anbieter von INDUSTRIETECHNOLOGIELÖSUNGEN, der verschiedene Nischenmärkte bedient. Zu den Segmenten des Unternehmens gehören Electronic Instruments Group (EIG) und Electromechanical Group (EMG). Das Segment EIG entwickelt und produziert fortschrittliche Analytik-, Prüf- und Messgeräte für den Prozess-, Luft- und Raumfahrt-, Medizin-, Forschungs-, Energie- und Industriemarkt. Es bietet eine Reihe von Instrumenten für die Forschungs- und Laborgeräte, die ultrapräzise Fertigung, Optik, Medizin sowie Test- und Messmärkte. Darüber hinaus bietet es dreidimensionale Mess- und Bildgebungslösungen, darunter tragbare Messarme, Laserscanner und -Tracker, Softwarelösungen und umfassende Serviceangebote. EMG entwickelt und produziert technische medizinische Komponenten und Geräte, Automatisierungslösungen, Wärmemanagementsysteme, Spezialmetalle und elektrische Verbindungen. Es liefert pulverförmige Metalle, Streifen und Folien, spezialplattierte Metalle und Metallmatrix-Verbundwerkstoffe.</v>
    <v>1.0410999999999999</v>
    <v>50080568402</v>
    <v>New York Stock Exchange</v>
    <v>XNYS</v>
    <v>XNYS</v>
    <v>1100 Cassatt Road, BERWYN, PA, 19312 US</v>
    <v>221.08</v>
    <v>Machinery, Equipment &amp; Components</v>
    <v>Aktie</v>
    <v>34.155500000000004</v>
    <v>702</v>
    <v>46113.958333356248</v>
    <v>22500</v>
    <v>AMETEK, INC.</v>
    <v>216</v>
    <v>AMETEK, INC.</v>
    <v>216.89</v>
    <v>218.63</v>
    <v>214.36</v>
    <v>AME</v>
    <v>AMETEK, INC. (XNYS:AME)</v>
    <v>1986</v>
    <v>1</v>
    <v>1486280</v>
    <v>USD</v>
  </rv>
  <rv s="2">
    <v>703</v>
  </rv>
  <rv s="3">
    <fb>209.24</fb>
    <v>6</v>
  </rv>
  <rv s="0">
    <v>https://www.bing.com/financeapi/forcetrigger?t=a1pj4c&amp;q=XNYS%3aCFG&amp;form=skydnc</v>
    <v>Learn more on Bing</v>
  </rv>
  <rv s="1">
    <v>0</v>
    <v>1</v>
    <v>CITIZENS FINANCIAL GROUP, INC. (XNYS:CFG)</v>
    <v>3</v>
    <v>4</v>
    <v>Finance</v>
    <v>19</v>
    <v>de-DE</v>
    <v>a1pj4c</v>
    <v>268435456</v>
    <v>1</v>
    <v>Unterstützt von Refinitiv</v>
    <v>68.790000000000006</v>
    <v>32.6</v>
    <v>0.6</v>
    <v>1.0005E-2</v>
    <v>424993900</v>
    <v>Citizens Financial Group, Inc. bietet eine Reihe von Bankprodukten und -dienstleistungen für Privatkunden, Kleinunternehmen, mittelständische Firmen, Großunternehmen und Institutionen an. Das Unternehmen ist in zwei Segmenten tätig: Consumer Banking und Commercial Banking. Das Consumer Banking segment bedient Privatkunden und kleine Unternehmen mit Produkten und Dienstleistungen, die Einlagen, Hypotheken- und Eigenheimkredite, Kreditkarten, kleine Geschäftskredite, Vermögensverwaltung und Anlagedienstleistungen umfassen, die größtenteils über die traditionelle Bankpräsenz in 14 Bundesstaaten verteilt sind. Das Consumer Banking segment betreibt etwa 1.000 Filialen, darunter 143 Filialen, und etwa 3.100 Geldautomaten. Das Commercial Banking segment bietet in erster Linie Unternehmen und Institutionen Finanzprodukte und -lösungen an, darunter Kredite und Leasing, Einlagen- und Treasury-Management-Dienstleistungen, Lösungen für das Management von Devisen-, Zins- und Rohstoffrisiken sowie Konsortialkredite und anderes.</v>
    <v>1.0578000000000001</v>
    <v>25741880523</v>
    <v>New York Stock Exchange</v>
    <v>XNYS</v>
    <v>XNYS</v>
    <v>1 CITIZENS PLAZA, PROVIDENCE, RI, 02903 US</v>
    <v>61.48</v>
    <v>Banking Services</v>
    <v>Aktie</v>
    <v>15.661199999999999</v>
    <v>706</v>
    <v>46113.993313749997</v>
    <v>17398</v>
    <v>CITIZENS FINANCIAL GROUP, INC.</v>
    <v>60.38</v>
    <v>CITIZENS FINANCIAL GROUP, INC.</v>
    <v>60.85</v>
    <v>60.57</v>
    <v>59.97</v>
    <v>CFG</v>
    <v>CITIZENS FINANCIAL GROUP, INC. (XNYS:CFG)</v>
    <v>1984</v>
    <v>5573659</v>
    <v>5277333</v>
    <v>USD</v>
  </rv>
  <rv s="2">
    <v>707</v>
  </rv>
  <rv s="3">
    <fb>57.78</fb>
    <v>6</v>
  </rv>
  <rv s="0">
    <v>https://www.bing.com/financeapi/forcetrigger?t=a1yeec&amp;q=XNYS%3aNEM&amp;form=skydnc</v>
    <v>Learn more on Bing</v>
  </rv>
  <rv s="1">
    <v>0</v>
    <v>1</v>
    <v>NEWMONT CORPORATION (XNYS:NEM)</v>
    <v>3</v>
    <v>4</v>
    <v>Finance</v>
    <v>5</v>
    <v>de-DE</v>
    <v>a1yeec</v>
    <v>268435456</v>
    <v>1</v>
    <v>Unterstützt von Refinitiv</v>
    <v>134.88</v>
    <v>42.933</v>
    <v>5.54</v>
    <v>5.1178000000000001E-2</v>
    <v>1079933000</v>
    <v>Newmont Corporation ist ein Goldunternehmen und ein Produzent von Kupfer, Zink, Blei und Silber mit Betrieben und/oder Vermögenswerten in den Regionen Afrika, Australien, Lateinamerika und Karibik, Nordamerika und Papua-Neuguinea. Zu den Betrieben des Unternehmens gehören Brucejack, Red Chris, Penasquito, Merian, Cerro Negro, Yanacocha, Boddington, Tanami, Cadia, Lihir, Ahafo und NGM. Der Betrieb Brucejack umfasst vier Bergbaupachtverträge und sechs Kern-Claims, die sich über 8.169 Acres (3.306 Hektar) erstrecken, sowie 337 Mineralien-Claims, die 298.795 Acres (120.918 Hektar) abdecken. Der Betrieb Red Chris umfasst fünf Bergbaupachtverträge, die sich über 12.703 Acres und 199 Mineralien-Claims erstrecken und eine Fläche von 164.903 Acres (66.734 Hektar) umfassen. Penasquito umfasst 20 Bergbaukonzessionen für den Betrieb von 113.231 Acres (45.823 Hektar) und 60 Bergbaukonzessionen für die Exploration von 107.456 Acres (43.486 Hektar). Der Merian-Betrieb umfasst ein Abbaurecht, das eine Fläche von 41.687 Acres (16.870 Hektar) umfasst.</v>
    <v>0.47510000000000002</v>
    <v>122885576070</v>
    <v>New York Stock Exchange</v>
    <v>XNYS</v>
    <v>XNYS</v>
    <v>6900 E Layton Avenue, Suite 700, DENVER, CO, 80237 US</v>
    <v>115.57</v>
    <v>Metals &amp; Mining</v>
    <v>Aktie</v>
    <v>17.806699999999999</v>
    <v>710</v>
    <v>46113.999897430469</v>
    <v>17500</v>
    <v>NEWMONT CORPORATION</v>
    <v>110.73</v>
    <v>NEWMONT CORPORATION</v>
    <v>112.59</v>
    <v>113.79</v>
    <v>108.25</v>
    <v>NEM</v>
    <v>NEWMONT CORPORATION (XNYS:NEM)</v>
    <v>2001</v>
    <v>50171</v>
    <v>11911430</v>
    <v>USD</v>
  </rv>
  <rv s="2">
    <v>711</v>
  </rv>
  <rv s="3">
    <fb>102.1</fb>
    <v>6</v>
  </rv>
  <rv s="0">
    <v>https://www.bing.com/financeapi/forcetrigger?t=a1safr&amp;q=XNYS%3aETN&amp;form=skydnc</v>
    <v>Learn more on Bing</v>
  </rv>
  <rv s="1">
    <v>0</v>
    <v>1</v>
    <v>EATON CORPORATION PUBLIC LIMITED COMPANY (XNYS:ETN)</v>
    <v>3</v>
    <v>4</v>
    <v>Finance</v>
    <v>5</v>
    <v>de-DE</v>
    <v>a1safr</v>
    <v>268435456</v>
    <v>1</v>
    <v>Unterstützt von Refinitiv</v>
    <v>408.45</v>
    <v>231.85</v>
    <v>7.89</v>
    <v>2.2059000000000002E-2</v>
    <v>387985400</v>
    <v>Eaton Corporation plc ist ein intelligentes Energiemanagement-Unternehmen. Das Segment Electrical Americas umfasst elektrische Komponenten, industrielle Komponenten, Stromverteiler und Baugruppen, Wohnprodukte, einphasige Netzqualität und -Konnektivität, Verdrahtungsgeräte und andere. Das Segment Electrical Global umfasst elektrische Komponenten, industrielle Komponenten, Stromverteilung und Baugruppen, ein- und dreiphasige Netzqualität sowie Dienstleistungen. Das Segment Luft- und Raumfahrt ist ein globaler Anbieter von Kraftstoff-, Hydraulik- und Pneumatiksystemen für gewerbliche und militärische Zwecke sowie von Filtrationssystemen für industrielle Anwendungen. Das Fahrzeugsegment entwickelt, produziert, vermarktet und liefert Antriebsstrang, Antriebsstrangsysteme und kritische Komponenten. Das Segment eMobility entwickelt, produziert, vermarktet und liefert mechanische, elektrische, und elektronische Komponenten und Systeme. Das Unternehmen ist auch mit der thermischen Überwachung kritischer elektrischer Anlagen befasst.</v>
    <v>1.1645000000000001</v>
    <v>141831942824</v>
    <v>New York Stock Exchange</v>
    <v>XNYS</v>
    <v>XNYS</v>
    <v>30 Pembroke Road, Eaton House, DUBLIN, DUBLIN IE</v>
    <v>368.43</v>
    <v>Machinery, Equipment &amp; Components</v>
    <v>Aktie</v>
    <v>34.972000000000001</v>
    <v>714</v>
    <v>46113.997219640623</v>
    <v>97000</v>
    <v>EATON CORPORATION PUBLIC LIMITED COMPANY</v>
    <v>361.74</v>
    <v>EATON CORPORATION PUBLIC LIMITED COMPANY</v>
    <v>362.06</v>
    <v>365.56</v>
    <v>357.67</v>
    <v>ETN</v>
    <v>EATON CORPORATION PUBLIC LIMITED COMPANY (XNYS:ETN)</v>
    <v>2012</v>
    <v>1267</v>
    <v>2701314</v>
    <v>USD</v>
  </rv>
  <rv s="2">
    <v>715</v>
  </rv>
  <rv s="3">
    <fb>357.36</fb>
    <v>6</v>
  </rv>
  <rv s="0">
    <v>https://www.bing.com/financeapi/forcetrigger?t=a1z11h&amp;q=XNYS%3aO&amp;form=skydnc</v>
    <v>Learn more on Bing</v>
  </rv>
  <rv s="1">
    <v>0</v>
    <v>1</v>
    <v>REALTY INCOME CORPORATION (XNYS:O)</v>
    <v>3</v>
    <v>4</v>
    <v>Finance</v>
    <v>5</v>
    <v>de-DE</v>
    <v>a1z11h</v>
    <v>268435456</v>
    <v>1</v>
    <v>Unterstützt von Refinitiv</v>
    <v>67.935000000000002</v>
    <v>50.71</v>
    <v>0.7</v>
    <v>1.1442000000000001E-2</v>
    <v>932450600</v>
    <v>Die Realty Income Corporation ist ein Investmentfonds für Immobilien. Das Unternehmen ist im Erwerb und Management von freistehenden gewerblichen Immobilien tätig, die im Rahmen langfristiger Netto-Leasingverträge mit seinen gewerblichen Kunden Mieteinnahmen generieren. Es ist in einer einzigen Geschäftstätigkeit tätig, nämlich der Vermietung von Immobilien an Kunden, im Allgemeinen auf Nettobasis. Diese Geschäftstätigkeit erstreckt sich über verschiedene geografische Grenzen und umfasst Immobilienarten und Kunden, die in verschiedenen Branchen tätig sind. Das Unternehmen besitzt oder hält Anteile an etwa 15.621 Immobilien in allen 50 US-bundesstaaten, Großbritannien, Frankreich, Deutschland, Irland, Italien, Portugal und Spanien mit Kunden, die in 89 Branchen tätig sind. Zu den Grundstückstypen zählen Einzelhandel, Industrie, Glücksspiele und andere, wie Landwirtschaft und Büro. Zu den wichtigsten Branchenkonzentrationen zählen Lebensmittelgeschäfte, 24-Stunden-Geschäfte, Dollargeschäfte, Drogerien, Hausaufbauten, Restaurants - schneller Service und andere.</v>
    <v>0.79159999999999997</v>
    <v>57700043128</v>
    <v>New York Stock Exchange</v>
    <v>XNYS</v>
    <v>XNYS</v>
    <v>11995 El Camino Real, SAN DIEGO, CA, 92130 US</v>
    <v>61.99</v>
    <v>Residential &amp; Commercial REIT</v>
    <v>Aktie</v>
    <v>53.1496</v>
    <v>718</v>
    <v>46113.99970836797</v>
    <v>544</v>
    <v>REALTY INCOME CORPORATION</v>
    <v>61.01</v>
    <v>REALTY INCOME CORPORATION</v>
    <v>61.25</v>
    <v>61.88</v>
    <v>61.18</v>
    <v>O</v>
    <v>REALTY INCOME CORPORATION (XNYS:O)</v>
    <v>1997</v>
    <v>6577</v>
    <v>6637522</v>
    <v>USD</v>
  </rv>
  <rv s="2">
    <v>719</v>
  </rv>
  <rv s="3">
    <fb>60.69</fb>
    <v>6</v>
  </rv>
  <rv s="0">
    <v>https://www.bing.com/financeapi/forcetrigger?t=a1pshw&amp;q=XNYS%3aCL&amp;form=skydnc</v>
    <v>Learn more on Bing</v>
  </rv>
  <rv s="1">
    <v>0</v>
    <v>1</v>
    <v>COLGATE-PALMOLIVE COMPANY (XNYS:CL)</v>
    <v>3</v>
    <v>4</v>
    <v>Finance</v>
    <v>5</v>
    <v>de-DE</v>
    <v>a1pshw</v>
    <v>268435456</v>
    <v>1</v>
    <v>Unterstützt von Refinitiv</v>
    <v>99.33</v>
    <v>74.545000000000002</v>
    <v>0.18</v>
    <v>2.1120000000000002E-3</v>
    <v>802301900</v>
    <v>Colgate-Palmolive Company ist ein Wachstumsunternehmen. Es konzentriert sich auf Mundpflege, Körperpflege, Haushaltspflege und Tiernahrung und vertreibt seine Produkte unter Marken wie Colgate, Palmolive, elmex, hello, meridol, Sorriso, Tom's of Maine, EltaMD, Filorga, Irish Spring, Lady Speed Stick, PCA SKIN, Protex, Sanex, Softsoap, Speed Stick, Ajax, Axion, Fabuloso, Murphy, Soupline und Suavitel sowie Hill's Science Diet und Hill's Prescription Diet. Das Produktsegment Mund-, Körper- und Haushaltspflege wird geografisch in fünf Segmenten geführt, wie Nordamerika, Lateinamerika, Europa, Asien-Pazifik und Afrika/Eurasien, die alle hauptsächlich an eine Vielzahl von traditionellen und E-Commerce-Einzelhändlern, Großhändlern, Distributoren, Zahnärzten und Hautärzten verkaufen. Zu den Pet Nutrition-Produkten gehören spezielle Tiernahrungsprodukte, die von Hill's Pet Nutrition hergestellt und vermarktet werden. Die Abnehmer der Pet Nutrition-Produkte sind autorisierte Einzelhändler für Heimtierbedarf, Tierärzte und E-Commerce-Händler.</v>
    <v>0.33169999999999999</v>
    <v>68524605279</v>
    <v>New York Stock Exchange</v>
    <v>XNYS</v>
    <v>XNYS</v>
    <v>300 PARK AVE, NEW YORK, NY, 10022 US</v>
    <v>85.95</v>
    <v>Personal &amp; Household Products &amp; Services</v>
    <v>Aktie</v>
    <v>32.581800000000001</v>
    <v>722</v>
    <v>46113.987208668746</v>
    <v>33600</v>
    <v>COLGATE-PALMOLIVE COMPANY</v>
    <v>84.59</v>
    <v>COLGATE-PALMOLIVE COMPANY</v>
    <v>84.79</v>
    <v>85.41</v>
    <v>85.23</v>
    <v>CL</v>
    <v>COLGATE-PALMOLIVE COMPANY (XNYS:CL)</v>
    <v>1923</v>
    <v>236</v>
    <v>6795767</v>
    <v>USD</v>
  </rv>
  <rv s="2">
    <v>723</v>
  </rv>
  <rv s="3">
    <fb>84.29</fb>
    <v>6</v>
  </rv>
  <rv s="0">
    <v>https://www.bing.com/financeapi/forcetrigger?t=a25jqh&amp;q=XNAS%3aVRSN&amp;form=skydnc</v>
    <v>Learn more on Bing</v>
  </rv>
  <rv s="1">
    <v>0</v>
    <v>1</v>
    <v>VERISIGN, INC. (XNAS:VRSN)</v>
    <v>3</v>
    <v>4</v>
    <v>Finance</v>
    <v>19</v>
    <v>de-DE</v>
    <v>a25jqh</v>
    <v>268435456</v>
    <v>1</v>
    <v>Unterstützt von Refinitiv</v>
    <v>310.60000000000002</v>
    <v>208.86009999999999</v>
    <v>2.41</v>
    <v>9.7040000000000008E-3</v>
    <v>91700000</v>
    <v>VeriSign, Inc. ist ein globaler Anbieter von Internet-Infrastruktur und Domain-Namen-Registrierungsdiensten und ermöglicht die Internet-Navigation für verschiedene Domain-Namen. Das Unternehmen trägt zur Sicherheit, Stabilität und Widerstandsfähigkeit des Domain-Namen-Systems und des Internets bei, indem es Root-Zone-Maintainer-Dienste bereitstellt, zwei der 13 globalen Internet-Root-Server betreibt und Registrierungsdienste und autoritative Auflösung anbietet. Sie betreibt das maßgebliche Verzeichnis für alle .com-, .net- und .name-Domänennamen (generische Domänen oberster Stufe oder gTLDs) sowie für bestimmte Transliterationen von .com und .net in einer Reihe verschiedener Muttersprachen und Schriften (internationalisierte generische Domänen oberster Stufe). Außerdem betreibt es das maßgebliche Verzeichnis für alle .cc-Domänennamen (länderspezifische Top-Level-Domänen). Das Unternehmen betreibt die technischen oder Back-End-Systeme für .edu und bestimmte andere gTLDs. Die Betriebsinfrastruktur umfasst verteilte Server, Netzwerke und Notfallwiederherstellungspläne.</v>
    <v>0.69579999999999997</v>
    <v>22995609000</v>
    <v>Nasdaq Stock Market</v>
    <v>XNAS</v>
    <v>XNAS</v>
    <v>ATTN: GENERAL COUNSEL, 12061 BLUEMONT WAY, RESTON, VA, 20190 US</v>
    <v>252</v>
    <v>Software &amp; IT Services</v>
    <v>Aktie</v>
    <v>28.494299999999999</v>
    <v>726</v>
    <v>46113.964724062498</v>
    <v>926</v>
    <v>VERISIGN, INC.</v>
    <v>245.48</v>
    <v>VERISIGN, INC.</v>
    <v>248.19</v>
    <v>250.77</v>
    <v>248.36</v>
    <v>VRSN</v>
    <v>VERISIGN, INC. (XNAS:VRSN)</v>
    <v>1995</v>
    <v>5</v>
    <v>794752</v>
    <v>USD</v>
  </rv>
  <rv s="2">
    <v>727</v>
  </rv>
  <rv s="3">
    <fb>247.48</fb>
    <v>6</v>
  </rv>
  <rv s="0">
    <v>https://www.bing.com/financeapi/forcetrigger?t=a1qqbh&amp;q=XNYS%3aDAL&amp;form=skydnc</v>
    <v>Learn more on Bing</v>
  </rv>
  <rv s="1">
    <v>0</v>
    <v>1</v>
    <v>DELTA AIR LINES, INC. (XNYS:DAL)</v>
    <v>3</v>
    <v>4</v>
    <v>Finance</v>
    <v>5</v>
    <v>de-DE</v>
    <v>a1qqbh</v>
    <v>268435456</v>
    <v>1</v>
    <v>Unterstützt von Refinitiv</v>
    <v>76.39</v>
    <v>34.734999999999999</v>
    <v>1.1200000000000001</v>
    <v>1.6847000000000001E-2</v>
    <v>653130700</v>
    <v>Delta Air Lines, Inc. bietet Linienflüge für Passagiere und Fracht in den Vereinigten Staaten und der ganzen Welt an. Das Unternehmen hat Drehkreuze und Märkte in Amsterdam, Atlanta, Bogota, Boston, Detroit, Lima, London-Heathrow, Los Angeles, Mexiko-Stadt, Minneapolis-St. Paul, New York-JFK und LaGuardia, Paris-Charles de Gaulle, Salt Lake City, Santiago (Chile), Sao Paulo, Seattle, Seoul-Incheon und Tokio. Zu den Geschäftsbereichen gehören Fluggesellschaften und Raffinerien. Das Segment Fluggesellschaften wird als eine einzige Geschäftseinheit geführt, die Linienflüge für Passagiere und Fracht in den Vereinigten Staaten und auf der ganzen Welt anbietet und ihr Kundenbindungsprogramm sowie andere Zusatzgeschäfte umfasst. Das Raffineriesegment arbeitet zugunsten des Flugsegments, indem es das Flugsegment mit Düsentreibstoff aus eigener Produktion und mit Düsentreibstoff versorgt, der durch Vereinbarungen mit Dritten bezogen wird. Die Produktion der Raffinerie besteht aus Düsentreibstoff und anderen Produkten als Düsentreibstoff.</v>
    <v>1.306</v>
    <v>44151635320</v>
    <v>New York Stock Exchange</v>
    <v>XNYS</v>
    <v>XNYS</v>
    <v>1030 DELTA BLVD, HARTSFIELD ATLANTA INTL AIRPORT, ATLANTA, GA, 30354-1989 US</v>
    <v>68.314999999999998</v>
    <v>Passenger Transportation Services</v>
    <v>Aktie</v>
    <v>8.8285</v>
    <v>730</v>
    <v>46113.998400450779</v>
    <v>103000</v>
    <v>DELTA AIR LINES, INC.</v>
    <v>66.894999999999996</v>
    <v>DELTA AIR LINES, INC.</v>
    <v>67.010000000000005</v>
    <v>67.599999999999994</v>
    <v>66.48</v>
    <v>DAL</v>
    <v>DELTA AIR LINES, INC. (XNYS:DAL)</v>
    <v>1967</v>
    <v>7148</v>
    <v>15099935</v>
    <v>USD</v>
  </rv>
  <rv s="2">
    <v>731</v>
  </rv>
  <rv s="3">
    <fb>64.83</fb>
    <v>6</v>
  </rv>
  <rv s="0">
    <v>https://www.bing.com/financeapi/forcetrigger?t=a1ojc7&amp;q=XNYS%3aBK&amp;form=skydnc</v>
    <v>Learn more on Bing</v>
  </rv>
  <rv s="1">
    <v>0</v>
    <v>1</v>
    <v>THE BANK OF NEW YORK MELLON CORPORATION (XNYS:BK)</v>
    <v>3</v>
    <v>4</v>
    <v>Finance</v>
    <v>19</v>
    <v>de-DE</v>
    <v>a1ojc7</v>
    <v>268435456</v>
    <v>1</v>
    <v>Unterstützt von Refinitiv</v>
    <v>128.76</v>
    <v>70.459999999999994</v>
    <v>2.34</v>
    <v>1.9724999999999999E-2</v>
    <v>688227000</v>
    <v>Die Bank of New York Mellon Corporation ist ein weltweit tätiges Finanzdienstleistungsunternehmen. Das Geschäftsfeld des Unternehmens umfasst Wertpapierdienstleistungen, Market and Wealth Services sowie Investment and Wealth Management. Das Geschäftssegment Securities Services besteht aus Asset Service und Emittent Services, die Geschäftslösungen für globale Asset-Eigentümer- und Asset-Manager-Kunden über den gesamten Transaktionslebenszyklus hinweg bereitstellen. Das Geschäftssegment Market and Wealth Services besteht aus drei Geschäftsbereichen: Pershing, Treasury Services und Clearance sowie Collateral Management, die Geschäftsdienstleistungen und Technologielösungen anbieten. Sein Geschäftsbereich Investment and Wealth Management bietet unabhängig und über sein globales Vertriebsnetz ein diversifiziertes Portfolio an Anlagestrategien für institutionelle und private Kunden weltweit. Sie bietet Anlagemanagement, Verwahrung, Vermögens- und Nachlassplanung, Dienstleistungen des Private Banking, Anlagedienstleistungen und Informationsmanagement.</v>
    <v>1.0528999999999999</v>
    <v>83254820190</v>
    <v>New York Stock Exchange</v>
    <v>XNYS</v>
    <v>XNYS</v>
    <v>240 Greenwich Street, NEW YORK, NY, 10286 US</v>
    <v>121.91</v>
    <v>Investment Banking &amp; Investment Services</v>
    <v>Aktie</v>
    <v>16.320900000000002</v>
    <v>734</v>
    <v>46113.958333356248</v>
    <v>48100</v>
    <v>THE BANK OF NEW YORK MELLON CORPORATION</v>
    <v>119.67</v>
    <v>THE BANK OF NEW YORK MELLON CORPORATION</v>
    <v>120.33</v>
    <v>120.97</v>
    <v>118.63</v>
    <v>BK</v>
    <v>THE BANK OF NEW YORK MELLON CORPORATION (XNYS:BK)</v>
    <v>2007</v>
    <v>1</v>
    <v>3569995</v>
    <v>USD</v>
  </rv>
  <rv s="2">
    <v>735</v>
  </rv>
  <rv s="3">
    <fb>114.66</fb>
    <v>6</v>
  </rv>
  <rv s="0">
    <v>https://www.bing.com/financeapi/forcetrigger?t=a26em7&amp;q=XNYS%3aYUM&amp;form=skydnc</v>
    <v>Learn more on Bing</v>
  </rv>
  <rv s="1">
    <v>0</v>
    <v>1</v>
    <v>YUM! Brands, Inc. (XNYS:YUM)</v>
    <v>3</v>
    <v>4</v>
    <v>Finance</v>
    <v>19</v>
    <v>de-DE</v>
    <v>a26em7</v>
    <v>268435456</v>
    <v>1</v>
    <v>Unterstützt von Refinitiv</v>
    <v>169.39</v>
    <v>137.33000000000001</v>
    <v>-1.78</v>
    <v>-1.1448E-2</v>
    <v>276430100</v>
    <v>YUM! Brands, Inc. und ihre Tochtergesellschaften betreiben ein System von ca. 61.000 Restaurants in 155 Ländern und Territorien unter den Konzepten von KFC, Taco Bell, Pizza Hut und The Habit Burger Grill. Das Unternehmen besteht aus vier operativen Segmenten: Die KFC Division, die den weltweiten Betrieb des KFC-Konzepts umfasst; die Taco Bell Division, die den weltweiten Betrieb des Taco Bell-Konzepts umfasst; die Pizza Hut Division, die den weltweiten Betrieb des Pizza Hut-Konzepts umfasst; und die Habit Burger Grill Division, die den weltweiten Betrieb des Habit Burger Grill-Konzepts umfasst. Das Unternehmen entwickelt, betreibt oder franchisiert ein System von traditionellen und nicht-traditionellen Restaurants. KFC-Restaurants bieten frittierte und nicht frittierte Hähnchenprodukte an. Taco Bell bietet mexikanisch angehauchte Lebensmittel an. Pizza Hut ist auf den Verkauf von Fertigpizza spezialisiert. The Habit Burger Grill bietet gegrillte Burger und Sandwiches an, die auf Bestellung über offener Flamme zubereitet werden.</v>
    <v>0.66220000000000001</v>
    <v>42487306370</v>
    <v>New York Stock Exchange</v>
    <v>XNYS</v>
    <v>XNYS</v>
    <v>1441 Gardiner Lane, LOUISVILLE, KY, 40213 US</v>
    <v>157.19</v>
    <v>Hotels &amp; Entertainment Services</v>
    <v>Aktie</v>
    <v>26.430299999999999</v>
    <v>738</v>
    <v>46113.999450983596</v>
    <v>28000</v>
    <v>YUM! Brands, Inc.</v>
    <v>152.61000000000001</v>
    <v>YUM! Brands, Inc.</v>
    <v>157.19</v>
    <v>153.69999999999999</v>
    <v>155.47999999999999</v>
    <v>YUM</v>
    <v>YUM! Brands, Inc. (XNYS:YUM)</v>
    <v>1997</v>
    <v>1363717</v>
    <v>1812162</v>
    <v>USD</v>
  </rv>
  <rv s="2">
    <v>739</v>
  </rv>
  <rv s="3">
    <fb>153.96</fb>
    <v>6</v>
  </rv>
  <rv s="0">
    <v>https://www.bing.com/financeapi/forcetrigger?t=a1zy3m&amp;q=XNYS%3aPLD&amp;form=skydnc</v>
    <v>Learn more on Bing</v>
  </rv>
  <rv s="1">
    <v>0</v>
    <v>1</v>
    <v>PROLOGIS, INC. (XNYS:PLD)</v>
    <v>3</v>
    <v>4</v>
    <v>Finance</v>
    <v>19</v>
    <v>de-DE</v>
    <v>a1zy3m</v>
    <v>268435456</v>
    <v>1</v>
    <v>Unterstützt von Refinitiv</v>
    <v>143.94999999999999</v>
    <v>85.35</v>
    <v>1.1499999999999999</v>
    <v>8.6999999999999994E-3</v>
    <v>932230700</v>
    <v>Prologis, Inc. ist ein voll integriertes Immobilienunternehmen. Das Unternehmen ist in zwei Segmenten tätig: Immobilien (Vermietungsgeschäft und Entwicklung) und Strategisches Kapital. Das Immobiliensegment umfasst den Besitz und die Entwicklung von Betriebsimmobilien. Das Immobiliensegment umfasst auch Entwicklungsaktivitäten, die zum Vermietungsgeschäft führen, darunter Grundstücke, die für die Entwicklung gehalten werden, und Immobilien, die sich in der Entwicklung befinden, sowie andere Immobilieninvestitionen, darunter Anlagen im Bereich erneuerbare Energien. Das Segment Strategisches Kapital umfasst die Verwaltung nicht konsolidierter Co-Investment-Unternehmen. Das Unternehmen ist der Komplementär von Prologis, L.P. (die Operating Partnership oder OP). Über die OP ist es im Besitz, Erwerb, der Entwicklung und Verwaltung von Logistikimmobilien mit Schwerpunkt auf Schlüsselmärkten in rund 20 Ländern auf vier Kontinenten tätig. Es betreibt, verwaltet und misst die operative Leistung seiner Immobilien auf einer Owned and Managed (O&amp;M)-Basis.</v>
    <v>1.4127000000000001</v>
    <v>124294319231</v>
    <v>New York Stock Exchange</v>
    <v>XNYS</v>
    <v>XNYS</v>
    <v>PIER 1 BAY 1, SAN FRANCISCO, CA, 94111 US</v>
    <v>134.13</v>
    <v>Residential &amp; Commercial REIT</v>
    <v>Aktie</v>
    <v>37.511099999999999</v>
    <v>742</v>
    <v>46113.993886423435</v>
    <v>2802</v>
    <v>PROLOGIS, INC.</v>
    <v>131.4</v>
    <v>PROLOGIS, INC.</v>
    <v>131.78</v>
    <v>133.33000000000001</v>
    <v>132.18</v>
    <v>PLD</v>
    <v>PROLOGIS, INC. (XNYS:PLD)</v>
    <v>1997</v>
    <v>3708064</v>
    <v>3575557</v>
    <v>USD</v>
  </rv>
  <rv s="2">
    <v>743</v>
  </rv>
  <rv s="3">
    <fb>128.9</fb>
    <v>6</v>
  </rv>
  <rv s="0">
    <v>https://www.bing.com/financeapi/forcetrigger?t=a245u2&amp;q=XNYS%3aTFX&amp;form=skydnc</v>
    <v>Learn more on Bing</v>
  </rv>
  <rv s="1">
    <v>0</v>
    <v>1</v>
    <v>TELEFLEX INCORPORATED (XNYS:TFX)</v>
    <v>3</v>
    <v>4</v>
    <v>Finance</v>
    <v>5</v>
    <v>de-DE</v>
    <v>a245u2</v>
    <v>268435456</v>
    <v>1</v>
    <v>Unterstützt von Refinitiv</v>
    <v>141.91</v>
    <v>100.18</v>
    <v>-1.19</v>
    <v>-9.9489999999999995E-3</v>
    <v>44200560</v>
    <v>Teleflex Incorporated ist ein weltweit tätiger Anbieter medizinischer Technologien. Das Unternehmen bietet ein vielfältiges Portfolio mit Lösungen in den Therapiebereichen Anästhesie, Notfallmedizin, interventionelle Kardiologie und Radiologie, Chirurgie, Gefäßzugang und Urologie. Das Unternehmen entwickelt, entwickelt, produziert und liefert in erster Linie einmal-Medizinprodukte, die von Krankenhäusern und Gesundheitsdienstleistern für gängige diagnostische und therapeutische Verfahren in der Intensivmedizin und in chirurgischen Anwendungen verwendet werden. Das Unternehmen ist in drei Segmenten tätig: Nord- und Südamerika, EMEA (Europa, Naher Osten und Afrika) und Asien (Asien-Pazifik-Raum). Das Produktportfolio des Gefäßzugangs umfasst Katheter der Marke Arrow, Katheternavigations- und Spitzenpositionierungssysteme sowie intraossäre Systeme (Knochenzugang). Das interventionelle Produktangebot umfasst ein Portfolio an intraaortalen Ballonpumpen und -Kathetern der Marke Arrow, GuideLiner-, Turnpike- und TrapLiner-Kathetern, Pulsar-18 T3 selbstexpandierender 4F-Stent und Orsiro Mission Drug eluting Stent.</v>
    <v>0.83479999999999999</v>
    <v>5234230315</v>
    <v>New York Stock Exchange</v>
    <v>XNYS</v>
    <v>XNYS</v>
    <v>550 E Swedesford Rd, Suite 400, WAYNE, PA, 19087 US</v>
    <v>120.53</v>
    <v>Healthcare Equipment &amp; Supplies</v>
    <v>Aktie</v>
    <v>0</v>
    <v>746</v>
    <v>46113.958333344533</v>
    <v>15500</v>
    <v>TELEFLEX INCORPORATED</v>
    <v>118.29</v>
    <v>TELEFLEX INCORPORATED</v>
    <v>119.38</v>
    <v>118.42</v>
    <v>119.61</v>
    <v>TFX</v>
    <v>TELEFLEX INCORPORATED (XNYS:TFX)</v>
    <v>1943</v>
    <v>1</v>
    <v>905957</v>
    <v>USD</v>
  </rv>
  <rv s="2">
    <v>747</v>
  </rv>
  <rv s="3">
    <fb>116.22</fb>
    <v>6</v>
  </rv>
  <rv s="0">
    <v>https://www.bing.com/financeapi/forcetrigger?t=a1xfoc&amp;q=XNAS%3aMDLZ&amp;form=skydnc</v>
    <v>Learn more on Bing</v>
  </rv>
  <rv s="1">
    <v>0</v>
    <v>1</v>
    <v>Mondelez International, Inc. (XNAS:MDLZ)</v>
    <v>3</v>
    <v>4</v>
    <v>Finance</v>
    <v>5</v>
    <v>de-DE</v>
    <v>a1xfoc</v>
    <v>268435456</v>
    <v>1</v>
    <v>Unterstützt von Refinitiv</v>
    <v>71.150000000000006</v>
    <v>51.200800000000001</v>
    <v>-0.56999999999999995</v>
    <v>-9.8890000000000002E-3</v>
    <v>1281846000</v>
    <v>Mondelez International, Inc. Ist ein Imbissunternehmen. Das Kerngeschäft des Unternehmens ist die Herstellung und der Verkauf von Schokolade, Keksen und gebackenen Snacks. Das Unternehmen unterhält auch weitere Geschäftsbereiche in benachbarten, lokal relevanten Kategorien, darunter Kaugummi und Süßigkeiten, Käse und Lebensmittel sowie Pulvergetränke. Das Portfolio umfasst globale und lokale Marken wie Oreo, Ritz, LU, Clif Bar und Tate's Bake Shop Kekse und gebackene Snacks sowie Cadbury Milchmilch, Milka und Toblerone Schokolade. Zu den Segmenten des Unternehmens zählen Lateinamerika, AMEA, Europa und Nordamerika. Das Unternehmen verkauft seine Produkte in über 150 Ländern und ist in etwa 80 Ländern tätig, darunter 147 Hauptproduktions- und Verarbeitungsbetriebe in 46 Ländern. Es verkauft seine Produkte an Supermarktketten, Großhändler, Superzentren, Clubläden, Massenhändler, Vertriebshändler, 24-Stunden-Geschäfte, Tankstellen, Drogerien, Value Stores und andere Lebensmitteleinzelhandelsgeschäfte.</v>
    <v>0.38950000000000001</v>
    <v>73154951220</v>
    <v>Nasdaq Stock Market</v>
    <v>XNAS</v>
    <v>XNAS</v>
    <v>905 West Fulton Market, Suite 200, CHICAGO, IL, 60607 US</v>
    <v>57.65</v>
    <v>Food &amp; Tobacco</v>
    <v>Aktie</v>
    <v>30.203399999999998</v>
    <v>750</v>
    <v>46113.993775671093</v>
    <v>91000</v>
    <v>Mondelez International, Inc.</v>
    <v>56.51</v>
    <v>Mondelez International, Inc.</v>
    <v>57.62</v>
    <v>57.07</v>
    <v>57.64</v>
    <v>MDLZ</v>
    <v>Mondelez International, Inc. (XNAS:MDLZ)</v>
    <v>2000</v>
    <v>514</v>
    <v>10833875</v>
    <v>USD</v>
  </rv>
  <rv s="2">
    <v>751</v>
  </rv>
  <rv s="3">
    <fb>58.27</fb>
    <v>6</v>
  </rv>
  <rv s="0">
    <v>https://www.bing.com/financeapi/forcetrigger?t=a24c52&amp;q=XNAS%3aTMUS&amp;form=skydnc</v>
    <v>Learn more on Bing</v>
  </rv>
  <rv s="1">
    <v>0</v>
    <v>1</v>
    <v>T-MOBILE US, INC. (XNAS:TMUS)</v>
    <v>3</v>
    <v>4</v>
    <v>Finance</v>
    <v>5</v>
    <v>de-DE</v>
    <v>a24c52</v>
    <v>268435456</v>
    <v>1</v>
    <v>Unterstützt von Refinitiv</v>
    <v>272.60000000000002</v>
    <v>181.36</v>
    <v>-5.78</v>
    <v>-2.7519999999999999E-2</v>
    <v>1101863000</v>
    <v>T-Mobile US, Inc. Ist ein Anbieter von drahtlosen Kommunikationsdiensten, einschließlich Sprach-, Messaging- und Datendiensten, unter seinen Flaggschiffmarken T-Mobile and Metro by T-Mobile und Mint Mobile in den Vereinigten Staaten, Puerto Rico und den amerikanischen Jungferninseln. Es bietet drahtlose Kommunikationsdienste hauptsächlich über sein 4G Long Term Evolution-Netzwerk und sein 5G-Technologienetzwerk an. Darüber hinaus bietet es eine Auswahl an drahtlosen Geräten, darunter Mobilteile, Tablets und andere mobile Kommunikationsgeräte, sowie Zubehör zum Verkauf sowie Finanzierung durch Ratenzahlungspläne für Geräte. Das Hauptangebot des Serviceplans ist Go5G Plus, das unbegrenzte Sprechzeiten, Text und Daten im Netzwerk, 5G-Zugang ohne zusätzliche Kosten, Betrugsschutzfunktionen und vieles mehr umfasst. Zusätzlich zu seinen drahtlosen Kommunikationsdiensten bietet das Unternehmen auch Hochgeschwindigkeits-Internet an, das ein drahtloses Produkt umfasst, das die überschüssige Kapazität seines landesweiten 5G-Netzes nutzt. Es bietet auch Werbelösungen an.</v>
    <v>0.4219</v>
    <v>225055517750</v>
    <v>Nasdaq Stock Market</v>
    <v>XNAS</v>
    <v>XNAS</v>
    <v>12920 Se 38Th Street, BELLEVUE, WA, 98006 US</v>
    <v>209.315</v>
    <v>Telecommunications Services</v>
    <v>Aktie</v>
    <v>21.020900000000001</v>
    <v>754</v>
    <v>46113.999632013278</v>
    <v>75000</v>
    <v>T-MOBILE US, INC.</v>
    <v>201.09</v>
    <v>T-MOBILE US, INC.</v>
    <v>208.42</v>
    <v>204.25</v>
    <v>210.03</v>
    <v>TMUS</v>
    <v>T-MOBILE US, INC. (XNAS:TMUS)</v>
    <v>2004</v>
    <v>29</v>
    <v>5605484</v>
    <v>USD</v>
  </rv>
  <rv s="2">
    <v>755</v>
  </rv>
  <rv s="3">
    <fb>210.82</fb>
    <v>6</v>
  </rv>
  <rv s="0">
    <v>https://www.bing.com/financeapi/forcetrigger?t=a1rjec&amp;q=XNAS%3aEA&amp;form=skydnc</v>
    <v>Learn more on Bing</v>
  </rv>
  <rv s="1">
    <v>0</v>
    <v>1</v>
    <v>ELECTRONIC ARTS INC. (XNAS:EA)</v>
    <v>3</v>
    <v>4</v>
    <v>Finance</v>
    <v>19</v>
    <v>de-DE</v>
    <v>a1rjec</v>
    <v>268435456</v>
    <v>1</v>
    <v>Unterstützt von Refinitiv</v>
    <v>204.88499999999999</v>
    <v>131.15</v>
    <v>-0.28999999999999998</v>
    <v>-1.4219999999999999E-3</v>
    <v>250253700</v>
    <v>Electronic Arts Inc. Ist ein Unternehmen für digitale interaktive Unterhaltung. Das Unternehmen entwickelt und liefert Spiele, Inhalte und Online-Dienste für Konsolen, Mobilgeräte und PCs mit Internetanschluss. Es entwickelt und veröffentlicht Spiele und Erlebnisse in verschiedenen Genres, wie Sport, Rennsport, Ego-Shooter, Action, Rollenspiel und Simulation. Das Portfolio an Marken umfasst EA SPORTS FC, Battlefield, Apex Legends, die Sims, EA SPORTS Madden NFL, EA SPORTS College Football, Need for Speed, Dragon Age, Titanfall, Plants vs. Zombies und EA SPORTS F1. Das Unternehmen bietet auch Live-Services an, einschließlich zusätzlicher Inhalte, Abonnementangebote und anderer Einnahmen, die außerhalb des Verkaufs seiner vollständigen Spiele erzielt werden. Das Unternehmen vertreibt seine Konsolenprodukte und -Dienste in erster Linie über Partner wie Sony und Microsoft. Sie vertreibt ihre mobilen Anwendungen und zusätzlichen Inhalte über Distributoren wie Apple und Google.</v>
    <v>0.7258</v>
    <v>50946648246</v>
    <v>Nasdaq Stock Market</v>
    <v>XNAS</v>
    <v>XNAS</v>
    <v>209 Redwood Shores Pkwy, REDWOOD CITY, CA, 94065 US</v>
    <v>204.2</v>
    <v>Software &amp; IT Services</v>
    <v>Aktie</v>
    <v>76.152199999999993</v>
    <v>758</v>
    <v>46113.994416087502</v>
    <v>14500</v>
    <v>ELECTRONIC ARTS INC.</v>
    <v>202.91499999999999</v>
    <v>ELECTRONIC ARTS INC.</v>
    <v>203.35</v>
    <v>203.58</v>
    <v>203.87</v>
    <v>EA</v>
    <v>ELECTRONIC ARTS INC. (XNAS:EA)</v>
    <v>1991</v>
    <v>2179656</v>
    <v>2449753</v>
    <v>USD</v>
  </rv>
  <rv s="2">
    <v>759</v>
  </rv>
  <rv s="3">
    <fb>202.01</fb>
    <v>6</v>
  </rv>
  <rv s="0">
    <v>https://www.bing.com/financeapi/forcetrigger?t=a1pwqh&amp;q=XNAS%3aCMCSA&amp;form=skydnc</v>
    <v>Learn more on Bing</v>
  </rv>
  <rv s="1">
    <v>0</v>
    <v>1</v>
    <v>COMCAST CORPORATION (XNAS:CMCSA)</v>
    <v>3</v>
    <v>4</v>
    <v>Finance</v>
    <v>5</v>
    <v>de-DE</v>
    <v>a1pwqh</v>
    <v>268435456</v>
    <v>1</v>
    <v>Unterstützt von Refinitiv</v>
    <v>34.789200000000001</v>
    <v>24.1234</v>
    <v>-0.33</v>
    <v>-1.1628000000000001E-2</v>
    <v>3597846000</v>
    <v>Comcast Corporation ist ein globales Medien- und Technologieunternehmen. Das Unternehmen bietet Breitband, Wireless und Video durch Xfinity, Comcast Business und Sky; produziert, vertreibt und streamt Unterhaltung, Sport und Nachrichten durch Marken, einschließlich NBC, Telemundo, Universal, Peacock und Sky; und bringt Themenparks und Attraktionen zum Leben durch Universal Destinations &amp; Experiences. Das Unternehmen ist in zwei Hauptgeschäftsbereichen tätig: Konnektivität &amp; Plattformen und Inhalte &amp; Erlebnisse. Connectivity &amp; Platforms umfasst das Breitband-, Drahtlos-, Video- und drahtgebundene Sprachgeschäft in den Vereinigten Staaten, Großbritannien und Italien. Dazu gehört auch der Betrieb der Unterhaltungsfernsehnetze der Marke Sky im Vereinigten Königreich und in Italien. Content &amp; Experiences umfasst die Medien- und Unterhaltungsgeschäfte des Unternehmens, die Unterhaltung, Sport, Nachrichten und andere Inhalte für ein weltweites Publikum produzieren und verbreiten sowie Themenparks und Attraktionen in den USA und Asien besitzen und betreiben.</v>
    <v>0.7923</v>
    <v>100919580300</v>
    <v>Nasdaq Stock Market</v>
    <v>XNAS</v>
    <v>XNAS</v>
    <v>One Comcast Center, PHILADELPHIA, PA, 19103-2838 US</v>
    <v>28.39</v>
    <v>Telecommunications Services</v>
    <v>Aktie</v>
    <v>5.2179000000000002</v>
    <v>762</v>
    <v>46113.999506330467</v>
    <v>179000</v>
    <v>COMCAST CORPORATION</v>
    <v>27.75</v>
    <v>COMCAST CORPORATION</v>
    <v>28.23</v>
    <v>28.05</v>
    <v>28.38</v>
    <v>CMCSA</v>
    <v>COMCAST CORPORATION (XNAS:CMCSA)</v>
    <v>2001</v>
    <v>715</v>
    <v>36031716</v>
    <v>USD</v>
  </rv>
  <rv s="2">
    <v>763</v>
  </rv>
  <rv s="3">
    <fb>28.33</fb>
    <v>6</v>
  </rv>
  <rv s="0">
    <v>https://www.bing.com/financeapi/forcetrigger?t=bvhx27&amp;q=XTSX%3aPEAK&amp;form=skydnc</v>
    <v>Learn more on Bing</v>
  </rv>
  <rv s="10">
    <v>29</v>
    <v>30</v>
    <v>Sun Peak Metals (XTSX:PEAK)</v>
    <v>3</v>
    <v>31</v>
    <v>Finance</v>
    <v>27</v>
    <v>de-DE</v>
    <v>bvhx27</v>
    <v>268435456</v>
    <v>1</v>
    <v>Unterstützt von Refinitiv</v>
    <v>0.55000000000000004</v>
    <v>0.15</v>
    <v>-0.01</v>
    <v>-2.5640999999999997E-2</v>
    <v>164217200</v>
    <v>Sun Peak Metals Corp. is a Canada-based company. The Company’s principal business is the acquisition, exploration, and development of resource properties for the mining of precious or base metals in Ethiopia. The Company is exploring the district-scale Shire VMS Project in the Tigray Region of northern Ethiopia. The Shire Project is comprised of six exploration licenses and covers approximately 1,450 square kilometers in the prospective Arabian Nubian Shield. The licenses are in the same geological environment as both the Bisha Mine and the Asmara Projects. The Meli and Terer Licenses are part of a joint-venture agreement with Ezana Mining, a private Ethiopian Company and the other four are 100% owned by the Company.</v>
    <v>2.3871000000000002</v>
    <v>62402536</v>
    <v>TSX Venture Exchange</v>
    <v>XTSX</v>
    <v>XTSX</v>
    <v>Suite 3200 - 733 Seymour St, VANCOUVER, BC, V6B 0S6 CA</v>
    <v>0.38500000000000001</v>
    <v>Metals &amp; Mining</v>
    <v>Aktie</v>
    <v>0</v>
    <v>766</v>
    <v>46113.787361111114</v>
    <v>Sun Peak Metals</v>
    <v>0.38</v>
    <v>Sun Peak Metals</v>
    <v>0.38500000000000001</v>
    <v>0.38</v>
    <v>0.39</v>
    <v>PEAK</v>
    <v>Sun Peak Metals (XTSX:PEAK)</v>
    <v>2016</v>
    <v>34500</v>
    <v>81500</v>
    <v>CAD</v>
  </rv>
  <rv s="2">
    <v>767</v>
  </rv>
  <rv s="3">
    <fb>0.39</fb>
    <v>32</v>
  </rv>
  <rv s="0">
    <v>https://www.bing.com/financeapi/forcetrigger?t=a1rk52&amp;q=XNAS%3aEBAY&amp;form=skydnc</v>
    <v>Learn more on Bing</v>
  </rv>
  <rv s="1">
    <v>0</v>
    <v>1</v>
    <v>EBAY INC. (XNAS:EBAY)</v>
    <v>3</v>
    <v>4</v>
    <v>Finance</v>
    <v>5</v>
    <v>de-DE</v>
    <v>a1rk52</v>
    <v>268435456</v>
    <v>1</v>
    <v>Unterstützt von Refinitiv</v>
    <v>101.15</v>
    <v>58.71</v>
    <v>2.11</v>
    <v>2.3182000000000001E-2</v>
    <v>448000000</v>
    <v>eBay Inc. ist ein weltweit tätiges Handelsunternehmen. Die Technologie des Unternehmens ermöglicht es Käufern und Verkäufern in mehr als 190 Märkten auf der ganzen Welt. Das Geschäft des Unternehmens umfasst seinen Online-Marktplatz unter www.ebay.com und seine lokalisierten Gegenstücke, seine plattformunabhängigen Marktplätze und seine Reihe von mobilen Anwendungen. Das Unternehmen bietet seinen Verkäufern und Käufern eine Reihe von Funktionen, die mit seinem Ansatz übereinstimmen, Technologie, einschließlich generativer KI, einzusetzen, um das Marktplatzerlebnis für seine Kunden zu verbessern. Für Verkäufer konzentriert sich das Unternehmen auf die Vereinfachung ihrer Geschäftsprozesse, um ihre Verkäufe zu fördern. Für Verkäufer in den Vereinigten Staaten bietet das Unternehmen das eBay International Shipping Programm an. Für Käufer verändert das Unternehmen die Art und Weise, wie sie Inventar durch Entdeckung, Personalisierung und andere Erfahrungen finden. Es hat Explore eingeführt, einen KI-gestützten Shopping-Feed, der es den Nutzern ermöglicht, eine Liste mit personalisierten Empfehlungen zu durchsuchen, die auf ihren Interessen, Stilvorlieben und Größen basieren.</v>
    <v>1.3304</v>
    <v>41722240000</v>
    <v>Nasdaq Stock Market</v>
    <v>XNAS</v>
    <v>XNAS</v>
    <v>2025 Hamilton Avenue, SAN JOSE, CA, 95125 US</v>
    <v>93.38</v>
    <v>Software &amp; IT Services</v>
    <v>Aktie</v>
    <v>21.8081</v>
    <v>770</v>
    <v>46113.994120798438</v>
    <v>12300</v>
    <v>EBAY INC.</v>
    <v>90.54</v>
    <v>EBAY INC.</v>
    <v>91.91</v>
    <v>93.13</v>
    <v>91.02</v>
    <v>EBAY</v>
    <v>EBAY INC. (XNAS:EBAY)</v>
    <v>1998</v>
    <v>1</v>
    <v>5097703</v>
    <v>USD</v>
  </rv>
  <rv s="2">
    <v>771</v>
  </rv>
  <rv s="3">
    <fb>87.98</fb>
    <v>6</v>
  </rv>
  <rv s="0">
    <v>https://www.bing.com/financeapi/forcetrigger?t=a1tppr&amp;q=XNYS%3aGD&amp;form=skydnc</v>
    <v>Learn more on Bing</v>
  </rv>
  <rv s="1">
    <v>0</v>
    <v>1</v>
    <v>GENERAL DYNAMICS CORPORATION (XNYS:GD)</v>
    <v>3</v>
    <v>4</v>
    <v>Finance</v>
    <v>5</v>
    <v>de-DE</v>
    <v>a1tppr</v>
    <v>268435456</v>
    <v>1</v>
    <v>Unterstützt von Refinitiv</v>
    <v>369.7</v>
    <v>239.2</v>
    <v>7.31</v>
    <v>2.1297999999999997E-2</v>
    <v>270845900</v>
    <v>General Dynamics Corporation ist ein globales Luft- und Raumfahrt- sowie Verteidigungsunternehmen. Es bietet ein Portfolio von Produkten und Dienstleistungen in den Bereichen Geschäftsluftfahrt, Schiffsbau und -reparatur, Landkampffahrzeuge, Waffensysteme und Munition sowie Technologieprodukte und -dienstleistungen. Zu den Segmenten gehören Luft- und Raumfahrt, Marinesysteme, Kampfsysteme und Technologien. Das Segment Luft- und Raumfahrt produziert Geschäftsreiseflugzeuge und ist führend in den Bereichen Flugzeuge neuer Technologie, Flugzeugreparatur, Kundensupport und kundenspezifische Fertigstellungsdienstleistungen. Das Segment Marinesysteme entwickelt und baut atomgetriebene U-Boote und beschäftigt sich mit der Entwicklung und dem Bau von Überwasserkampfschiffen und Hilfsschiffen für die US Navy. Das Segment Kampfsysteme fertigt weltweit Landkampflösungen, darunter Rad- und Kettenkampffahrzeuge, Waffensysteme und Munition. Das Segment Technologien bietet ein umfassendes Spektrum an Dienstleistungen, Technologien und Produkten für eine Reihe von Kunden aus den Bereichen Militär, Geheimdienste, Bund, Zivilbevölkerung und Länder.</v>
    <v>0.38729999999999998</v>
    <v>94939613327</v>
    <v>New York Stock Exchange</v>
    <v>XNYS</v>
    <v>XNYS</v>
    <v>11011 Sunset Hills Rd, RESTON, VA, 20190 US</v>
    <v>353.03</v>
    <v>Aerospace &amp; Defense</v>
    <v>Aktie</v>
    <v>22.682500000000001</v>
    <v>774</v>
    <v>46113.999075520311</v>
    <v>117000</v>
    <v>GENERAL DYNAMICS CORPORATION</v>
    <v>345.1</v>
    <v>GENERAL DYNAMICS CORPORATION</v>
    <v>346.81</v>
    <v>350.53</v>
    <v>343.22</v>
    <v>GD</v>
    <v>GENERAL DYNAMICS CORPORATION (XNYS:GD)</v>
    <v>1952</v>
    <v>118</v>
    <v>1364946</v>
    <v>USD</v>
  </rv>
  <rv s="2">
    <v>775</v>
  </rv>
  <rv s="3">
    <fb>346.76</fb>
    <v>6</v>
  </rv>
  <rv s="0">
    <v>https://www.bing.com/financeapi/forcetrigger?t=a1mscw&amp;q=XNAS%3aACGL&amp;form=skydnc</v>
    <v>Learn more on Bing</v>
  </rv>
  <rv s="1">
    <v>0</v>
    <v>1</v>
    <v>ARCH CAPITAL GROUP LTD. (XNAS:ACGL)</v>
    <v>3</v>
    <v>4</v>
    <v>Finance</v>
    <v>19</v>
    <v>de-DE</v>
    <v>a1mscw</v>
    <v>268435456</v>
    <v>1</v>
    <v>Unterstützt von Refinitiv</v>
    <v>103.39</v>
    <v>82.444999999999993</v>
    <v>-0.5</v>
    <v>-5.2090000000000001E-3</v>
    <v>356272800</v>
    <v>Arch Capital Group Ltd. Ist ein auf Bermuda ansässiges Unternehmen, das über seine Tochtergesellschaften Versicherungs-, Rückversicherungs- und Hypothekenversicherungen anbietet. Das Versicherungssegment besteht aus den versicherungstechnischen Einheiten des Unternehmens, die Spezialproduktlinien anbieten, einschließlich Baugewerbe und volkswirtschaftliche Gesamtrechnungen, Überschussunfälle, Berufszweige, Programme, Immobilien, Energie, See- und Luftfahrt; Reisen, Unfall und Gesundheit; Garantie- und Kreditgeber-Lösungen und andere (bestehend aus alternativen Märkten, Entschädigung für überschüssige Arbeitskräfte und Bürgschaftsgeschäften). Das Rückversicherungssegment besteht aus seinen rückversicherungsversicherungstechnischen Einheiten, die Spezialproduktlinien anbieten, darunter Unfall-, See- und Luftfahrt-, Sonstige Spezialgebiete und Sachkatastrophen; Immobilien ohne Sachkatastrophe und sonstige (bestehend aus Lebensrückversicherung und sonstigen). Das Segment Hypotheken umfasst das Geschäft mit der primären Hypothekenversicherung in den USA, Investitionen und Dienstleistungen im Zusammenhang mit der Übertragung von Kreditrisiken in den USA.</v>
    <v>0.40679999999999999</v>
    <v>34020489672</v>
    <v>Nasdaq Stock Market</v>
    <v>XNAS</v>
    <v>XNAS</v>
    <v>WATERLOO HOUSE, GROUND FLOOR, 100 PITTS BAY ROAD, PEMBROKE, HM 08 BM</v>
    <v>95.8</v>
    <v>Insurance</v>
    <v>Aktie</v>
    <v>8.2163000000000004</v>
    <v>778</v>
    <v>46113.948505126566</v>
    <v>8000</v>
    <v>ARCH CAPITAL GROUP LTD.</v>
    <v>94.67</v>
    <v>ARCH CAPITAL GROUP LTD.</v>
    <v>95.73</v>
    <v>95.49</v>
    <v>95.99</v>
    <v>ACGL</v>
    <v>ARCH CAPITAL GROUP LTD. (XNAS:ACGL)</v>
    <v>2000</v>
    <v>2325493</v>
    <v>1800338</v>
    <v>USD</v>
  </rv>
  <rv s="2">
    <v>779</v>
  </rv>
  <rv s="3">
    <fb>93.42</fb>
    <v>6</v>
  </rv>
  <rv s="0">
    <v>https://www.bing.com/financeapi/forcetrigger?t=a1pnu2&amp;q=XNAS%3aCHRW&amp;form=skydnc</v>
    <v>Learn more on Bing</v>
  </rv>
  <rv s="1">
    <v>0</v>
    <v>1</v>
    <v>C.H. ROBINSON WORLDWIDE, INC. (XNAS:CHRW)</v>
    <v>3</v>
    <v>4</v>
    <v>Finance</v>
    <v>5</v>
    <v>de-DE</v>
    <v>a1pnu2</v>
    <v>268435456</v>
    <v>1</v>
    <v>Unterstützt von Refinitiv</v>
    <v>203.34</v>
    <v>84.678799999999995</v>
    <v>2.4300000000000002</v>
    <v>1.4632000000000001E-2</v>
    <v>117850400</v>
    <v>C.H. Robinson Worldwide, Inc. ist ein globaler Logistikanbieter. Zu den Unternehmenssegmenten zählen North American Surface Transportation (NAST), Global Forwarding sowie All Other and Corporate. Das Segment NAST bietet über ein Netzwerk von Niederlassungen in den USA, Kanada und Mexiko Transport- und Logistikdienstleistungen in ganz Nordamerika an. Zu den Dienstleistungen des Segments NAST gehören die Vermittlung von Komplettladungen und Teilladungen. Das Segment Global Forwarding bietet Transport- und Logistikdienstleistungen über ein internationales Netzwerk von Niederlassungen in Nordamerika, Europa, Asien, Ozeanien, Südamerika und dem Nahen Osten an und arbeitet weltweit mit unabhängigen Agenten zusammen. Zu den Dienstleistungen des Segments Global Forwarding gehören Seefracht, Luftfracht und Zollabfertigung. Das Segment All Other and Corporate umfasst Robinson Fresh und Managed Solutions. Robinson Fresh bietet Beschaffungsdienste an. Im Geschäftsbereich Managed Solutions fungiert das Unternehmen häufig als Agent des Spediteurs.</v>
    <v>0.93579999999999997</v>
    <v>19857792400</v>
    <v>Nasdaq Stock Market</v>
    <v>XNAS</v>
    <v>XNAS</v>
    <v>14701 Charlson Rd, EDEN PRAIRIE, MN, 55347 US</v>
    <v>170.78</v>
    <v>Freight &amp; Logistics Services</v>
    <v>Aktie</v>
    <v>34.870899999999999</v>
    <v>782</v>
    <v>46113.972364339847</v>
    <v>11855</v>
    <v>C.H. ROBINSON WORLDWIDE, INC.</v>
    <v>166.58</v>
    <v>C.H. ROBINSON WORLDWIDE, INC.</v>
    <v>167.7</v>
    <v>168.5</v>
    <v>166.07</v>
    <v>CHRW</v>
    <v>C.H. ROBINSON WORLDWIDE, INC. (XNAS:CHRW)</v>
    <v>1997</v>
    <v>1</v>
    <v>1659792</v>
    <v>USD</v>
  </rv>
  <rv s="2">
    <v>783</v>
  </rv>
  <rv s="3">
    <fb>161.57</fb>
    <v>6</v>
  </rv>
  <rv s="0">
    <v>https://www.bing.com/financeapi/forcetrigger?t=a23r27&amp;q=XNYS%3aSTT&amp;form=skydnc</v>
    <v>Learn more on Bing</v>
  </rv>
  <rv s="1">
    <v>0</v>
    <v>1</v>
    <v>STATE STREET CORPORATION (XNYS:STT)</v>
    <v>3</v>
    <v>4</v>
    <v>Finance</v>
    <v>19</v>
    <v>de-DE</v>
    <v>a23r27</v>
    <v>268435456</v>
    <v>1</v>
    <v>Unterstützt von Refinitiv</v>
    <v>137.04990000000001</v>
    <v>72.81</v>
    <v>2.5299999999999998</v>
    <v>2.0124E-2</v>
    <v>278728200</v>
    <v>Die State Street Corporation ist eine Finanzholdinggesellschaft. Das Unternehmen bietet über seine Tochtergesellschaft State Street Bank and Trust Company (State Street Bank) eine Reihe von Finanzprodukten und Dienstleistungen für institutionelle Anleger an. Sie ist in zwei Geschäftsbereichen tätig: Investment Service und Investment Management. Der Geschäftsbereich Investment Services bietet institutionelle Kunden eine Reihe von Dienstleistungen sowie Markt- und Finanzierungslösungen, darunter Investmentfonds, kollektive Investmentfonds und andere Anlagepools, betriebliche und öffentliche Altersvorsorgepläne, Versicherungsgesellschaften, Investmentmanager, Stiftungen und Stiftungen weltweit. Über State Street Investment Services, State Street Markets und State Street Alpha bietet das Unternehmen eine Reihe von Lösungen an, darunter Transaktionsmanagement, Derivate, Sicherheiten und andere. Der Geschäftsbereich Investment Management bietet über State Street Investment Management eine Reihe von Lösungen und Produkten für das Investment Management an.</v>
    <v>1.3838999999999999</v>
    <v>35746891650</v>
    <v>New York Stock Exchange</v>
    <v>XNYS</v>
    <v>XNYS</v>
    <v>1 Congress Street, Suite 1, BOSTON, MA, 02114 US</v>
    <v>129.34</v>
    <v>Investment Banking &amp; Investment Services</v>
    <v>Aktie</v>
    <v>13.5723</v>
    <v>786</v>
    <v>46113.958333344533</v>
    <v>51503</v>
    <v>STATE STREET CORPORATION</v>
    <v>126.78</v>
    <v>STATE STREET CORPORATION</v>
    <v>127.21</v>
    <v>128.25</v>
    <v>125.72</v>
    <v>STT</v>
    <v>STATE STREET CORPORATION (XNYS:STT)</v>
    <v>1969</v>
    <v>1798928</v>
    <v>2255563</v>
    <v>USD</v>
  </rv>
  <rv s="2">
    <v>787</v>
  </rv>
  <rv s="3">
    <fb>122.52</fb>
    <v>6</v>
  </rv>
  <rv s="0">
    <v>https://www.bing.com/financeapi/forcetrigger?t=a1qpw7&amp;q=XNYS%3aD&amp;form=skydnc</v>
    <v>Learn more on Bing</v>
  </rv>
  <rv s="1">
    <v>0</v>
    <v>1</v>
    <v>Dominion Energy, Inc. (XNYS:D)</v>
    <v>3</v>
    <v>4</v>
    <v>Finance</v>
    <v>5</v>
    <v>de-DE</v>
    <v>a1qpw7</v>
    <v>268435456</v>
    <v>1</v>
    <v>Unterstützt von Refinitiv</v>
    <v>67.569900000000004</v>
    <v>48.07</v>
    <v>0.23</v>
    <v>3.7199999999999998E-3</v>
    <v>878964700</v>
    <v>Dominion Energy, Inc. Ist ein Anbieter regulierter Elektrizitätsdienste für etwa 3,6 Millionen Haushalte und Unternehmen in Virginia, North Carolina und South Carolina sowie regulierter Erdgasdienste für 500.000 Kunden in South Carolina. Sie ist Entwickler und Betreiber regulierter Offshore-Wind- und Solarenergie und Produzent von kohlenstofffreiem Strom in Neuengland. Das Segment Dominion Energy Virginia umfasst die regulierten elektrischen Übertragungs-, Verteilungs- und Erzeugungsbetriebe von Virginia Power, die Haushalte und Unternehmen in Virginia und North Carolina versorgen. Das Segment Dominion Energy South Carolina umfasst die Erzeugung, Übertragung und Verteilung von Strom an Kunden in den zentralen, südlichen und südwestlichen Teilen von South Carolina sowie die Verteilung von Erdgas an Haushalte, Gewerbe und Industrie in South Carolina. Das unter Vertrag genommene Segment Energie umfasst nicht regulierte Stromerzeugungsflotte und den Betrieb von erneuerbarem Erdgas.</v>
    <v>0.65849999999999997</v>
    <v>54539759635</v>
    <v>New York Stock Exchange</v>
    <v>XNYS</v>
    <v>XNYS</v>
    <v>600 EAST CANAL STREET, RICHMOND, VA, 23219 US</v>
    <v>62.445</v>
    <v>Electrical Utilities &amp; IPPs</v>
    <v>Aktie</v>
    <v>17.973099999999999</v>
    <v>790</v>
    <v>46113.987226157034</v>
    <v>15200</v>
    <v>Dominion Energy, Inc.</v>
    <v>61.61</v>
    <v>Dominion Energy, Inc.</v>
    <v>61.61</v>
    <v>62.05</v>
    <v>61.82</v>
    <v>D</v>
    <v>Dominion Energy, Inc. (XNYS:D)</v>
    <v>1983</v>
    <v>28</v>
    <v>4869844</v>
    <v>USD</v>
  </rv>
  <rv s="2">
    <v>791</v>
  </rv>
  <rv s="3">
    <fb>60.88</fb>
    <v>6</v>
  </rv>
  <rv s="0">
    <v>https://www.bing.com/financeapi/forcetrigger?t=a24j8m&amp;q=XNYS%3aTRV&amp;form=skydnc</v>
    <v>Learn more on Bing</v>
  </rv>
  <rv s="1">
    <v>0</v>
    <v>1</v>
    <v>The Travelers Companies, Inc. (XNYS:TRV)</v>
    <v>3</v>
    <v>4</v>
    <v>Finance</v>
    <v>5</v>
    <v>de-DE</v>
    <v>a24j8m</v>
    <v>268435456</v>
    <v>1</v>
    <v>Unterstützt von Refinitiv</v>
    <v>313.12</v>
    <v>230.43</v>
    <v>-1.1499999999999999</v>
    <v>-3.9429999999999995E-3</v>
    <v>216237900</v>
    <v>The Travelers Companies, Inc. ist ein Anbieter von Schaden- und Unfallversicherungen für Auto, Haus und Unternehmen. Zu den Geschäftsbereichen des Unternehmens gehören Unternehmensversicherungen, Kautions- und Spezialversicherungen sowie Personenversicherungen. Das Geschäftsversicherungssegment bietet eine breite Palette von Sach- und Unfallversicherungsprodukten und -dienstleistungen an. Das Segment Bond &amp; Specialty Insurance bietet Kautions-, Vertrauensschaden-, Managementhaftpflicht-, Berufshaftpflicht- und andere Sach- und Unfallversicherungen sowie damit verbundene Risikomanagement-Dienstleistungen vor allem in den USA und bestimmte Kautions- und Spezialversicherungsprodukte in Kanada, Großbritannien und der Republik Irland sowie in Brasilien an. Das Segment Personenversicherung bietet eine breite Palette von Sach- und Unfallversicherungsprodukten und -dienstleistungen zur Absicherung persönlicher Risiken an, vor allem in den Vereinigten Staaten und in Kanada. Über seine Tochtergesellschaft Corvus Insurance Holdings, Inc. ist das Unternehmen als Managing General Underwriter für Cyber-Versicherungen tätig.</v>
    <v>0.52249999999999996</v>
    <v>62823597086</v>
    <v>New York Stock Exchange</v>
    <v>XNYS</v>
    <v>XNYS</v>
    <v>385 WASHINGTON ST, SAINT PAUL, MN, 55102 US</v>
    <v>292.81</v>
    <v>Insurance</v>
    <v>Aktie</v>
    <v>10.545999999999999</v>
    <v>794</v>
    <v>46113.958333344533</v>
    <v>34000</v>
    <v>The Travelers Companies, Inc.</v>
    <v>288.52</v>
    <v>The Travelers Companies, Inc.</v>
    <v>290.95999999999998</v>
    <v>290.52999999999997</v>
    <v>291.68</v>
    <v>TRV</v>
    <v>The Travelers Companies, Inc. (XNYS:TRV)</v>
    <v>1853</v>
    <v>1</v>
    <v>1507198</v>
    <v>USD</v>
  </rv>
  <rv s="2">
    <v>795</v>
  </rv>
  <rv s="3">
    <fb>285.27</fb>
    <v>6</v>
  </rv>
  <rv s="0">
    <v>https://www.bing.com/financeapi/forcetrigger?t=a1vv8m&amp;q=XNYS%3aITW&amp;form=skydnc</v>
    <v>Learn more on Bing</v>
  </rv>
  <rv s="1">
    <v>0</v>
    <v>1</v>
    <v>ILLINOIS TOOL WORKS INC. (XNYS:ITW)</v>
    <v>3</v>
    <v>4</v>
    <v>Finance</v>
    <v>5</v>
    <v>de-DE</v>
    <v>a1vv8m</v>
    <v>268435456</v>
    <v>1</v>
    <v>Unterstützt von Refinitiv</v>
    <v>303.15499999999997</v>
    <v>214.66</v>
    <v>0.25</v>
    <v>9.6049999999999998E-4</v>
    <v>288078100</v>
    <v>Illinois Tool Works Inc. Ist ein weltweit tätiger Hersteller einer breit gefächerten Palette an Industrieprodukten und -Geräten. Zu den Segmenten des Unternehmens gehören OEM-Automobil, Lebensmittelausrüstung, Prüf- und Messtechnik, Elektronik, Schweißen, Polymere und Flüssigkeiten, Bauprodukte und Spezialprodukte. Das OEM-Segment Automotive produziert Komponenten und Befestigungselemente für Anwendungen im Automobilbereich. Das Segment Food Equipment produziert Waschmaschinen, Kochgeräte, Kühlgeräte, Geräte zur Lebensmittelverarbeitung, Lüftungs- und Schadstoffbegrenzungssysteme und andere. Das Segment Schweißen produziert Lichtbogenschweißgeräte und Verbrauchsmaterialien für das Metallbogenschweißen sowie dazugehöriges Zubehör. Das Segment Construction ist ein Anbieter von technischen Befestigungssystemen und -Lösungen. Das Segment Specialty Products umfasst Fördersysteme und Anlagenautomatisierung für die Lebensmittel- und Getränkeindustrie, Verbrauchsmaterialien aus Kunststoff wie Mehrpackdosen und -Flaschen sowie zugehörige Geräte, Komponenten für medizinische Geräte und andere.</v>
    <v>1.1447000000000001</v>
    <v>75055868174</v>
    <v>New York Stock Exchange</v>
    <v>XNYS</v>
    <v>XNYS</v>
    <v>155 Harlem Avenue, GLENVIEW, IL, 60025 US</v>
    <v>263.34989999999999</v>
    <v>Consumer Goods Conglomerates</v>
    <v>Aktie</v>
    <v>24.8337</v>
    <v>798</v>
    <v>46113.986598032032</v>
    <v>43000</v>
    <v>ILLINOIS TOOL WORKS INC.</v>
    <v>259.44</v>
    <v>ILLINOIS TOOL WORKS INC.</v>
    <v>260.23</v>
    <v>260.54000000000002</v>
    <v>260.29000000000002</v>
    <v>ITW</v>
    <v>ILLINOIS TOOL WORKS INC. (XNYS:ITW)</v>
    <v>1961</v>
    <v>4</v>
    <v>1379269</v>
    <v>USD</v>
  </rv>
  <rv s="2">
    <v>799</v>
  </rv>
  <rv s="3">
    <fb>259.04000000000002</fb>
    <v>6</v>
  </rv>
  <rv s="0">
    <v>https://www.bing.com/financeapi/forcetrigger?t=a1zxa2&amp;q=XNYS%3aPKG&amp;form=skydnc</v>
    <v>Learn more on Bing</v>
  </rv>
  <rv s="1">
    <v>0</v>
    <v>1</v>
    <v>PACKAGING CORPORATION OF AMERICA (XNYS:PKG)</v>
    <v>3</v>
    <v>4</v>
    <v>Finance</v>
    <v>19</v>
    <v>de-DE</v>
    <v>a1zxa2</v>
    <v>268435456</v>
    <v>1</v>
    <v>Unterstützt von Refinitiv</v>
    <v>249.51</v>
    <v>172.715</v>
    <v>-0.95</v>
    <v>-4.4759999999999999E-3</v>
    <v>89027950</v>
    <v>Packaging Corporation of America ist ein Hersteller von Verpackungskartonprodukten und ein Hersteller von ungestrichenem Freiblatt (UFS)-Papier in Nordamerika. Das Unternehmen betreibt acht Werke und 86 Wellpappenfabriken und zugehörige Anlagen. Zu den Segmenten zählen Verpackung, Papier und Unternehmen und andere. In den Containerkartonfabriken werden Linerboard und Wellpappenmedien hergestellt, bei denen es sich um Papiere handelt, die hauptsächlich für die Herstellung von Wellpappenprodukten verwendet werden. In seinen Produktionsstätten für Wellpappenprodukte werden verschiedene Wellpappenverpackungen hergestellt. Darüber hinaus produziert das Unternehmen Verpackungen für Fleisch, frisches Obst und Gemüse, verarbeitete Lebensmittel, Getränke, und anderen Industrie- und Konsumgütern. Das Unternehmen produziert und verkauft Papier, einschließlich Standard- und Spezialpapiere, die benutzerdefinierte oder spezielle Eigenschaften wie Farben, Beschichtungen, hohe Helligkeit und Recyclingmaterial aufweisen können. Seine Papiere bestehen aus Kommunikationspapieren, einschließlich geschnittener Büropapiere, sowie Druck- und Konvertierungspapieren.</v>
    <v>0.91830000000000001</v>
    <v>18808934996</v>
    <v>New York Stock Exchange</v>
    <v>XNYS</v>
    <v>XNYS</v>
    <v>1 North Field Ct, LAKE FOREST, IL, 60045 US</v>
    <v>215.83</v>
    <v>Containers &amp; Packaging</v>
    <v>Aktie</v>
    <v>24.619299999999999</v>
    <v>802</v>
    <v>46113.995382291403</v>
    <v>16800</v>
    <v>PACKAGING CORPORATION OF AMERICA</v>
    <v>211.1301</v>
    <v>PACKAGING CORPORATION OF AMERICA</v>
    <v>214.21</v>
    <v>211.27</v>
    <v>212.22</v>
    <v>PKG</v>
    <v>PACKAGING CORPORATION OF AMERICA (XNYS:PKG)</v>
    <v>1999</v>
    <v>691588</v>
    <v>1113002</v>
    <v>USD</v>
  </rv>
  <rv s="2">
    <v>803</v>
  </rv>
  <rv s="3">
    <fb>212.25</fb>
    <v>6</v>
  </rv>
  <rv s="0">
    <v>https://www.bing.com/financeapi/forcetrigger?t=a1zzmw&amp;q=XNYS%3aPM&amp;form=skydnc</v>
    <v>Learn more on Bing</v>
  </rv>
  <rv s="1">
    <v>0</v>
    <v>1</v>
    <v>Philip Morris International Inc. (XNYS:PM)</v>
    <v>3</v>
    <v>4</v>
    <v>Finance</v>
    <v>5</v>
    <v>de-DE</v>
    <v>a1zzmw</v>
    <v>268435456</v>
    <v>1</v>
    <v>Unterstützt von Refinitiv</v>
    <v>191.3</v>
    <v>142.11000000000001</v>
    <v>-8.01</v>
    <v>-4.8445999999999996E-2</v>
    <v>1558530000</v>
    <v>Philip Morris International Inc. ist ein internationales Tabakunternehmen. Die Produktpalette des Unternehmens besteht hauptsächlich aus Zigaretten und rauchfreien Produkten. Das rauchfreie Geschäft (SFB) umfasst auch Wellness- und Gesundheitsprodukte sowie Verbraucherzubehör wie Feuerzeuge und Streichhölzer. Zu den Segmenten des Unternehmens gehören die Region Europa, Süd- und Südostasien, die Gemeinschaft Unabhängiger Staaten, der Nahe Osten und die Region Afrika (SSEA, CIS &amp; MEA), Ostasien, Australien &amp; PMI Global Travel Retail (EA, AU &amp; PMI GTR) und die Region Amerika. Zu den Marken des Unternehmens gehören Marlboro, HEETS, IQOS, IQOS ILUMA, TEREA, VEEV und ZYN. Das IQOS-Markenportfolio für rauchfreie Produkte umfasst erhitzte Tabak- und nikotinhaltige Dampferzeugnisse. Seine internationalen Zigarettenmarken sind Chesterfield, L&amp;M und Philip Morris. Das Unternehmen besitzt auch eine Reihe lokaler Zigarettenmarken, wie Dji Sam Soe und Sampoerna A in Indonesien sowie Fortune und Jackpot auf den Philippinen.</v>
    <v>0.45079999999999998</v>
    <v>245203524900</v>
    <v>New York Stock Exchange</v>
    <v>XNYS</v>
    <v>XNYS</v>
    <v>677 Washington Blvd, Ste. 1100, STAMFORD, CT, 06901 US</v>
    <v>162.47</v>
    <v>Food &amp; Tobacco</v>
    <v>Aktie</v>
    <v>21.6614</v>
    <v>806</v>
    <v>46113.999774976561</v>
    <v>84900</v>
    <v>Philip Morris International Inc.</v>
    <v>151.63</v>
    <v>Philip Morris International Inc.</v>
    <v>161.5</v>
    <v>157.33000000000001</v>
    <v>165.34</v>
    <v>PM</v>
    <v>Philip Morris International Inc. (XNYS:PM)</v>
    <v>2007</v>
    <v>581</v>
    <v>5123892</v>
    <v>USD</v>
  </rv>
  <rv s="2">
    <v>807</v>
  </rv>
  <rv s="3">
    <fb>163.54</fb>
    <v>6</v>
  </rv>
  <rv s="0">
    <v>https://www.bing.com/financeapi/forcetrigger?t=a1ra3m&amp;q=XNYS%3aDRI&amp;form=skydnc</v>
    <v>Learn more on Bing</v>
  </rv>
  <rv s="1">
    <v>0</v>
    <v>1</v>
    <v>DARDEN RESTAURANTS, INC. (XNYS:DRI)</v>
    <v>3</v>
    <v>4</v>
    <v>Finance</v>
    <v>5</v>
    <v>de-DE</v>
    <v>a1ra3m</v>
    <v>268435456</v>
    <v>1</v>
    <v>Unterstützt von Refinitiv</v>
    <v>228.27</v>
    <v>169</v>
    <v>-2.98</v>
    <v>-1.5200999999999999E-2</v>
    <v>114535000</v>
    <v>Darden Restaurants, Inc. Ist ein Restaurantunternehmen. Das Unternehmen besitzt und betreibt Full-Service-Restaurants in den USA und Kanada unter den Handelsnamen Olive Garden, Longhorn Steakhouse, Yard House, Ruth's Chris Steak House, Cheddar's Scratch Kitchen, The Capital Grille, Chuy's, Seasons 52, Eddie V's und Bahama Breeze. Es besitzt und betreibt etwa 2.140 Restaurants in den USA und Kanada. Zu den Segmenten gehören Olive Garden, Longhorn Steakhouse, Fine Dining und andere Unternehmen. Olive Garden ist ein italienischer Restaurantbetreiber mit vollem Serviceangebot in den Vereinigten Staaten. Das Longhorn Steakhouse ist ein Steakhouse-Restaurant mit vollem Serviceangebot, das eine Vielzahl von Gerichten wie Steaks und Huhn sowie Lachs, Garnelen und Burger bietet. Zu den hervorragenden Restaurants gehören Ruth's Chris, The Capital Grille und Eddie V's. Weitere Unternehmen sind Cheddar's Scratch Kitchen, Yard House, Bahama Breeze, Seasons 52 und der Capital Burger.</v>
    <v>0.62780000000000002</v>
    <v>22112127100</v>
    <v>New York Stock Exchange</v>
    <v>XNYS</v>
    <v>XNYS</v>
    <v>1000 Darden Center Dr, ORLANDO, FL, 32837 US</v>
    <v>197.28</v>
    <v>Hotels &amp; Entertainment Services</v>
    <v>Aktie</v>
    <v>20.2271</v>
    <v>810</v>
    <v>46113.958333356248</v>
    <v>197924</v>
    <v>DARDEN RESTAURANTS, INC.</v>
    <v>193.04</v>
    <v>DARDEN RESTAURANTS, INC.</v>
    <v>195.75</v>
    <v>193.06</v>
    <v>196.04</v>
    <v>DRI</v>
    <v>DARDEN RESTAURANTS, INC. (XNYS:DRI)</v>
    <v>1995</v>
    <v>1</v>
    <v>1606448</v>
    <v>USD</v>
  </rv>
  <rv s="2">
    <v>811</v>
  </rv>
  <rv s="3">
    <fb>192.49</fb>
    <v>6</v>
  </rv>
  <rv s="0">
    <v>https://www.bing.com/financeapi/forcetrigger?t=axxc6h&amp;q=XNAS%3aPFG&amp;form=skydnc</v>
    <v>Learn more on Bing</v>
  </rv>
  <rv s="1">
    <v>0</v>
    <v>1</v>
    <v>PRINCIPAL FINANCIAL GROUP, INC. (XNAS:PFG)</v>
    <v>3</v>
    <v>4</v>
    <v>Finance</v>
    <v>19</v>
    <v>de-DE</v>
    <v>axxc6h</v>
    <v>268435456</v>
    <v>1</v>
    <v>Unterstützt von Refinitiv</v>
    <v>97.88</v>
    <v>68.39</v>
    <v>-0.03</v>
    <v>-3.3290000000000001E-4</v>
    <v>216835100</v>
    <v>Principal Financial Group, Inc. ist ein globales Finanzunternehmen. Das Unternehmen bietet Unternehmen, Privatpersonen und institutionellen Kunden über seine vielfältige Finanzdienstleistungsgruppe eine Reihe von Finanzprodukten und -dienstleistungen an, darunter Altersvorsorge, Vermögensverwaltung und Versicherungen. Die Unternehmenssegmente umfassen Retirement and Income Solutions, Principal Asset Management sowie Benefits and Protection. Das Segment Retirement and Income Solutions bietet unter anderem Lösungen für betriebliche Altersvorsorge und Altersvorsorge, Bank-, Treuhand- und Depotdienstleistungen, individuelle variable Renten und Pensionsrisikotransfer. Das Segment Principal Asset Management bietet globale Anlagelösungen für institutionelle, private und vermögende Anleger, Altersvorsorge- und Privatkunden. Das Segment Benefits and Protection ist in Specialty Benefits gegliedert, das Gruppenzahnversicherungen, Gruppenlebensversicherungen, Gruppeninvaliditätsversicherungen, ergänzende Gesundheitsprodukte sowie individuelle Invaliditäts- und Lebensversicherungen anbietet.</v>
    <v>0.8821</v>
    <v>19532505808</v>
    <v>Nasdaq Stock Market</v>
    <v>XNAS</v>
    <v>XNAS</v>
    <v>711 High Street, DES MOINES, IA, 50392 US</v>
    <v>91.26</v>
    <v>Insurance</v>
    <v>Aktie</v>
    <v>17.068300000000001</v>
    <v>814</v>
    <v>46113.924367997657</v>
    <v>19700</v>
    <v>PRINCIPAL FINANCIAL GROUP, INC.</v>
    <v>89.625</v>
    <v>PRINCIPAL FINANCIAL GROUP, INC.</v>
    <v>90.44</v>
    <v>90.08</v>
    <v>90.11</v>
    <v>PFG</v>
    <v>PRINCIPAL FINANCIAL GROUP, INC. (XNAS:PFG)</v>
    <v>2001</v>
    <v>1167215</v>
    <v>1775156</v>
    <v>USD</v>
  </rv>
  <rv s="2">
    <v>815</v>
  </rv>
  <rv s="3">
    <fb>87.01</fb>
    <v>6</v>
  </rv>
  <rv s="0">
    <v>https://www.bing.com/financeapi/forcetrigger?t=a1wpxm&amp;q=XNYS%3aL&amp;form=skydnc</v>
    <v>Learn more on Bing</v>
  </rv>
  <rv s="1">
    <v>0</v>
    <v>1</v>
    <v>LOEWS CORPORATION (XNYS:L)</v>
    <v>3</v>
    <v>4</v>
    <v>Finance</v>
    <v>19</v>
    <v>de-DE</v>
    <v>a1wpxm</v>
    <v>268435456</v>
    <v>1</v>
    <v>Unterstützt von Refinitiv</v>
    <v>114.9</v>
    <v>78.98</v>
    <v>-0.1</v>
    <v>-9.3689999999999995E-4</v>
    <v>206052900</v>
    <v>Loews Corporation ist eine Holdinggesellschaft und hat vier berichtspflichtige Segmente, die aus drei einzelnen konsolidierten operativen Tochtergesellschaften bestehen: CNA Financial Corporation (CNA), Boardwalk Pipeline Partners, LP (Boardwalk Pipelines) und Loews Hotels Holding Corporation (Loews Hotels &amp; Co), sowie das Segment Corporate. CNA ist eine Versicherungs-Holdinggesellschaft. Die Versicherungsprodukte von CNA umfassen in erster Linie gewerbliche Sach- und Haftpflichtversicherungen, einschließlich Kautionen. Boardwalk Pipelines befasst sich mit dem Transport und der Lagerung von Erdgas und Erdgasflüssigkeiten, Olefinen und anderen Kohlenwasserstoffen. Boardwalk Pipelines bietet außerdem Ethanlieferungen und -transporte für Industriekunden in Louisiana und Texas an. Das Segment Loews Hotels ist im Betrieb einer Hotelkette tätig. Loews Hotels &amp; Co. betreibt zusammen mit ihren Tochtergesellschaften eine Kette von 25 Hotels. Das Unternehmen ist auch auf maßgeschneiderte Verpackungslösungen für mittlere und kleine Auflagen spezialisiert.</v>
    <v>0.59189999999999998</v>
    <v>21973481256</v>
    <v>New York Stock Exchange</v>
    <v>XNYS</v>
    <v>XNYS</v>
    <v>9 West 57Th Street, NEW YORK, NY, 10019-2714 US</v>
    <v>107.48</v>
    <v>Insurance</v>
    <v>Aktie</v>
    <v>13.365600000000001</v>
    <v>818</v>
    <v>46113.965414907034</v>
    <v>13100</v>
    <v>LOEWS CORPORATION</v>
    <v>105.02</v>
    <v>LOEWS CORPORATION</v>
    <v>105.02</v>
    <v>106.64</v>
    <v>106.74</v>
    <v>L</v>
    <v>LOEWS CORPORATION (XNYS:L)</v>
    <v>1969</v>
    <v>649238</v>
    <v>699461</v>
    <v>USD</v>
  </rv>
  <rv s="2">
    <v>819</v>
  </rv>
  <rv s="3">
    <fb>104.06</fb>
    <v>6</v>
  </rv>
  <rv s="0">
    <v>https://www.bing.com/financeapi/forcetrigger?t=ay4lu2&amp;q=XNAS%3aXEL&amp;form=skydnc</v>
    <v>Learn more on Bing</v>
  </rv>
  <rv s="1">
    <v>0</v>
    <v>1</v>
    <v>Xcel Energy Inc. (XNAS:XEL)</v>
    <v>3</v>
    <v>4</v>
    <v>Finance</v>
    <v>5</v>
    <v>de-DE</v>
    <v>ay4lu2</v>
    <v>268435456</v>
    <v>1</v>
    <v>Unterstützt von Refinitiv</v>
    <v>84.23</v>
    <v>65.209999999999994</v>
    <v>0.27</v>
    <v>3.3989999999999997E-3</v>
    <v>623876800</v>
    <v>Xcel Energy Inc. Ist ein Elektrik- und Erdgaslieferant. Das Unternehmen bietet über vier Versorgungsunternehmen NSP-Minnesota, NSP-Wisconsin, PSCo und SPS ein umfassendes Portfolio an energieverbrauchsrelevanten Produkten und Dienstleistungen für rund 3,9 Millionen Stromkunden und 2,2 Millionen Erdgaskunden. Das Unternehmen ist in zwei Segmenten tätig. Das regulierte Stromversorgungssegment erzeugt, kauft, überträgt, verteilt und verkauft Strom in Colorado, Michigan, Minnesota, New Mexico, North Dakota, South Dakota, Texas und Wisconsin. Darüber hinaus umfasst dieses Segment Verkäufe für den Wiederverkauf und erbringt Übertragungsdienste auf Großkundenebene für verschiedene Unternehmen in den Vereinigten Staaten. Das Segment der regulierten Stromversorgungsunternehmen umfasst auch den Großhandel mit Rohstoffen und Handelsgeschäften. Das regulierte Erdgasversorgungssegment kauft, transportiert, lagert, verteilt und verkauft Erdgas hauptsächlich in Teilen von Colorado, Michigan, Minnesota, North Dakota und Wisconsin.</v>
    <v>0.43990000000000001</v>
    <v>49729219727</v>
    <v>Nasdaq Stock Market</v>
    <v>XNAS</v>
    <v>XNAS</v>
    <v>414 Nicollet Mall, MINNEAPOLIS, MN, 55401 US</v>
    <v>80.28</v>
    <v>Electrical Utilities &amp; IPPs</v>
    <v>Aktie</v>
    <v>23.278400000000001</v>
    <v>822</v>
    <v>46113.993747279688</v>
    <v>11534</v>
    <v>Xcel Energy Inc.</v>
    <v>79.015000000000001</v>
    <v>Xcel Energy Inc.</v>
    <v>79.150000000000006</v>
    <v>79.709999999999994</v>
    <v>79.44</v>
    <v>XEL</v>
    <v>Xcel Energy Inc. (XNAS:XEL)</v>
    <v>1909</v>
    <v>1</v>
    <v>4544652</v>
    <v>USD</v>
  </rv>
  <rv s="2">
    <v>823</v>
  </rv>
  <rv s="3">
    <fb>78.09</fb>
    <v>6</v>
  </rv>
  <rv s="0">
    <v>https://www.bing.com/financeapi/forcetrigger?t=a1y1w7&amp;q=XNYS%3aMTB&amp;form=skydnc</v>
    <v>Learn more on Bing</v>
  </rv>
  <rv s="1">
    <v>0</v>
    <v>1</v>
    <v>M&amp;T BANK CORPORATION (XNYS:MTB)</v>
    <v>3</v>
    <v>4</v>
    <v>Finance</v>
    <v>5</v>
    <v>de-DE</v>
    <v>a1y1w7</v>
    <v>268435456</v>
    <v>1</v>
    <v>Unterstützt von Refinitiv</v>
    <v>239</v>
    <v>150.75</v>
    <v>2.2599999999999998</v>
    <v>1.0933E-2</v>
    <v>149000200</v>
    <v>M&amp;T Bank Corporation ist eine Finanzholdinggesellschaft. Die wichtigste Tochtergesellschaft des Unternehmens, die M&amp;T Bank, bietet Bankprodukte und -dienstleistungen mit einem Filial- und Geldautomatennetz an, das sich im Osten der Vereinigten Staaten von Maine bis Virginia und Washington, D.C. erstreckt. Die Geschäftsbereiche umfassen Commercial Bank, Retail Bank und Institutional Services and Wealth Management. Das Segment Commercial Bank bietet eine Reihe von Kreditprodukten und Bankdienstleistungen für mittelständische und große gewerbliche Kunden an, hauptsächlich in den von der Gesellschaft bedienten Märkten. Das Segment Retail Bank bietet eine breite Palette von Dienstleistungen für Verbraucher und kleine Unternehmen über das Filialnetz des Unternehmens und verschiedene andere Vertriebskanäle an. Das Segment Institutional Services and Wealth Management bietet eine Vielzahl von Treuhand-, Vermittlungs-, Anlageverwaltungs- und Verwaltungsdienstleistungen an.</v>
    <v>0.59840000000000004</v>
    <v>31138061796</v>
    <v>New York Stock Exchange</v>
    <v>XNYS</v>
    <v>XNYS</v>
    <v>C/O Legal, One M&amp;T Plaza, BUFFALO, NY, 14203 US</v>
    <v>210.63</v>
    <v>Banking Services</v>
    <v>Aktie</v>
    <v>12.255000000000001</v>
    <v>826</v>
    <v>46113.958333344533</v>
    <v>21839</v>
    <v>M&amp;T BANK CORPORATION</v>
    <v>206.7</v>
    <v>M&amp;T BANK CORPORATION</v>
    <v>208.37</v>
    <v>208.98</v>
    <v>206.72</v>
    <v>MTB</v>
    <v>M&amp;T BANK CORPORATION (XNYS:MTB)</v>
    <v>1969</v>
    <v>1</v>
    <v>1308800</v>
    <v>USD</v>
  </rv>
  <rv s="2">
    <v>827</v>
  </rv>
  <rv s="3">
    <fb>200.93</fb>
    <v>6</v>
  </rv>
  <rv s="0">
    <v>https://www.bing.com/financeapi/forcetrigger?t=a1p3ww&amp;q=XNYS%3aC&amp;form=skydnc</v>
    <v>Learn more on Bing</v>
  </rv>
  <rv s="1">
    <v>0</v>
    <v>1</v>
    <v>CITIGROUP INC. (XNYS:C)</v>
    <v>3</v>
    <v>4</v>
    <v>Finance</v>
    <v>5</v>
    <v>de-DE</v>
    <v>a1p3ww</v>
    <v>268435456</v>
    <v>1</v>
    <v>Unterstützt von Refinitiv</v>
    <v>125.16</v>
    <v>55.51</v>
    <v>1.89</v>
    <v>1.6664999999999999E-2</v>
    <v>1749319000</v>
    <v>Citigroup Inc. Ist eine globale diversifizierte Finanzdienstleistungsholdinggesellschaft. Zu den Segmenten des Unternehmens gehören Dienstleistungen, Märkte, Banking, Wealth und U.S. Personal Banking (USPB). Das Segment Dienstleistungen umfasst Treasury and Trade Solutions (TTS) und Wertpapierdienstleistungen. TTS bietet eine integrierte Suite maßgeschneiderter Lösungen für Cash Management, Handel und Betriebskapital für multinationale Unternehmen, Finanzinstitute und Organisationen des öffentlichen Sektors. Das Segment Märkte bietet Unternehmen, institutionellen und öffentlichen Auftraggebern auf der ganzen Welt ein umfassendes Angebot an Verkaufs- und Handelsdienstleistungen für Aktien, Devisen, Kurse, Spread-Produkte und Rohstoffe. Das Segment Banking umfasst Investmentbanking, das die Kapitalbeschaffung von Kunden unterstützt, um ihre Geschäfte zu stärken und auszubauen. Das Vermögenssegment umfasst Private Bank, Wealth at Work und Citigold und erbringt Finanzdienstleistungen für eine Reihe von Kundensegmenten. Das USPB-Segment umfasst Markenkarten und Einzelhandelsdienstleistungen.</v>
    <v>1.0849</v>
    <v>201696480700</v>
    <v>New York Stock Exchange</v>
    <v>XNYS</v>
    <v>XNYS</v>
    <v>388 Greenwich Street, 17th Floor, NEW YORK, NY, 10013 US</v>
    <v>116.79</v>
    <v>Investment Banking &amp; Investment Services</v>
    <v>Aktie</v>
    <v>16.541599999999999</v>
    <v>830</v>
    <v>46113.998203657029</v>
    <v>226000</v>
    <v>CITIGROUP INC.</v>
    <v>114.065</v>
    <v>CITIGROUP INC.</v>
    <v>115.47</v>
    <v>115.3</v>
    <v>113.41</v>
    <v>C</v>
    <v>CITIGROUP INC. (XNYS:C)</v>
    <v>1988</v>
    <v>717</v>
    <v>16634994</v>
    <v>USD</v>
  </rv>
  <rv s="2">
    <v>831</v>
  </rv>
  <rv s="3">
    <fb>107.38</fb>
    <v>6</v>
  </rv>
  <rv s="0">
    <v>https://www.bing.com/financeapi/forcetrigger?t=a1nanm&amp;q=XNYS%3aALL&amp;form=skydnc</v>
    <v>Learn more on Bing</v>
  </rv>
  <rv s="1">
    <v>0</v>
    <v>1</v>
    <v>THE ALLSTATE CORPORATION (XNYS:ALL)</v>
    <v>3</v>
    <v>4</v>
    <v>Finance</v>
    <v>5</v>
    <v>de-DE</v>
    <v>a1nanm</v>
    <v>268435456</v>
    <v>1</v>
    <v>Unterstützt von Refinitiv</v>
    <v>216.75</v>
    <v>176.0001</v>
    <v>-3.24</v>
    <v>-1.5626999999999999E-2</v>
    <v>259535800</v>
    <v>Die Allstate Corporation schützt Menschen vor Unsicherheiten im Leben mit einem breiten Spektrum an Schutz für Autos, Haushalte, elektronische Geräte und Identitätsdiebstahl. Die Produkte des Unternehmens sind über Allstate-Agenten, unabhängige Vertreter, große Einzelhändler, online und am Arbeitsplatz erhältlich. Das Segment Allstate Protection bietet private Passagierautos, Hausbesitzer, andere Privatanschlüsse und gewerbliche Versicherungen. Das Segment „Run-off-Property-Liability“ umfasst die Sach- und Unfallversicherung. Das Segment Protection Services des Unternehmens bietet Plänen zum Schutz von Konsumgütern, Dienste zur Erfassung von Daten über Geräte und mobile Geräte sowie Analyselösungen, die Telematikinformationen für die Automobilindustrie, Pannenhilfe, Schutz- und Versicherungsprodukte sowie Identitätsschutz und -Wiederherstellung über Allstate Protection Plänen, Allstate Dealer Services, Allstate Roadside, Arity und Allstate Identity Protection nutzen.</v>
    <v>0.224</v>
    <v>52971256780</v>
    <v>New York Stock Exchange</v>
    <v>XNYS</v>
    <v>XNYS</v>
    <v>3100 SANDERS ROAD, NORTHBROOK, IL, 60062 US</v>
    <v>206.84309999999999</v>
    <v>Insurance</v>
    <v>Aktie</v>
    <v>5.3465999999999996</v>
    <v>834</v>
    <v>46113.983410370311</v>
    <v>53000</v>
    <v>THE ALLSTATE CORPORATION</v>
    <v>203.42</v>
    <v>THE ALLSTATE CORPORATION</v>
    <v>206.05</v>
    <v>204.1</v>
    <v>207.34</v>
    <v>ALL</v>
    <v>THE ALLSTATE CORPORATION (XNYS:ALL)</v>
    <v>1992</v>
    <v>6</v>
    <v>1435742</v>
    <v>USD</v>
  </rv>
  <rv s="2">
    <v>835</v>
  </rv>
  <rv s="3">
    <fb>202.71</fb>
    <v>6</v>
  </rv>
  <rv s="0">
    <v>https://www.bing.com/financeapi/forcetrigger?t=a1ock2&amp;q=XNYS%3aBDX&amp;form=skydnc</v>
    <v>Learn more on Bing</v>
  </rv>
  <rv s="1">
    <v>0</v>
    <v>1</v>
    <v>BECTON, DICKINSON AND COMPANY (XNYS:BDX)</v>
    <v>3</v>
    <v>4</v>
    <v>Finance</v>
    <v>5</v>
    <v>de-DE</v>
    <v>a1ock2</v>
    <v>268435456</v>
    <v>1</v>
    <v>Unterstützt von Refinitiv</v>
    <v>187.35</v>
    <v>127.5364</v>
    <v>-0.89</v>
    <v>-5.6599999999999992E-3</v>
    <v>284741800</v>
    <v>Becton, Dickinson and Company ist ein weltweit tätiges Medizintechnikunternehmen. Das Unternehmen beschäftigt sich mit der Entwicklung, Herstellung und dem Verkauf einer breiten Palette von medizinischen Verbrauchsmaterialien, Geräten, Laborgeräten und Diagnoseprodukten, die von Gesundheitseinrichtungen, Ärzten, biowissenschaftlichen Forschern, klinischen Laboren und mehr verwendet werden. Das Segment BD Medical produziert eine Reihe von medizinischen Technologien und Geräten, die zur Verbesserung der medizinischen Versorgung in verschiedenen Umgebungen eingesetzt werden. Das Segment BD Medical besteht aus verschiedenen Geschäftsbereichen, darunter Lösungen zur Medikamentenverabreichung, Lösungen für das Medikamentenmanagement, erweiterte Überwachung und pharmazeutische Systeme. Das Segment BD Life Sciences bietet Produkte für die Entnahme und den Transport von Diagnostikproben sowie Instrumente und Reagenzsysteme zur Erkennung einer Reihe von Infektionskrankheiten, Infektionen und Krebserkrankungen. Das Segment BD Interventional bietet Spezialprodukte für Gefäße, Urologie, Onkologie und Chirurgie.</v>
    <v>0.29449999999999998</v>
    <v>44516533012</v>
    <v>New York Stock Exchange</v>
    <v>XNYS</v>
    <v>XNYS</v>
    <v>One Becton Drive, FRANKLIN LAKES, NJ, 07417-1880 US</v>
    <v>158.96</v>
    <v>Healthcare Equipment &amp; Supplies</v>
    <v>Aktie</v>
    <v>25.556899999999999</v>
    <v>838</v>
    <v>46113.958603772655</v>
    <v>72000</v>
    <v>BECTON, DICKINSON AND COMPANY</v>
    <v>155.82</v>
    <v>BECTON, DICKINSON AND COMPANY</v>
    <v>157.69999999999999</v>
    <v>156.34</v>
    <v>157.22999999999999</v>
    <v>BDX</v>
    <v>BECTON, DICKINSON AND COMPANY (XNYS:BDX)</v>
    <v>1906</v>
    <v>1</v>
    <v>2586923</v>
    <v>USD</v>
  </rv>
  <rv s="2">
    <v>839</v>
  </rv>
  <rv s="3">
    <fb>154.51</fb>
    <v>6</v>
  </rv>
  <rv s="0">
    <v>https://www.bing.com/financeapi/forcetrigger?t=a1uou2&amp;q=XNYS%3aHIG&amp;form=skydnc</v>
    <v>Learn more on Bing</v>
  </rv>
  <rv s="1">
    <v>0</v>
    <v>1</v>
    <v>THE HARTFORD INSURANCE GROUP, INC. (XNYS:HIG)</v>
    <v>3</v>
    <v>4</v>
    <v>Finance</v>
    <v>19</v>
    <v>de-DE</v>
    <v>a1uou2</v>
    <v>268435456</v>
    <v>1</v>
    <v>Unterstützt von Refinitiv</v>
    <v>144.5</v>
    <v>107.485</v>
    <v>-0.57999999999999996</v>
    <v>-4.2890000000000003E-3</v>
    <v>275863200</v>
    <v>Hartford Insurance Group, Inc. (ehemals The Hartford Financial Services Group, Inc.) ist eine Holdinggesellschaft. Zu den Geschäftsbereichen des Unternehmens gehören Unternehmensversicherungen, Personenversicherungen, Sach- und Unfallversicherungen, sonstige Geschäfte, Leistungen an Arbeitnehmer und Hartford Funds. Das Geschäftsversicherungssegment bietet eine Vielzahl von Versicherungsprodukten und Risikomanagement-Dienstleistungen in den Vereinigten Staaten und international an. Das Segment Personal Insurance bietet Privatpersonen in den Vereinigten Staaten Kfz-, Hausrat- und Dachversicherungen an. Das Segment Property &amp; Casualty Other Operations umfasst bestimmte Sach- und Unfallversicherungen. Das Segment Employee Benefits bietet Arbeitgebern und Verbänden Gruppenlebens-, Unfall- und Invaliditätsversicherungen sowie andere Produkte und Dienstleistungen, einschließlich freiwilliger Leistungen und Krankenversicherungen für Gruppenrentner. Das Segment Hartford Funds bietet Anlageprodukte für Privatkunden und Altersvorsorgekonten an und erbringt Anlagemanagement-, Vertriebs- und Verwaltungsdienstleistungen.</v>
    <v>0.52769999999999995</v>
    <v>37144979880</v>
    <v>New York Stock Exchange</v>
    <v>XNYS</v>
    <v>XNYS</v>
    <v>One Hartford Plaza, Law-Ho-1-09, HARTFORD, CT, 06155 US</v>
    <v>135.745</v>
    <v>Insurance</v>
    <v>Aktie</v>
    <v>10.0907</v>
    <v>842</v>
    <v>46113.958333367969</v>
    <v>19200</v>
    <v>THE HARTFORD INSURANCE GROUP, INC.</v>
    <v>134.185</v>
    <v>THE HARTFORD INSURANCE GROUP, INC.</v>
    <v>134.88999999999999</v>
    <v>134.65</v>
    <v>135.22999999999999</v>
    <v>HIG</v>
    <v>THE HARTFORD INSURANCE GROUP, INC. (XNYS:HIG)</v>
    <v>1985</v>
    <v>1290630</v>
    <v>1617494</v>
    <v>USD</v>
  </rv>
  <rv s="2">
    <v>843</v>
  </rv>
  <rv s="3">
    <fb>132.32</fb>
    <v>6</v>
  </rv>
  <rv s="0">
    <v>https://www.bing.com/financeapi/forcetrigger?t=a21277&amp;q=XNYS%3aPNC&amp;form=skydnc</v>
    <v>Learn more on Bing</v>
  </rv>
  <rv s="1">
    <v>0</v>
    <v>1</v>
    <v>THE PNC FINANCIAL SERVICES GROUP, INC. (XNYS:PNC)</v>
    <v>3</v>
    <v>4</v>
    <v>Finance</v>
    <v>19</v>
    <v>de-DE</v>
    <v>a21277</v>
    <v>268435456</v>
    <v>1</v>
    <v>Unterstützt von Refinitiv</v>
    <v>243.94</v>
    <v>145.12</v>
    <v>1.1499999999999999</v>
    <v>5.5259999999999997E-3</v>
    <v>403370900</v>
    <v>Die PNC Financial Services Group, Inc. Ist ein diversifiziertes Finanzdienstleistungsunternehmen in den USA. Das Unternehmen ist in der Bereitstellung von Privat- und Geschäftsbanken tätig, einschließlich einer vollständigen Palette von Kreditprodukten, spezialisierten Dienstleistungen für Unternehmen und Regierungsbehörden, einschließlich Unternehmensbankwesen, Immobilienfinanzierung und Asset-Based-Kreditvergabe, Vermögensverwaltung und Vermögensverwaltung. Das Segment Retail Banking bietet Kunden und Kleinunternehmen Einlagen, Kredite, Brokerage, Versicherungsdienstleistungen, Anlagemanagement und Cash-Management-Produkte und -Dienstleistungen an. Das Segment Corporate &amp; Institutional Banking bietet mittelständische und große Unternehmen sowie staatliche und gemeinnützige Unternehmen Kreditvergabe, Treasury Management, Kapitalmärkte sowie Beratungsprodukte und Dienstleistungen an. Das Segment Asset Management Group bietet Private Banking für vermögende und ultraniedrige Kunden sowie institutionelle Vermögensverwaltung. Die Tochtergesellschaft des Unternehmens ist die PNC Bank.</v>
    <v>0.95650000000000002</v>
    <v>84401327116</v>
    <v>New York Stock Exchange</v>
    <v>XNYS</v>
    <v>XNYS</v>
    <v>The Tower At Pnc Plaza, 300 Fifth Avenue, PITTSBURGH, PA, 15222-2401 US</v>
    <v>211.905</v>
    <v>Banking Services</v>
    <v>Aktie</v>
    <v>12.593</v>
    <v>846</v>
    <v>46113.998705138278</v>
    <v>53859</v>
    <v>THE PNC FINANCIAL SERVICES GROUP, INC.</v>
    <v>208.86</v>
    <v>THE PNC FINANCIAL SERVICES GROUP, INC.</v>
    <v>210.16</v>
    <v>209.24</v>
    <v>208.09</v>
    <v>PNC</v>
    <v>THE PNC FINANCIAL SERVICES GROUP, INC. (XNYS:PNC)</v>
    <v>1983</v>
    <v>1899354</v>
    <v>2753930</v>
    <v>USD</v>
  </rv>
  <rv s="2">
    <v>847</v>
  </rv>
  <rv s="3">
    <fb>202.39</fb>
    <v>6</v>
  </rv>
  <rv s="0">
    <v>https://www.bing.com/financeapi/forcetrigger?t=a1odxm&amp;q=XNYS%3aBF.B&amp;form=skydnc</v>
    <v>Learn more on Bing</v>
  </rv>
  <rv s="1">
    <v>0</v>
    <v>1</v>
    <v>BROWN-FORMAN CORPORATION (XNYS:BF.B)</v>
    <v>3</v>
    <v>4</v>
    <v>Finance</v>
    <v>5</v>
    <v>de-DE</v>
    <v>a1odxm</v>
    <v>268435456</v>
    <v>1</v>
    <v>Unterstützt von Refinitiv</v>
    <v>36.18</v>
    <v>22.61</v>
    <v>7.0000000000000007E-2</v>
    <v>2.6479999999999997E-3</v>
    <v>458703600</v>
    <v>Brown-Forman Corporation produziert, destilliert, Flaschen, Importe, Exporte, vermarktet und verkauft eine Vielzahl von Getränkealkoholprodukten unter Marken. Das Unternehmen hat ein Portfolio von über 40 Spirituosen-, Fertiggetränk- (RTD) Cocktails und Weinmarken aufgebaut. Zu den Marken gehören Jack Daniel's Family of Brands, Woodford Reserve, Herradura, el Jimador, Korbel, New Mix, Old Forester, The Glendronach, Glenglassaugh, Benriach, Diplomatico Rum, Chambord, Gin Mare, Fords Gin, Slane, und Coopers' Craft. Jack Daniel's Family of Brands umfasst Jack Daniel's Tennessee Whiskey, Jack Daniel's RTD, Jack Daniel's Tennessee Honey, Gentleman Jack Rare Tennessee Whiskey, Jack Daniel's Tennessee Apple, Jack Daniel's Tennessee Fire, Jack Daniel's Single Barrel Collection, Jack Daniel's Bonded Tennessee Whiskey, Jack Daniel's Bonded Tennessee Rye, Jack Daniel's Triple Mash Blended Straight Whiskey, Jack Daniel's American Single Malt und Jack Daniel's 12 Year Old. Das Unternehmen verkauft seine Produkte in über 170 Ländern.</v>
    <v>0.42570000000000002</v>
    <v>12160232436</v>
    <v>New York Stock Exchange</v>
    <v>XNYS</v>
    <v>XNYS</v>
    <v>850 DIXIE HWY, LOUISVILLE, KY, 40210 US</v>
    <v>26.715</v>
    <v>Beverages</v>
    <v>Aktie</v>
    <v>15.475</v>
    <v>850</v>
    <v>46113.958333356248</v>
    <v>5000</v>
    <v>BROWN-FORMAN CORPORATION</v>
    <v>25.9</v>
    <v>BROWN-FORMAN CORPORATION</v>
    <v>26.27</v>
    <v>26.51</v>
    <v>26.44</v>
    <v>BF.B</v>
    <v>BROWN-FORMAN CORPORATION (XNYS:BF.B)</v>
    <v>1933</v>
    <v>3382366</v>
    <v>8123433</v>
    <v>USD</v>
  </rv>
  <rv s="2">
    <v>851</v>
  </rv>
  <rv s="3">
    <fb>27.19</fb>
    <v>6</v>
  </rv>
  <rv s="0">
    <v>https://www.bing.com/financeapi/forcetrigger?t=a1zo52&amp;q=XNYS%3aPEG&amp;form=skydnc</v>
    <v>Learn more on Bing</v>
  </rv>
  <rv s="1">
    <v>0</v>
    <v>1</v>
    <v>PUBLIC SERVICE ENTERPRISE GROUP INCORPORATED (XNYS:PEG)</v>
    <v>3</v>
    <v>4</v>
    <v>Finance</v>
    <v>19</v>
    <v>de-DE</v>
    <v>a1zo52</v>
    <v>268435456</v>
    <v>1</v>
    <v>Unterstützt von Refinitiv</v>
    <v>91.254999999999995</v>
    <v>74.670100000000005</v>
    <v>0.28000000000000003</v>
    <v>3.4589999999999998E-3</v>
    <v>498739900</v>
    <v>Die Public Service Enterprise Group Incorporated ist ein reguliertes Infrastrukturunternehmen, das das Übertragungs- und Verteilungsunternehmen von New Jersey betreibt und rund 2,4 Millionen Kunden von Elektrizität und 1,9 Millionen Erdgas bedient. Das Unternehmen besitzt außerdem eine unabhängige Flotte von 3.758 MW kohlenstofffreier Grundlastkraftwerke. Das Unternehmen führt seine Geschäfte hauptsächlich über zwei hundertprozentige Tochtergesellschaften, Public Service Electric and Gas Company (PSE&amp;G) und PSEG Power LLC (PSEG Power). Zu den Segmenten des Unternehmens gehören PSE&amp;G und PSEG Power. PSE&amp;G ist ein öffentliches Versorgungsunternehmen, das hauptsächlich in der Übertragung von Strom und der Verteilung von Strom und Erdgas in bestimmten Gebieten von New Jersey tätig ist. PSEG Power ist ein Energieversorgungsunternehmen, das Kernkraftwerke und Brennstoffversorgungsfunktionen betreibt, die über ihre direkten hundertprozentigen Tochtergesellschaften wettbewerbsfähige Energieverkäufe tätigen. Das Unternehmen hat auch weitere hundertprozentige Tochtergesellschaften.</v>
    <v>0.59840000000000004</v>
    <v>40512642077</v>
    <v>New York Stock Exchange</v>
    <v>XNYS</v>
    <v>XNYS</v>
    <v>Corporate Accounting Services, 80 Park Plaza, 9Th Floor, NEWARK, NJ, 07102-4194 US</v>
    <v>81.66</v>
    <v>Multiline Utilities</v>
    <v>Aktie</v>
    <v>19.256799999999998</v>
    <v>854</v>
    <v>46113.987154988281</v>
    <v>13189</v>
    <v>PUBLIC SERVICE ENTERPRISE GROUP INCORPORATED</v>
    <v>80.435000000000002</v>
    <v>PUBLIC SERVICE ENTERPRISE GROUP INCORPORATED</v>
    <v>80.45</v>
    <v>81.23</v>
    <v>80.95</v>
    <v>PEG</v>
    <v>PUBLIC SERVICE ENTERPRISE GROUP INCORPORATED (XNYS:PEG)</v>
    <v>1985</v>
    <v>2441415</v>
    <v>3121510</v>
    <v>USD</v>
  </rv>
  <rv s="2">
    <v>855</v>
  </rv>
  <rv s="3">
    <fb>80.709999999999994</fb>
    <v>6</v>
  </rv>
  <rv s="0">
    <v>https://www.bing.com/financeapi/forcetrigger?t=a1wh27&amp;q=XNYS%3aKEY&amp;form=skydnc</v>
    <v>Learn more on Bing</v>
  </rv>
  <rv s="1">
    <v>0</v>
    <v>1</v>
    <v>KEYCORP (XNYS:KEY)</v>
    <v>3</v>
    <v>4</v>
    <v>Finance</v>
    <v>5</v>
    <v>de-DE</v>
    <v>a1wh27</v>
    <v>268435456</v>
    <v>1</v>
    <v>Unterstützt von Refinitiv</v>
    <v>23.344999999999999</v>
    <v>12.725</v>
    <v>0.28999999999999998</v>
    <v>1.4463999999999999E-2</v>
    <v>1072694000</v>
    <v>KeyCorp ist ein bankbasiertes Finanzdienstleistungsunternehmen, das über seine Tochtergesellschaft KeyBank National Association (KeyBank) tätig ist. Über die KeyBank und einige andere Tochtergesellschaften bietet das Unternehmen eine Reihe von Produkten und Dienstleistungen in den Bereichen Privat- und Geschäftskundengeschäft, gewerbliches Leasing, Investitionsmanagement, Verbraucherfinanzierung, Refinanzierung von Studentenkrediten, gewerbliche Hypothekenverwaltung und -abwicklung sowie Investmentbanking für Privat-, Firmen- und institutionelle Kunden an. Das Segment umfasst die Consumer Bank und die Commercial Bank. Die Consumer Bank bedient Privatpersonen und kleine Unternehmen mit einer Vielzahl von Einlagen- und Anlageprodukten, Dienstleistungen in den Bereichen persönliche Finanzen und Financial Wellness, Kreditvergabe, Refinanzierung von Studentenkrediten, Hypotheken und Eigenheimen, Kreditkarten, Treasury-Dienstleistungen und anderem. Die Commercial Bank besteht aus den Geschäftssegmenten Commercial und Institutional. Das Geschäftssegment Commercial konzentriert sich auf die Kreditaufnahme, das Cash Management und die Kapitalmärkte.</v>
    <v>1.0712999999999999</v>
    <v>21818595960</v>
    <v>New York Stock Exchange</v>
    <v>XNYS</v>
    <v>XNYS</v>
    <v>127 Public Sq, CLEVELAND, OH, 44114-1306 US</v>
    <v>20.504999999999999</v>
    <v>Banking Services</v>
    <v>Aktie</v>
    <v>13.381600000000001</v>
    <v>858</v>
    <v>46113.981827488278</v>
    <v>17883</v>
    <v>KEYCORP</v>
    <v>20.079999999999998</v>
    <v>KEYCORP</v>
    <v>20.079999999999998</v>
    <v>20.34</v>
    <v>20.05</v>
    <v>KEY</v>
    <v>KEYCORP (XNYS:KEY)</v>
    <v>1958</v>
    <v>3</v>
    <v>16535327</v>
    <v>USD</v>
  </rv>
  <rv s="2">
    <v>859</v>
  </rv>
  <rv s="3">
    <fb>19.45</fb>
    <v>6</v>
  </rv>
  <rv s="0">
    <v>https://www.bing.com/financeapi/forcetrigger?t=a1odur&amp;q=XNYS%3aBF.A&amp;form=skydnc</v>
    <v>Learn more on Bing</v>
  </rv>
  <rv s="5">
    <v>10</v>
    <v>11</v>
    <v>BROWN-FORMAN CORPORATION (XNYS:BF.A)</v>
    <v>3</v>
    <v>12</v>
    <v>Finance</v>
    <v>19</v>
    <v>de-DE</v>
    <v>a1odur</v>
    <v>268435456</v>
    <v>1</v>
    <v>Unterstützt von Refinitiv</v>
    <v>35.954999999999998</v>
    <v>23.01</v>
    <v>7.0000000000000007E-2</v>
    <v>2.6129999999999999E-3</v>
    <v>458703600</v>
    <v>Brown-Forman Corporation produziert, destilliert, Flaschen, Importe, Exporte, vermarktet und verkauft eine Vielzahl von Getränkealkoholprodukten unter Marken. Das Unternehmen hat ein Portfolio von über 40 Spirituosen-, Fertiggetränk- (RTD) Cocktails und Weinmarken aufgebaut. Zu den Marken gehören Jack Daniel's Family of Brands, Woodford Reserve, Herradura, el Jimador, Korbel, New Mix, Old Forester, The Glendronach, Glenglassaugh, Benriach, Diplomatico Rum, Chambord, Gin Mare, Fords Gin, Slane, und Coopers' Craft. Jack Daniel's Family of Brands umfasst Jack Daniel's Tennessee Whiskey, Jack Daniel's RTD, Jack Daniel's Tennessee Honey, Gentleman Jack Rare Tennessee Whiskey, Jack Daniel's Tennessee Apple, Jack Daniel's Tennessee Fire, Jack Daniel's Single Barrel Collection, Jack Daniel's Bonded Tennessee Whiskey, Jack Daniel's Bonded Tennessee Rye, Jack Daniel's Triple Mash Blended Straight Whiskey, Jack Daniel's American Single Malt und Jack Daniel's 12 Year Old. Das Unternehmen verkauft seine Produkte in über 170 Ländern.</v>
    <v>0.42570000000000002</v>
    <v>12320778696</v>
    <v>New York Stock Exchange</v>
    <v>XNYS</v>
    <v>XNYS</v>
    <v>850 DIXIE HWY, LOUISVILLE, KY, 40210 US</v>
    <v>26.92</v>
    <v>Beverages</v>
    <v>Aktie</v>
    <v>862</v>
    <v>46113.958333356248</v>
    <v>5000</v>
    <v>BROWN-FORMAN CORPORATION</v>
    <v>26.200500000000002</v>
    <v>BROWN-FORMAN CORPORATION</v>
    <v>26.57</v>
    <v>26.86</v>
    <v>26.79</v>
    <v>BF.A</v>
    <v>BROWN-FORMAN CORPORATION (XNYS:BF.A)</v>
    <v>1933</v>
    <v>217670</v>
    <v>333981</v>
    <v>USD</v>
  </rv>
  <rv s="2">
    <v>863</v>
  </rv>
  <rv s="0">
    <v>https://www.bing.com/financeapi/forcetrigger?t=a1ysr7&amp;q=XNAS%3aNTRS&amp;form=skydnc</v>
    <v>Learn more on Bing</v>
  </rv>
  <rv s="1">
    <v>0</v>
    <v>1</v>
    <v>NORTHERN TRUST CORPORATION (XNAS:NTRS)</v>
    <v>3</v>
    <v>4</v>
    <v>Finance</v>
    <v>19</v>
    <v>de-DE</v>
    <v>a1ysr7</v>
    <v>268435456</v>
    <v>1</v>
    <v>Unterstützt von Refinitiv</v>
    <v>157.59989999999999</v>
    <v>81.62</v>
    <v>1.84</v>
    <v>1.3183E-2</v>
    <v>185320900</v>
    <v>Northern Trust Corporation ist ein Anbieter von Vermögensverwaltung, Vermögensverwaltung, Vermögensverwaltung und Bankgeschäft für Unternehmen, Institutionen, wohlhabende Familien und Privatpersonen. Zu den Segmenten des Unternehmens gehören Asset Service und Wealth Management. Asset Service ist ein globaler Anbieter von Asset Service und damit zusammenhängenden Dienstleistungen für betriebliche und öffentliche Altersversorgungsfonds, Stiftungen, Stiftungen, Fondsmanager, Versicherungsgesellschaften, Staatsfonds und andere institutionelle Anleger auf der ganzen Welt. Asset-Service und damit verbundene Dienstleistungen umfassen ein breites Spektrum an Fähigkeiten, einschließlich Verwahrung, Fondsverwaltung, Auslagerung von Anlagegeschäften, Anlagemanagement, Anlagerisiko- und Analysedienstleistungen, Wertpapierleihvergabe und andere. Wealth Management bietet Treuhanddienstleistungen, Anlagemanagement, Verwahrung und philanthropische Dienstleistungen; Finanzberatung; Vormundschaft und Nachlassverwaltung, Familienunternehmen, Familienfinanzausbildung, Maklerdienste und andere.</v>
    <v>1.2418</v>
    <v>26206228469</v>
    <v>Nasdaq Stock Market</v>
    <v>XNAS</v>
    <v>XNAS</v>
    <v>50 S Lasalle St, CHICAGO, IL, 60603 US</v>
    <v>143.19999999999999</v>
    <v>Investment Banking &amp; Investment Services</v>
    <v>Aktie</v>
    <v>16.179600000000001</v>
    <v>865</v>
    <v>46113.924375080467</v>
    <v>23800</v>
    <v>NORTHERN TRUST CORPORATION</v>
    <v>140.94999999999999</v>
    <v>NORTHERN TRUST CORPORATION</v>
    <v>141.31</v>
    <v>141.41</v>
    <v>139.57</v>
    <v>NTRS</v>
    <v>NORTHERN TRUST CORPORATION (XNAS:NTRS)</v>
    <v>1971</v>
    <v>941957</v>
    <v>1116392</v>
    <v>USD</v>
  </rv>
  <rv s="2">
    <v>866</v>
  </rv>
  <rv s="3">
    <fb>134.99</fb>
    <v>6</v>
  </rv>
  <rv s="0">
    <v>https://www.bing.com/financeapi/forcetrigger?t=a1x8nm&amp;q=XNYS%3aLYV&amp;form=skydnc</v>
    <v>Learn more on Bing</v>
  </rv>
  <rv s="5">
    <v>10</v>
    <v>11</v>
    <v>LIVE NATION ENTERTAINMENT, INC. (XNYS:LYV)</v>
    <v>3</v>
    <v>12</v>
    <v>Finance</v>
    <v>19</v>
    <v>de-DE</v>
    <v>a1x8nm</v>
    <v>268435456</v>
    <v>1</v>
    <v>Unterstützt von Refinitiv</v>
    <v>175.25</v>
    <v>113.2</v>
    <v>0.12</v>
    <v>7.8680000000000004E-4</v>
    <v>232368200</v>
    <v>Live Nation Entertainment, Inc. Ist ein Live-Entertainment-Unternehmen. Das Unternehmen ist Produzent von Live-Konzerten. Zu den Segmenten zählen Konzerte, Ticketing und Sponsoring &amp; Advertising. Das Segment Konzerte umfasst hauptsächlich die weltweite Förderung von Live-Musik-Veranstaltungen in eigenen oder betriebenen Räumlichkeiten und in gemieteten Räumlichkeiten Dritter, den Betrieb und die Verwaltung von Musikstätten, die Produktion von Musikfestivals in aller Welt, die Erstellung von zugehörigen Inhalten sowie die Bereitstellung von Management- und sonstigen Dienstleistungen für Künstler. Das Ticketing-Segment ist ein Agenturunternehmen, das Tickets für Veranstaltungen im Namen seiner Kunden verkauft. Das Segment Sponsoring &amp; Advertising beschäftigt ein Vertriebspersonal, das Beziehungen zu Sponsoren durch eine Kombination aus strategischen, internationalen, nationalen und lokalen Möglichkeiten schafft und pflegt, die es Unternehmen ermöglichen, Kunden über Konzerte, Festivals, Veranstaltungsorte und Ticketing zu erreichen, einschließlich Werbung auf seinen Websites.</v>
    <v>1.1469</v>
    <v>35466358366</v>
    <v>New York Stock Exchange</v>
    <v>XNYS</v>
    <v>XNYS</v>
    <v>9348 Civic Center Dr, BEVERLY HILLS, CA, 90210 US</v>
    <v>154.125</v>
    <v>Media &amp; Publishing</v>
    <v>Aktie</v>
    <v>869</v>
    <v>46113.958333356248</v>
    <v>17700</v>
    <v>LIVE NATION ENTERTAINMENT, INC.</v>
    <v>150.32</v>
    <v>LIVE NATION ENTERTAINMENT, INC.</v>
    <v>152.51</v>
    <v>152.63</v>
    <v>152.51</v>
    <v>LYV</v>
    <v>LIVE NATION ENTERTAINMENT, INC. (XNYS:LYV)</v>
    <v>2005</v>
    <v>3095257</v>
    <v>3221756</v>
    <v>USD</v>
  </rv>
  <rv s="2">
    <v>870</v>
  </rv>
  <rv s="3">
    <fb>145.71</fb>
    <v>6</v>
  </rv>
  <rv s="0">
    <v>https://www.bing.com/financeapi/forcetrigger?t=a1ww5r&amp;q=XNYS%3aLH&amp;form=skydnc</v>
    <v>Learn more on Bing</v>
  </rv>
  <rv s="1">
    <v>0</v>
    <v>1</v>
    <v>LABCORP HOLDINGS INC. (XNYS:LH)</v>
    <v>3</v>
    <v>4</v>
    <v>Finance</v>
    <v>19</v>
    <v>de-DE</v>
    <v>a1ww5r</v>
    <v>268435456</v>
    <v>1</v>
    <v>Unterstützt von Refinitiv</v>
    <v>293.72000000000003</v>
    <v>209.375</v>
    <v>5.93</v>
    <v>2.2225999999999999E-2</v>
    <v>82400000</v>
    <v>Labcorp Holdings Inc. bietet umfassende Labordienstleistungen an, die Ärzten, Krankenhäusern, Pharmaunternehmen, Forschern und Patienten helfen, klare und sichere Entscheidungen zu treffen. Das Unternehmen liefert Erkenntnisse und beschleunigt die Verbesserung der Gesundheit und des Lebens durch seine unvergleichlichen Fähigkeiten in der Diagnostik und Arzneimittelentwicklung. Das Unternehmen ist in zwei Segmenten tätig: Diagnostics Laboratories (Dx) und Biopharma Laboratory Services (BLS). Das Segment Diagnostics Laboratories umfasst Routinetests und spezielle/esoterische Tests. Dx ist über ein Netz von Patientenservicezentren, Niederlassungen, Schnellreaktionslabors, Primärlabors und Speziallabors tätig. Das Segment Biopharma-Labordienstleistungen besteht aus Forschungslabors für die frühe Entwicklung und zentralen Labordienstleistungen. Das Unternehmen konzentriert sich auf vier primäre Spezialtestbereiche, wie Onkologie, Frauengesundheit, Autoimmunerkrankungen und Neurologie.</v>
    <v>1.0135000000000001</v>
    <v>22473776000</v>
    <v>New York Stock Exchange</v>
    <v>XNYS</v>
    <v>XNYS</v>
    <v>358 S Main St, BURLINGTON, NC, 27215 US</v>
    <v>273.52999999999997</v>
    <v>Healthcare Providers &amp; Services</v>
    <v>Aktie</v>
    <v>26.077400000000001</v>
    <v>873</v>
    <v>46113.958333344533</v>
    <v>71000</v>
    <v>LABCORP HOLDINGS INC.</v>
    <v>265.3</v>
    <v>LABCORP HOLDINGS INC.</v>
    <v>266.67</v>
    <v>272.74</v>
    <v>266.81</v>
    <v>LH</v>
    <v>LABCORP HOLDINGS INC. (XNYS:LH)</v>
    <v>2024</v>
    <v>715410</v>
    <v>556412</v>
    <v>USD</v>
  </rv>
  <rv s="2">
    <v>874</v>
  </rv>
  <rv s="3">
    <fb>264.2</fb>
    <v>6</v>
  </rv>
  <rv s="0">
    <v>https://www.bing.com/financeapi/forcetrigger?t=a1pokr&amp;q=XNAS%3aCHTR&amp;form=skydnc</v>
    <v>Learn more on Bing</v>
  </rv>
  <rv s="1">
    <v>0</v>
    <v>1</v>
    <v>CHARTER COMMUNICATIONS, INC. (XNAS:CHTR)</v>
    <v>3</v>
    <v>4</v>
    <v>Finance</v>
    <v>19</v>
    <v>de-DE</v>
    <v>a1pokr</v>
    <v>268435456</v>
    <v>1</v>
    <v>Unterstützt von Refinitiv</v>
    <v>437.06</v>
    <v>180.38</v>
    <v>0.39</v>
    <v>1.807E-3</v>
    <v>141178400</v>
    <v>Charter Communications, Inc. Ist ein Breitband-Konnektivitätsunternehmen und Kabelbetreiber, der über seine Marke Spectrum mehr als 57 Millionen Haushalte und Unternehmen in 41 bundesstaaten bedient. Über ein fortschrittliches Kommunikationsnetzwerk bietet das Unternehmen eine Reihe von privaten und geschäftlichen Diensten an, darunter Spectrum Internet, Fernsehen (TV), Mobilfunk und Sprachkommunikation. Für kleine Unternehmen bietet Spectrum Business eine Reihe von Breitbandprodukten und -Diensten in Verbindung mit speziellen Funktionen und Anwendungen zur Steigerung der Produktivität. Für mittelständische und große Unternehmen bietet Spectrum Business maßgeschneiderte, faserbasierte Lösungen. Spectrum REACH liefert Werbung und Produktion für die moderne Medienlandschaft. Das Unternehmen verteilt auch Nachrichten und Sportprogramme über Spectrum Networks an seine Kunden. Das Unternehmen bietet seinen Kunden abonnementbasierte Internet-, Video-, Mobil- und Sprachdienste an, wobei Preise und entsprechende Gebühren auf der Grundlage der gewählten Dienstarten berechnet werden.</v>
    <v>1.0266</v>
    <v>30532652568</v>
    <v>Nasdaq Stock Market</v>
    <v>XNAS</v>
    <v>XNAS</v>
    <v>400 Washington Blvd., STAMFORD, CT, 06902 US</v>
    <v>217.5</v>
    <v>Telecommunications Services</v>
    <v>Aktie</v>
    <v>5.9570999999999996</v>
    <v>877</v>
    <v>46113.978619409376</v>
    <v>91900</v>
    <v>CHARTER COMMUNICATIONS, INC.</v>
    <v>208.52</v>
    <v>CHARTER COMMUNICATIONS, INC.</v>
    <v>213.17</v>
    <v>216.27</v>
    <v>215.88</v>
    <v>CHTR</v>
    <v>CHARTER COMMUNICATIONS, INC. (XNAS:CHTR)</v>
    <v>2003</v>
    <v>1981713</v>
    <v>1667369</v>
    <v>USD</v>
  </rv>
  <rv s="2">
    <v>878</v>
  </rv>
  <rv s="3">
    <fb>219.14</fb>
    <v>6</v>
  </rv>
  <rv s="0">
    <v>https://www.bing.com/financeapi/forcetrigger?t=a1uhnm&amp;q=XNYS%3aHCA&amp;form=skydnc</v>
    <v>Learn more on Bing</v>
  </rv>
  <rv s="1">
    <v>0</v>
    <v>1</v>
    <v>HCA HEALTHCARE, INC. (XNYS:HCA)</v>
    <v>3</v>
    <v>4</v>
    <v>Finance</v>
    <v>19</v>
    <v>de-DE</v>
    <v>a1uhnm</v>
    <v>268435456</v>
    <v>1</v>
    <v>Unterstützt von Refinitiv</v>
    <v>556.52</v>
    <v>314.43</v>
    <v>1.51</v>
    <v>3.1909999999999998E-3</v>
    <v>223569000</v>
    <v>HCA Healthcare, Inc. ist ein Dienstleistungsunternehmen im Gesundheitswesen. Das Unternehmen besitzt, verwaltet oder betreibt Krankenhäuser, ambulante Operationszentren (ASCs), freistehende Notfalleinrichtungen, Notfalleinrichtungen, begehbare Kliniken, Diagnose- und Bildgebungszentren, Strahlen- und Onkologietherapiezentren, umfassende Rehabilitations- und Physiotherapiezentren, Hospize und verschiedene andere Einrichtungen. Die Krankenhäuser der allgemeinen Akutversorgung bieten ein umfassendes Leistungsspektrum für medizinische Fachrichtungen wie Innere Medizin, Allgemeinchirurgie, Kardiologie, Onkologie, Neurochirurgie, Orthopädie und Geburtshilfe sowie Diagnose- und Notfalldienste. Die verhaltensmedizinischen Krankenhäuser bieten ein umfassendes Angebot an psychiatrischen Behandlungen in stationären, teilstationären und ambulanten Einrichtungen. Das Unternehmen betreibt rund 190 Krankenhäuser und 2.400 ambulante Pflegedienste, darunter chirurgische Zentren, freistehende Notaufnahmen, Notfallambulanzen und Arztpraxen in 20 Bundesstaaten und im Vereinigten Königreich.</v>
    <v>1.3658999999999999</v>
    <v>106139382750</v>
    <v>New York Stock Exchange</v>
    <v>XNYS</v>
    <v>XNYS</v>
    <v>One Park Plaza, NASHVILLE, TN, 37203 US</v>
    <v>477.89</v>
    <v>Healthcare Providers &amp; Services</v>
    <v>Aktie</v>
    <v>16.723600000000001</v>
    <v>881</v>
    <v>46113.998889050781</v>
    <v>230000</v>
    <v>HCA HEALTHCARE, INC.</v>
    <v>470.08</v>
    <v>HCA HEALTHCARE, INC.</v>
    <v>473.1</v>
    <v>474.75</v>
    <v>473.24</v>
    <v>HCA</v>
    <v>HCA HEALTHCARE, INC. (XNYS:HCA)</v>
    <v>2010</v>
    <v>699534</v>
    <v>1117225</v>
    <v>USD</v>
  </rv>
  <rv s="2">
    <v>882</v>
  </rv>
  <rv s="3">
    <fb>471.85</fb>
    <v>6</v>
  </rv>
  <rv s="0">
    <v>https://www.bing.com/financeapi/forcetrigger?t=a1tyrw&amp;q=XNYS%3aGM&amp;form=skydnc</v>
    <v>Learn more on Bing</v>
  </rv>
  <rv s="1">
    <v>0</v>
    <v>1</v>
    <v>GENERAL MOTORS COMPANY (XNYS:GM)</v>
    <v>3</v>
    <v>4</v>
    <v>Finance</v>
    <v>5</v>
    <v>de-DE</v>
    <v>a1tyrw</v>
    <v>268435456</v>
    <v>1</v>
    <v>Unterstützt von Refinitiv</v>
    <v>87.62</v>
    <v>41.6</v>
    <v>0.54</v>
    <v>7.2480000000000001E-3</v>
    <v>903967800</v>
    <v>General Motors Company entwickelt, baut und verkauft Lkw, Crossover, Autos und Autoteile und bietet weltweit softwarefähige Services und Abonnements an. Zu den Segmenten des Unternehmens gehören GMNA, GMI, Cruise und GM Financial. Seine GM North America (GMNA) und GM International (GMI) entwickeln, produzieren und/oder vermarkten Fahrzeuge unter den Marken Buick, Cadillac, Chevrolet und GMC. Das Unternehmen bietet über sein Segment General Motors Financial Company, Inc. (GM Financial) Finanzierungsdienstleistungen für die Automobilindustrie an. Das Segment Cruise beschäftigt sich mit der Entwicklung und Vermarktung autonomer Fahrzeugtechnologie. Seine softwarefähigen Dienste und Abonnements, einschließlich OnStar, seine fortschrittlichen Fahrerassistenzsysteme (ADAS), einschließlich Super Cruise Driver Assistance Technologie, und seine End-to-End-Softwareplattform. Das Unternehmen konzentriert sich auch auf Investitionen in Elektrofahrzeuge (EVS) und AVS, softwarefähige Dienste und Abonnements sowie neue Geschäftsmöglichkeiten.</v>
    <v>1.3454999999999999</v>
    <v>67833743712</v>
    <v>New York Stock Exchange</v>
    <v>XNYS</v>
    <v>XNYS</v>
    <v>P.O. Box 33170, DETROIT, MI, 48232-5170 US</v>
    <v>75.87</v>
    <v>Automobiles &amp; Auto Parts</v>
    <v>Aktie</v>
    <v>22.9604</v>
    <v>885</v>
    <v>46113.994433066408</v>
    <v>156000</v>
    <v>GENERAL MOTORS COMPANY</v>
    <v>74.715000000000003</v>
    <v>GENERAL MOTORS COMPANY</v>
    <v>75.2</v>
    <v>75.040000000000006</v>
    <v>74.5</v>
    <v>GM</v>
    <v>GENERAL MOTORS COMPANY (XNYS:GM)</v>
    <v>2009</v>
    <v>1329</v>
    <v>8280562</v>
    <v>USD</v>
  </rv>
  <rv s="2">
    <v>886</v>
  </rv>
  <rv s="3">
    <fb>72.98</fb>
    <v>6</v>
  </rv>
  <rv s="0">
    <v>https://www.bing.com/financeapi/forcetrigger?t=a1vqnm&amp;q=XNYS%3aTT&amp;form=skydnc</v>
    <v>Learn more on Bing</v>
  </rv>
  <rv s="1">
    <v>0</v>
    <v>1</v>
    <v>TRANE TECHNOLOGIES PLC (XNYS:TT)</v>
    <v>3</v>
    <v>4</v>
    <v>Finance</v>
    <v>19</v>
    <v>de-DE</v>
    <v>a1vqnm</v>
    <v>268435456</v>
    <v>1</v>
    <v>Unterstützt von Refinitiv</v>
    <v>479.37</v>
    <v>298.14999999999998</v>
    <v>11.4</v>
    <v>2.7355000000000001E-2</v>
    <v>221331900</v>
    <v>Trane Technologies PLC ist ein weltweit tätiger Innovator im Bereich Klimaschutz. Über seine Marken wie Trane und Thermo King sowie sein Produkt- und Serviceportfolio bietet das Unternehmen Klimalösungen für Gebäude, Wohnungen und Transportmittel. Zu den Segmenten zählen Nord- und Südamerika, EMEA und Asien-Pazifik. Das Segment Nord- und Südamerika bedient Kunden in Nordamerika und Lateinamerika und umfasst gewerbliche Heiz- und Kühlsysteme, Gebäudeteuerungen sowie Energiedienstleistungen und -Lösungen, Heizung und Kühlung für Wohnzwecke sowie Transportkältesysteme und -Lösungen. Das EMEA-Segment betreut Kunden in Europa, dem Nahen Osten und Afrika und umfasst Heiz- und Kühlsysteme, Dienstleistungen und Lösungen für gewerbliche Gebäude sowie Transportkühlsysteme und -Lösungen. Das Segment Asien-Pazifik beliefert Kunden in der gesamten Region Asien-Pazifik und umfasst Heiz- und Kühlsysteme und -Lösungen. Darüber hinaus bietet es Cloud-basierte Produkte und Lösungen für vernetzte Arbeitsplätze und Unternehmensressourcen.</v>
    <v>1.2119</v>
    <v>94761039666</v>
    <v>New York Stock Exchange</v>
    <v>XNYS</v>
    <v>XNYS</v>
    <v>170/175 Lakeview Drive, Airside Business Park, Swords,, SWORDS, DUBLIN IE</v>
    <v>431.23500000000001</v>
    <v>Machinery, Equipment &amp; Components</v>
    <v>Aktie</v>
    <v>32.5745</v>
    <v>889</v>
    <v>46113.993784907034</v>
    <v>44000</v>
    <v>TRANE TECHNOLOGIES PLC</v>
    <v>420.72</v>
    <v>TRANE TECHNOLOGIES PLC</v>
    <v>422.97</v>
    <v>428.14</v>
    <v>416.74</v>
    <v>TT</v>
    <v>TRANE TECHNOLOGIES PLC (XNYS:TT)</v>
    <v>2009</v>
    <v>1454115</v>
    <v>1370962</v>
    <v>USD</v>
  </rv>
  <rv s="2">
    <v>890</v>
  </rv>
  <rv s="3">
    <fb>410.23</fb>
    <v>6</v>
  </rv>
  <rv s="0">
    <v>https://www.bing.com/financeapi/forcetrigger?t=a1uw77&amp;q=XNAS%3aHSIC&amp;form=skydnc</v>
    <v>Learn more on Bing</v>
  </rv>
  <rv s="1">
    <v>0</v>
    <v>1</v>
    <v>HENRY SCHEIN, INC. (XNAS:HSIC)</v>
    <v>3</v>
    <v>4</v>
    <v>Finance</v>
    <v>19</v>
    <v>de-DE</v>
    <v>a1uw77</v>
    <v>268435456</v>
    <v>1</v>
    <v>Unterstützt von Refinitiv</v>
    <v>89.29</v>
    <v>60.56</v>
    <v>-0.66</v>
    <v>-8.9549999999999994E-3</v>
    <v>114704100</v>
    <v>Henry Schein, Inc. Ist ein Lösungsanbieter für medizinisches Fachpersonal. Die Segmente umfassen Global Distribution and Value-Added Services, Global Specialty Services und Global Technology. Global Distribution and Value-Added Services umfasst den Vertrieb von Waren für nationale Marken und Firmenmarken sowie Ausrüstung und zugehörige technische Dienstleistungen auf den globalen Dentalmarkt und medizinische Märkte. Dieses Segment umfasst auch Mehrwertdienstleistungen wie Finanzdienstleistungen, Weiterbildungsdienstleistungen, Beratung und andere Dienstleistungen. Dieses Segment vermarktet und verkauft auch unter seiner eigenen Marke ein Portfolio an Verbrauchsmaterialien. Die Global Specialty Products umfassen die Herstellung, Vermarktung und den Vertrieb von Implantaten und Biomaterialien sowie endodontische, kieferorthopädische und andere Produkte und Dienstleistungen im Bereich des Gesundheitswesens. Global Technology umfasst die Entwicklung und den Vertrieb von Praxismanagement-Software, E-Services und anderen Produkten.</v>
    <v>0.88229999999999997</v>
    <v>8377987464</v>
    <v>Nasdaq Stock Market</v>
    <v>XNAS</v>
    <v>XNAS</v>
    <v>135 Duryea Rd, MELVILLE, NY, 11747 US</v>
    <v>74.62</v>
    <v>Healthcare Equipment &amp; Supplies</v>
    <v>Aktie</v>
    <v>22.3352</v>
    <v>893</v>
    <v>46113.84723540469</v>
    <v>25000</v>
    <v>HENRY SCHEIN, INC.</v>
    <v>73</v>
    <v>HENRY SCHEIN, INC.</v>
    <v>73.7</v>
    <v>73.040000000000006</v>
    <v>73.7</v>
    <v>HSIC</v>
    <v>HENRY SCHEIN, INC. (XNAS:HSIC)</v>
    <v>1992</v>
    <v>1149199</v>
    <v>1349740</v>
    <v>USD</v>
  </rv>
  <rv s="2">
    <v>894</v>
  </rv>
  <rv s="3">
    <fb>72.099999999999994</fb>
    <v>6</v>
  </rv>
  <rv s="0">
    <v>https://www.bing.com/financeapi/forcetrigger?t=a251gh&amp;q=XNYS%3aUSB&amp;form=skydnc</v>
    <v>Learn more on Bing</v>
  </rv>
  <rv s="1">
    <v>0</v>
    <v>1</v>
    <v>U.S. BANCORP (XNYS:USB)</v>
    <v>3</v>
    <v>4</v>
    <v>Finance</v>
    <v>5</v>
    <v>de-DE</v>
    <v>a251gh</v>
    <v>268435456</v>
    <v>1</v>
    <v>Unterstützt von Refinitiv</v>
    <v>61.19</v>
    <v>35.18</v>
    <v>0.74</v>
    <v>1.4228000000000001E-2</v>
    <v>1552252000</v>
    <v>U.S. Bancorp ist eine Holdinggesellschaft für Finanzdienstleistungen. Ihre Segmente sind Wealth, Corporate, Commercial and Institutional Banking, Consumer and Business Banking, Payment Services sowie Treasury and Corporate Support. Das Unternehmen bietet eine breite Palette von Finanzdienstleistungen an, darunter Kredit- und Einlagengeschäfte, Cash Management, Kapitalmärkte sowie Treuhand- und Anlageverwaltungsdienste. Darüber hinaus ist das Unternehmen in den Bereichen Kreditkartendienste, Händler- und Geldautomatenverarbeitung, Hypothekenbanking, Versicherungen, Maklerdienste und Leasing tätig. Ihre Tochtergesellschaft, die U.S. Bank National Association (USBNA), ist im Bankgeschäft tätig, vor allem auf dem heimischen Markt. USBNA bietet eine Reihe von Produkten und Dienstleistungen für Privatpersonen, Unternehmen, institutionelle Organisationen, staatliche Einrichtungen und andere Finanzinstitute an. Ihre Tochtergesellschaften außerhalb des Bankensektors bieten ihren Kunden Anlage- und Versicherungsprodukte hauptsächlich auf ihren Inlandsmärkten sowie Fondsverwaltungsdienste für eine Reihe von Investment- und anderen Fonds an.</v>
    <v>1.0338000000000001</v>
    <v>81881293000</v>
    <v>New York Stock Exchange</v>
    <v>XNYS</v>
    <v>XNYS</v>
    <v>800 Nicollet Mall, MINNEAPOLIS, MN, 55402-7020 US</v>
    <v>53.02</v>
    <v>Banking Services</v>
    <v>Aktie</v>
    <v>11.415100000000001</v>
    <v>897</v>
    <v>46113.999570080472</v>
    <v>68520</v>
    <v>U.S. BANCORP</v>
    <v>52.260100000000001</v>
    <v>U.S. BANCORP</v>
    <v>52.75</v>
    <v>52.75</v>
    <v>52.01</v>
    <v>USB</v>
    <v>U.S. BANCORP (XNYS:USB)</v>
    <v>1929</v>
    <v>30</v>
    <v>11079990</v>
    <v>USD</v>
  </rv>
  <rv s="2">
    <v>898</v>
  </rv>
  <rv s="3">
    <fb>50.85</fb>
    <v>6</v>
  </rv>
  <rv s="0">
    <v>http://en.wikipedia.org/wiki/McDonald's</v>
    <v>Wikipedia</v>
  </rv>
  <rv s="6">
    <v>35</v>
    <v>901</v>
  </rv>
  <rv s="7">
    <v>18</v>
    <v>https://www.bing.com/th?id=AMMS_7d8255243964a8970376f8dd41121106&amp;qlt=95</v>
    <v>902</v>
    <v>0</v>
    <v>https://www.bing.com/images/search?form=xlimg&amp;q=mcdonald%27s</v>
    <v>Image of MCDONALD'S CORPORATION</v>
  </rv>
  <rv s="0">
    <v>https://www.bing.com/financeapi/forcetrigger?t=a1xdec&amp;q=XNYS%3aMCD&amp;form=skydnc</v>
    <v>Learn more on Bing</v>
  </rv>
  <rv s="8">
    <v>13</v>
    <v>14</v>
    <v>MCDONALD'S CORPORATION (XNYS:MCD)</v>
    <v>16</v>
    <v>17</v>
    <v>Finance</v>
    <v>5</v>
    <v>de-DE</v>
    <v>a1xdec</v>
    <v>268435456</v>
    <v>1</v>
    <v>Unterstützt von Refinitiv</v>
    <v>341.75</v>
    <v>283.47000000000003</v>
    <v>-3.5</v>
    <v>-1.1262000000000001E-2</v>
    <v>710398600</v>
    <v>McDonald's Corporation ist ein weltweit tätiger Lebensmittelhändler. Das Segment umfasst US-amerikanische, International Operated Markets und International Development Licensed Markets &amp; Corporate. Das US-Segment ist sein größter Markt und ist zu 95 % Franchise. Das Segment International Operated Markets setzt sich aus Märkten oder Ländern zusammen, in denen es tätig ist und Franchisegeschäfte ausführt, darunter Australien, Kanada, Frankreich, Deutschland, Italien, Polen, Spanien und Vereinigtes Königreich. Dieses Segment ist zu 89 % Franchise. Das Segment International Developmental Licensed Markets &amp; Corporate umfasst entwicklungsorientierte Lizenznehmer- und Partnermärkte, einschließlich Beteiligungen nach der Equity-Methode in China und Japan. Dieses Segment ist zu 99 % Franchise. Die Speisekarte umfasst Hamburger und Cheeseburger, den Big Mac, den Quarter Pounder mit Käse, den Filet-O-Fisch und mehrere Hühnchen-Sandwiches, wie McChicken und McCrispy sowie Chicken McNuggets, Pommes Frites, Shakes, Eisbecher, Kekse, alkoholfreie Getränke, Kaffee und andere Getränke.</v>
    <v>0.53129999999999999</v>
    <v>903</v>
    <v>218298385794</v>
    <v>New York Stock Exchange</v>
    <v>XNYS</v>
    <v>XNYS</v>
    <v>110 N Carpenter St, CHICAGO, IL, 60607-2104 US</v>
    <v>311</v>
    <v>Hotels &amp; Entertainment Services</v>
    <v>Aktie</v>
    <v>25.7073</v>
    <v>904</v>
    <v>46113.99783641172</v>
    <v>150000</v>
    <v>MCDONALD'S CORPORATION</v>
    <v>304</v>
    <v>MCDONALD'S CORPORATION</v>
    <v>310.17</v>
    <v>307.29000000000002</v>
    <v>310.79000000000002</v>
    <v>MCD</v>
    <v>MCDONALD'S CORPORATION (XNYS:MCD)</v>
    <v>1964</v>
    <v>96</v>
    <v>3218508</v>
    <v>USD</v>
  </rv>
  <rv s="2">
    <v>905</v>
  </rv>
  <rv s="3">
    <fb>305.89999999999998</fb>
    <v>6</v>
  </rv>
  <rv s="0">
    <v>https://www.bing.com/financeapi/forcetrigger?t=a1wksm&amp;q=XNYS%3aKMX&amp;form=skydnc</v>
    <v>Learn more on Bing</v>
  </rv>
  <rv s="1">
    <v>0</v>
    <v>1</v>
    <v>CarMax, Inc. (XNYS:KMX)</v>
    <v>3</v>
    <v>4</v>
    <v>Finance</v>
    <v>5</v>
    <v>de-DE</v>
    <v>a1wksm</v>
    <v>268435456</v>
    <v>1</v>
    <v>Unterstützt von Refinitiv</v>
    <v>82.789900000000003</v>
    <v>30.26</v>
    <v>-1.27</v>
    <v>-3.0543999999999998E-2</v>
    <v>141796600</v>
    <v>Carmax, Inc. Ist ein Händler von Gebrauchtautos. Das Unternehmen ist in zwei Segmenten tätig: Carmax Sales Operations und CarMax Auto Finance (CAF). Das Segment CarMax Sales Operations umfasst alle Aspekte des Autokennhandels und des Service-Betriebs. Das Segment CarMax Sales Operations verkauft Gebrauchtfahrzeuge, kauft Gebrauchtfahrzeuge von Kunden und anderen Quellen, verkauft zugehörige Produkte und Dienstleistungen und arrangiert Finanzierungsoptionen für Kunden. Das CAF-Segment besteht ausschließlich aus einem eigenen Finanzierungsgeschäft, das Kunden, die Einzelhandelsfahrzeuge vom Unternehmen kaufen, Finanzierungen bereitstellt. Das CAF-Segment betreut auch alle Autokredite, erstellt und ist verantwortlich für die Bereitstellung von Abrechnungen, die Einziehung von Zahlungen, den Kontakt mit überfälligen Kunden und die Organisation der Rücknahme von Fahrzeugen, die ausfallende Kredite sichern. Es bietet Kunden eine Reihe anderer verwandter Produkte und Dienstleistungen, einschließlich EPP-Produkte (Extended Protection Plan) und Fahrzeugreparaturdienstleistungen.</v>
    <v>1.2987</v>
    <v>5715820946</v>
    <v>New York Stock Exchange</v>
    <v>XNYS</v>
    <v>XNYS</v>
    <v>12800 Tuckahoe Creek Pkwy, RICHMOND, VA, 23238 US</v>
    <v>41.59</v>
    <v>Specialty Retailers</v>
    <v>Aktie</v>
    <v>13.3332</v>
    <v>908</v>
    <v>46113.988739675784</v>
    <v>30048</v>
    <v>CarMax, Inc.</v>
    <v>40.229999999999997</v>
    <v>CarMax, Inc.</v>
    <v>41.22</v>
    <v>40.31</v>
    <v>41.58</v>
    <v>KMX</v>
    <v>CarMax, Inc. (XNYS:KMX)</v>
    <v>1996</v>
    <v>1103</v>
    <v>3154887</v>
    <v>USD</v>
  </rv>
  <rv s="2">
    <v>909</v>
  </rv>
  <rv s="3">
    <fb>40.86</fb>
    <v>6</v>
  </rv>
  <rv s="0">
    <v>https://www.bing.com/financeapi/forcetrigger?t=a214h7&amp;q=XNYS%3aPPG&amp;form=skydnc</v>
    <v>Learn more on Bing</v>
  </rv>
  <rv s="1">
    <v>0</v>
    <v>1</v>
    <v>PPG INDUSTRIES, INC. (XNYS:PPG)</v>
    <v>3</v>
    <v>4</v>
    <v>Finance</v>
    <v>5</v>
    <v>de-DE</v>
    <v>a214h7</v>
    <v>268435456</v>
    <v>1</v>
    <v>Unterstützt von Refinitiv</v>
    <v>133.43</v>
    <v>90.24</v>
    <v>-0.41</v>
    <v>-3.836E-3</v>
    <v>223798600</v>
    <v>PPG Industries, Inc. produziert und vertreibt eine breite Palette von Farben, Lacken und Spezialprodukten. Zu seinen Segmenten gehören Global Architectural Coatings, Performance Coatings und Industrial Coatings. Das Segment Globale Bautenanstrichmittel besteht aus den operativen Segmenten Bautenanstrichmittel EMEA und Bautenanstrichmittel Lateinamerika und Asien-Pazifik. Dieses Segment liefert in erster Linie Farben, Holzbeizen, Klebstoffe, Dichtstoffe und zugekaufte Verbrauchsmaterialien. Das Segment Performance Coatings besteht aus den Geschäftssegmenten Autoreparaturlacke, Luft- und Raumfahrtlacke, Schutz- und Schiffsbeschichtungen sowie Verkehrslösungen. Dieses Segment liefert in erster Linie eine Vielzahl von Lacken, Lösungsmitteln, Klebstoffen, Dichtungsmitteln, Schäumen und Veredelungen sowie Fahrbahnmarkierungsprodukte, Transparente und Farbfolien. Das Segment Industriebeschichtungen liefert eine Vielzahl von Schutz- und Dekorationsbeschichtungen und -lacken sowie Klebstoffe, Dichtstoffe, Produkte zur Metallvorbehandlung und andere Spezialprodukte.</v>
    <v>1.1560999999999999</v>
    <v>23827836942</v>
    <v>New York Stock Exchange</v>
    <v>XNYS</v>
    <v>XNYS</v>
    <v>One Ppg Pl 40 East, PITTSBURGH, PA, 15272 US</v>
    <v>109.15</v>
    <v>Chemicals</v>
    <v>Aktie</v>
    <v>15.3964</v>
    <v>912</v>
    <v>46113.972351816403</v>
    <v>43500</v>
    <v>PPG INDUSTRIES, INC.</v>
    <v>106.245</v>
    <v>PPG INDUSTRIES, INC.</v>
    <v>107.49</v>
    <v>106.47</v>
    <v>106.88</v>
    <v>PPG</v>
    <v>PPG INDUSTRIES, INC. (XNYS:PPG)</v>
    <v>1883</v>
    <v>1</v>
    <v>2327464</v>
    <v>USD</v>
  </rv>
  <rv s="2">
    <v>913</v>
  </rv>
  <rv s="3">
    <fb>103.82</fb>
    <v>6</v>
  </rv>
  <rv s="0">
    <v>https://www.bing.com/financeapi/forcetrigger?t=a22k9c&amp;q=XNAS%3aSBUX&amp;form=skydnc</v>
    <v>Learn more on Bing</v>
  </rv>
  <rv s="1">
    <v>0</v>
    <v>1</v>
    <v>STARBUCKS CORPORATION (XNAS:SBUX)</v>
    <v>3</v>
    <v>4</v>
    <v>Finance</v>
    <v>5</v>
    <v>de-DE</v>
    <v>a22k9c</v>
    <v>268435456</v>
    <v>1</v>
    <v>Unterstützt von Refinitiv</v>
    <v>104.82</v>
    <v>75.5</v>
    <v>0.84</v>
    <v>9.3760000000000007E-3</v>
    <v>1139300000</v>
    <v>Starbucks Corporations ist ein weltweit tätiger Röster, Vermarkter und Einzelhändler von Spezialitätenkaffee. Das Segment Nordamerika umfasst die USA und Kanada. Das Segment International umfasst China, Japan, den Asien-Pazifik-Raum, Europa, den Nahen Osten und Afrika, Lateinamerika und die Karibik. Die Segmente Nordamerika und International umfassen sowohl unternehmenseigene als auch lizenzierte Geschäfte. Das Segment Channel Development umfasst geröstete ganze Bohnen und gemahlenen Kaffee, Einzelportionsprodukte der Marke Starbucks, eine Vielzahl trinkfertiger Getränke wie Frappuccino und Starbucks Doubleshot, Foodservice-Produkte und sonstige Markenprodukte, die außerhalb der unternehmenseigenen und lizenzierten Geschäfte verkauft werden. Ein großer Teil des Channel-Development-Geschäfts wird im Rahmen eines lizenzierten Modells der Global Coffee Alliance mit Nestlé betrieben, während die globalen Geschäfte für trinkfertige Getränke im Rahmen von Kooperationen mit PepsiCo, Inc., Tingyi-Ashi Beverages Holding Co., Ltd., Arla Foods amba, Nestlé und anderen betrieben werden.</v>
    <v>0.94450000000000001</v>
    <v>103026899000</v>
    <v>Nasdaq Stock Market</v>
    <v>XNAS</v>
    <v>XNAS</v>
    <v>2401 Utah Ave S, Ms: S-La1, SEATTLE, WA, 98134 US</v>
    <v>91.03</v>
    <v>Hotels &amp; Entertainment Services</v>
    <v>Aktie</v>
    <v>75.331299999999999</v>
    <v>916</v>
    <v>46113.999073367966</v>
    <v>381000</v>
    <v>STARBUCKS CORPORATION</v>
    <v>89.483800000000002</v>
    <v>STARBUCKS CORPORATION</v>
    <v>90.25</v>
    <v>90.43</v>
    <v>89.59</v>
    <v>SBUX</v>
    <v>STARBUCKS CORPORATION (XNAS:SBUX)</v>
    <v>1985</v>
    <v>967</v>
    <v>8376021</v>
    <v>USD</v>
  </rv>
  <rv s="2">
    <v>917</v>
  </rv>
  <rv s="3">
    <fb>86.81</fb>
    <v>6</v>
  </rv>
  <rv s="0">
    <v>https://www.bing.com/financeapi/forcetrigger?t=a1uv7w&amp;q=XNYS%3aHRL&amp;form=skydnc</v>
    <v>Learn more on Bing</v>
  </rv>
  <rv s="1">
    <v>0</v>
    <v>1</v>
    <v>HORMEL FOODS CORPORATION (XNYS:HRL)</v>
    <v>3</v>
    <v>4</v>
    <v>Finance</v>
    <v>19</v>
    <v>de-DE</v>
    <v>a1uv7w</v>
    <v>268435456</v>
    <v>1</v>
    <v>Unterstützt von Refinitiv</v>
    <v>32.07</v>
    <v>21.03</v>
    <v>-0.62</v>
    <v>-2.7372999999999998E-2</v>
    <v>550284200</v>
    <v>Hormel Foods Corporation ist ein weltweit tätiges Lebensmittelunternehmen. Das Unternehmen entwickelt, verarbeitet und vertreibt eine Reihe von Lebensmitteln in einer Vielzahl von Märkten. Zu den Segmenten gehören Retail, Foodservice und International. Das Segment Retail ist hauptsächlich in der Verarbeitung, Vermarktung und dem Verkauf von Lebensmitteln tätig, die überwiegend im Einzelhandel verkauft werden. Zu diesem Segment gehört auch das Joint Venture MegaMex Foods, LLC des Unternehmens. Das Segment Foodservice umfasst vor allem die Verarbeitung, Vermarktung und den Verkauf von Lebensmitteln an Foodservice, Convenience Store und gewerbliche Kunden in den USA. Das Segment International verarbeitet, vermarktet und verkauft seine Produkte international. Dieses Segment umfasst auch die Ergebnisse aus internationalen Joint Ventures des Unternehmens, internationalen Beteiligungsmethoden und internationalen Lizenzvereinbarungen. Es ist weltweit in mehreren wichtigen internationalen Märkten vertreten, darunter Australien, Brasilien, Kanada, China, und England.</v>
    <v>0.35820000000000002</v>
    <v>12122760926</v>
    <v>New York Stock Exchange</v>
    <v>XNYS</v>
    <v>XNYS</v>
    <v>1 Hormel Pl, AUSTIN, MN, 55912-3680 US</v>
    <v>22.71</v>
    <v>Food &amp; Tobacco</v>
    <v>Aktie</v>
    <v>24.7882</v>
    <v>920</v>
    <v>46113.998654733594</v>
    <v>20000</v>
    <v>HORMEL FOODS CORPORATION</v>
    <v>21.98</v>
    <v>HORMEL FOODS CORPORATION</v>
    <v>22.71</v>
    <v>22.03</v>
    <v>22.65</v>
    <v>HRL</v>
    <v>HORMEL FOODS CORPORATION (XNYS:HRL)</v>
    <v>1928</v>
    <v>585</v>
    <v>4472380</v>
    <v>USD</v>
  </rv>
  <rv s="2">
    <v>921</v>
  </rv>
  <rv s="3">
    <fb>23.07</fb>
    <v>6</v>
  </rv>
  <rv s="0">
    <v>https://www.bing.com/financeapi/forcetrigger?t=a2w5cw&amp;q=OTCM%3aSMFTF&amp;form=skydnc</v>
    <v>Learn more on Bing</v>
  </rv>
  <rv s="1">
    <v>0</v>
    <v>1</v>
    <v>SMURFIT WESTROCK PUBLIC LIMITED COMPANY (XNYS:SW)</v>
    <v>3</v>
    <v>4</v>
    <v>Finance</v>
    <v>5</v>
    <v>de-DE</v>
    <v>a2w5cw</v>
    <v>268435456</v>
    <v>1</v>
    <v>Unterstützt von Refinitiv</v>
    <v>52.65</v>
    <v>32.728999999999999</v>
    <v>0.28000000000000003</v>
    <v>7.0260000000000001E-3</v>
    <v>524253700</v>
    <v>Smurfit Westrock plc ist ein multinationaler Anbieter von nachhaltigen Papier- und Verpackungslösungen auf Faserbasis. Zu seinen Segmenten gehören Europa, der Nahe Osten und Afrika (MEA) sowie der asiatisch-pazifische Raum (APAC), Nordamerika und Lateinamerika (LATAM), wo das Unternehmen über ein System von Fabriken und Werken verfügt, die in erster Linie eine vollständige Palette von Wellpappenrohpapier herstellen, das innerhalb jedes Segments zu Wellpappebehältern verarbeitet oder an Dritte verkauft wird. Das Segment Nordamerika bietet Linerboard, White-Top-Linerboard und Wellpappenrohpapier sowie Kraftpapier an und bedient in erster Linie die Märkte für Wellpappenverpackungen. Die Segmente Europa, MEA und APAC bieten in erster Linie eine vollständige Palette an Wellpappenrohpapier an, das zu Wellpappebehältern verarbeitet wird. Das Unternehmen ist auch in den Marktsegmenten Verpackung und Papier tätig, beispielsweise mit Sackkraftpapier, maschinenglänzendem Papier, Grafikpappe, Vollpappe, Vollpappeverpackungen und Kartonagen. Das Segment LATAM ist in der Herstellung von Wellpappenrohpapier, Konsumverpackungskarton und Sackkraftpapier tätig.</v>
    <v>1.0544</v>
    <v>21038300981</v>
    <v>New York Stock Exchange</v>
    <v>XNYS</v>
    <v>XNYS</v>
    <v>Beech Hill, Clonskeagh, DUBLIN, DUBLIN, D04 N2R2 IE</v>
    <v>40.71</v>
    <v>Containers &amp; Packaging</v>
    <v>Aktie</v>
    <v>30.3078</v>
    <v>924</v>
    <v>46113.987727823434</v>
    <v>97000</v>
    <v>SMURFIT WESTROCK PUBLIC LIMITED COMPANY</v>
    <v>39.94</v>
    <v>SMURFIT WESTROCK PUBLIC LIMITED COMPANY</v>
    <v>40.159999999999997</v>
    <v>40.130000000000003</v>
    <v>39.85</v>
    <v>SW</v>
    <v>SMURFIT WESTROCK PUBLIC LIMITED COMPANY (XNYS:SW)</v>
    <v>2017</v>
    <v>10817</v>
    <v>6293672</v>
    <v>USD</v>
  </rv>
  <rv s="2">
    <v>925</v>
  </rv>
  <rv s="3">
    <fb>39.409999999999997</fb>
    <v>6</v>
  </rv>
  <rv s="0">
    <v>https://www.bing.com/financeapi/forcetrigger?t=a25k5r&amp;q=XNAS%3aVRTX&amp;form=skydnc</v>
    <v>Learn more on Bing</v>
  </rv>
  <rv s="1">
    <v>0</v>
    <v>1</v>
    <v>VERTEX PHARMACEUTICALS INCORPORATED (XNAS:VRTX)</v>
    <v>3</v>
    <v>4</v>
    <v>Finance</v>
    <v>5</v>
    <v>de-DE</v>
    <v>a25k5r</v>
    <v>268435456</v>
    <v>1</v>
    <v>Unterstützt von Refinitiv</v>
    <v>510.77</v>
    <v>362.5</v>
    <v>0.72</v>
    <v>1.6120000000000002E-3</v>
    <v>254034200</v>
    <v>Vertex Pharmaceuticals Incorporated ist ein globales Biotechnologieunternehmen, das in wissenschaftliche Innovationen investiert, um transformative Medikamente für Menschen mit schweren Krankheiten zu entwickeln, mit Schwerpunkt auf Spezialmärkten. Es hat sieben zugelassene Arzneimittel: Fünf zur Behandlung der zugrunde liegenden Ursache der Mukoviszidose (CF), eines zur Behandlung der schweren Sichelzellkrankheit (SCD) und der transfusionsabhängigen Beta-Thalassämie (TDT) und eines zur Behandlung mittelschwerer bis schwerer akuter Schmerzen. Die Pipeline umfasst Programme im klinischen Stadium bei CF, SCD, Beta-Thalassämie, akuten und peripheren neuropathischen Schmerzen, APOL1-vermittelter Nierenerkrankung, IgA-Nephropathie und anderen autoimmunen Nierenerkrankungen und Zytopenien, Typ-1-Diabetes, myotonischer Dystrophie Typ 1 und autosomal dominanter polyzystischer Nierenerkrankung. Die in Verkehr gebrachten Arzneimittel sind TRIKAFTA/KAFTRIO (Elexacaftor/Tezacaftor/Ivacaftor und Ivacaftor), SYMDEKO/SYMKEVI (Elexacaftor/Tezacaftor/Ivacaftor und Ivacaftor), ORKAMBI (Lumacaftor/Ivacaftor) und KALYDECO (Ivacaftor).</v>
    <v>0.36709999999999998</v>
    <v>113619336292</v>
    <v>Nasdaq Stock Market</v>
    <v>XNAS</v>
    <v>XNAS</v>
    <v>50 Northern Avenue, BOSTON, MA, 02210 US</v>
    <v>453.98</v>
    <v>Pharmaceuticals</v>
    <v>Aktie</v>
    <v>29.169699999999999</v>
    <v>928</v>
    <v>46113.999975960156</v>
    <v>6400</v>
    <v>VERTEX PHARMACEUTICALS INCORPORATED</v>
    <v>446.71</v>
    <v>VERTEX PHARMACEUTICALS INCORPORATED</v>
    <v>449.17</v>
    <v>447.26</v>
    <v>446.54</v>
    <v>VRTX</v>
    <v>VERTEX PHARMACEUTICALS INCORPORATED (XNAS:VRTX)</v>
    <v>1989</v>
    <v>8</v>
    <v>1469970</v>
    <v>USD</v>
  </rv>
  <rv s="2">
    <v>929</v>
  </rv>
  <rv s="3">
    <fb>433.07</fb>
    <v>6</v>
  </rv>
  <rv s="0">
    <v>https://www.bing.com/financeapi/forcetrigger?t=a1ser7&amp;q=XNYS%3aEW&amp;form=skydnc</v>
    <v>Learn more on Bing</v>
  </rv>
  <rv s="11">
    <v>33</v>
    <v>34</v>
    <v>EDWARDS LIFESCIENCES CORPORATION (XNYS:EW)</v>
    <v>3</v>
    <v>35</v>
    <v>Finance</v>
    <v>36</v>
    <v>de-DE</v>
    <v>a1ser7</v>
    <v>268435456</v>
    <v>1</v>
    <v>Unterstützt von Refinitiv</v>
    <v>87.89</v>
    <v>65.94</v>
    <v>1.18</v>
    <v>1.4735E-2</v>
    <v>576541700</v>
    <v>Edwards Lifesciences Corporation ist ein globales Unternehmen für strukturelle Herzinnovationen. Das Unternehmen beschäftigt sich mit patientenorientierten medizinischen Innovationen für strukturelle Herzerkrankungen und investiert in Forschung und Entwicklung, um die Versorgung von Personen zu verändern, die von strukturellen Herzerkrankungen betroffen sind. Die Produkte werden in Gruppen unterteilt, darunter Transcatheter-Aortenklappenersatz (TAVR), Transcatheter-Mitral- und Trikuspidtherapien (TMTT) und chirurgisches strukturelles Herz (Chirurgie). Es entwickelt Transkatheter-Herzklappenersatztechnologien für den minimalinvasiven Ersatz von Aortenherzklappen. Die Edwards SAPIEN Klappenfamilie umfasst die Systeme Edwards SAPIEN 3, Edwards SAPIEN 3 Ultra und Edwards SAPIEN 3 Ultra RESILIA. Diese Systeme sind katheterbasierte Ansätze zur Behandlung schwerer symptomatischer Aortenstenosen. Die PASCAL PRECISION- und Cardioband-Transkatheter-Ventilreparatursysteme sind in Europa für die Reparatur von Mitral- und Trikuspidalklappen im Handel erhältlich.</v>
    <v>0.94540000000000002</v>
    <v>46849778542</v>
    <v>New York Stock Exchange</v>
    <v>XNYS</v>
    <v>XNYS</v>
    <v>One Edwards Way, IRVINE, CA, 92614 US</v>
    <v>82.17</v>
    <v>Healthcare Equipment &amp; Supplies</v>
    <v>Aktie</v>
    <v>44.980499999999999</v>
    <v>932</v>
    <v>46113.958333356248</v>
    <v>16000</v>
    <v>EDWARDS LIFESCIENCES CORPORATION</v>
    <v>80.11</v>
    <v>EDWARDS LIFESCIENCES CORPORATION</v>
    <v>81</v>
    <v>81.260000000000005</v>
    <v>79.64</v>
    <v>80.08</v>
    <v>EW</v>
    <v>EDWARDS LIFESCIENCES CORPORATION (XNYS:EW)</v>
    <v>1999</v>
    <v>-1.62</v>
    <v>-1.9935999999999999E-2</v>
    <v>5357191</v>
    <v>4698068</v>
    <v>USD</v>
  </rv>
  <rv s="2">
    <v>933</v>
  </rv>
  <rv s="3">
    <fb>79.34</fb>
    <v>6</v>
  </rv>
  <rv s="0">
    <v>https://www.bing.com/financeapi/forcetrigger?t=bwvem7&amp;q=XNAS%3aABNB&amp;form=skydnc</v>
    <v>Learn more on Bing</v>
  </rv>
  <rv s="1">
    <v>0</v>
    <v>1</v>
    <v>AIRBNB, INC. (XNAS:ABNB)</v>
    <v>3</v>
    <v>4</v>
    <v>Finance</v>
    <v>5</v>
    <v>de-DE</v>
    <v>bwvem7</v>
    <v>268435456</v>
    <v>1</v>
    <v>Unterstützt von Refinitiv</v>
    <v>143.87989999999999</v>
    <v>99.88</v>
    <v>-1.0900000000000001</v>
    <v>-8.631999999999999E-3</v>
    <v>608714000</v>
    <v>Airbnb, Inc. betreibt eine globale Plattform für Aufenthalte und Erlebnisse. Das Marktplatzmodell des Unternehmens bringt Gastgeber und Gäste online oder über mobile Geräte zusammen, um Räume und Erlebnisse auf der ganzen Welt zu buchen. Das Unternehmen hat seine Plattform so aufgebaut, dass sie neue Gastgeber an Bord holt, insbesondere solche, die bisher nicht als Gastgeber in Frage kamen. Es arbeitet mit Gastgebern während des gesamten Prozesses der Einrichtung ihres Angebots zusammen und stellt ihnen eine Reihe von Tools zur Verwaltung ihrer Angebote zur Verfügung, darunter Terminplanung, Merchandising, integrierte Zahlungen, Community-Unterstützung, Gastgeberschutz, Preisberatung und Feedback aus Bewertungen. Die Website und die mobilen Anwendungen bieten den Gästen die Möglichkeit, eine Vielzahl von Unterkünften und Erlebnissen zu erkunden und diese auf einfache Weise zu buchen. Die Technologieplattform des Unternehmens treibt den zweiseitigen Marktplatz an und ermöglicht das globale Netzwerk von Gastgebern und Gästen. Das Unternehmen besitzt ein Markenportfolio mit Schutz in 220 Ländern, in denen es tätig ist, für seine Hauptmarken AIRBNB und sein Belo-Logo.</v>
    <v>1.1603000000000001</v>
    <v>76204905660</v>
    <v>Nasdaq Stock Market</v>
    <v>XNAS</v>
    <v>XNAS</v>
    <v>888 Brannan St., SAN FRANCISCO, CA, 94103 US</v>
    <v>127.5</v>
    <v>Software &amp; IT Services</v>
    <v>Aktie</v>
    <v>30.984999999999999</v>
    <v>936</v>
    <v>46113.996796423438</v>
    <v>8200</v>
    <v>AIRBNB, INC.</v>
    <v>122.87</v>
    <v>AIRBNB, INC.</v>
    <v>126.39</v>
    <v>125.19</v>
    <v>126.28</v>
    <v>ABNB</v>
    <v>AIRBNB, INC. (XNAS:ABNB)</v>
    <v>2008</v>
    <v>155</v>
    <v>4188146</v>
    <v>USD</v>
  </rv>
  <rv s="2">
    <v>937</v>
  </rv>
  <rv s="3">
    <fb>122.87</fb>
    <v>6</v>
  </rv>
  <rv s="0">
    <v>https://www.bing.com/financeapi/forcetrigger?t=a23d6h&amp;q=XNYS%3aSPG&amp;form=skydnc</v>
    <v>Learn more on Bing</v>
  </rv>
  <rv s="1">
    <v>0</v>
    <v>1</v>
    <v>SIMON PROPERTY GROUP, INC. (XNYS:SPG)</v>
    <v>3</v>
    <v>4</v>
    <v>Finance</v>
    <v>5</v>
    <v>de-DE</v>
    <v>a23d6h</v>
    <v>268435456</v>
    <v>1</v>
    <v>Unterstützt von Refinitiv</v>
    <v>205.11500000000001</v>
    <v>136.34</v>
    <v>1.56</v>
    <v>8.3630000000000006E-3</v>
    <v>324953300</v>
    <v>Simon Property Group, Inc. ist ein selbstverwalteter und selbstverwalteter Immobilienfonds. Das Unternehmen besitzt, entwickelt und verwaltet erstklassige Einkaufszentren, Restaurants, Unterhaltungsangebote und gemischte Nutzungsmöglichkeiten, die hauptsächlich aus Einkaufszentren, Premium Outlets, The Mills und International Properties bestehen. Es besitzt mehr als 250 globale Immobilien. Zu den Anlagen gehören Apple Blossom Mall, Auburn Mall, Barton Creek Square, Battlefield Mall, Bay Park Square, Brea Mall, Briarwood Mall, Brickell City Centre, Broadway Square, Burlington Mall, Cape Cod Mall, Castleton Square, Cielo Vista Mall, Coconut Point, College Mall, Columbia Center, Copley Place, Coral Square, Cordova Mall, Dadeland Mall, Del Amo Fashion Center, Empire Mall, Firewheel Town Center, Greenwood Park Mall, Haywood Mall, King of Prussia, La Plaza, Lakeline Mall, Lenox Square, Mall of Georgia, Meadowood Mall, Menlo Park Mall, Miami International Mall, North East Mall, Ocean County Mall, Pheasant Lane Mall und Phillips Place.</v>
    <v>1.4028</v>
    <v>61120466197</v>
    <v>New York Stock Exchange</v>
    <v>XNYS</v>
    <v>XNYS</v>
    <v>225 West Washington Street, INDIANAPOLIS, IN, 46204-3438 US</v>
    <v>188.8</v>
    <v>Residential &amp; Commercial REIT</v>
    <v>Aktie</v>
    <v>13.270799999999999</v>
    <v>940</v>
    <v>46113.994035937503</v>
    <v>3100</v>
    <v>SIMON PROPERTY GROUP, INC.</v>
    <v>186.02</v>
    <v>SIMON PROPERTY GROUP, INC.</v>
    <v>186.66</v>
    <v>188.09</v>
    <v>186.53</v>
    <v>SPG</v>
    <v>SIMON PROPERTY GROUP, INC. (XNYS:SPG)</v>
    <v>2025</v>
    <v>6</v>
    <v>1821186</v>
    <v>USD</v>
  </rv>
  <rv s="2">
    <v>941</v>
  </rv>
  <rv s="3">
    <fb>180.19</fb>
    <v>6</v>
  </rv>
  <rv s="0">
    <v>https://www.bing.com/financeapi/forcetrigger?t=a1myk2&amp;q=XNYS%3aAES&amp;form=skydnc</v>
    <v>Learn more on Bing</v>
  </rv>
  <rv s="1">
    <v>0</v>
    <v>1</v>
    <v>THE AES CORPORATION (XNYS:AES)</v>
    <v>3</v>
    <v>4</v>
    <v>Finance</v>
    <v>5</v>
    <v>de-DE</v>
    <v>a1myk2</v>
    <v>268435456</v>
    <v>1</v>
    <v>Unterstützt von Refinitiv</v>
    <v>17.649999999999999</v>
    <v>9.4600000000000009</v>
    <v>0.11</v>
    <v>7.8069999999999997E-3</v>
    <v>713071600</v>
    <v>Die AES Corporation ist ein Energieunternehmen. Das Unternehmen ist in vier Segmenten tätig: Erneuerbare Energien, Versorgungsunternehmen, Energieinfrastruktur und neue Energietechnologien. Das Segment erneuerbare Energien umfasst Solar-, Wind-, Energiespeicher- und Wasserkraftwerke. Das Segment Versorgungsunternehmen umfasst die von AES Indiana, AES Ohio und AES El Salvador regulierten Versorgungsunternehmen und deren Erzeugungsanlagen. Das Segment Energieinfrastruktur umfasst Erdgas, Flüssigerdgas (LNG), Kohle, PET-Koks, Diesel und Erdölerzeugungsanlagen sowie seine Geschäftsbereiche in Chile, die über eine Mischung aus Erzeugungsquellen, einschließlich erneuerbarer Energien, verfügen. Das Segment neue Energietechnologien umfasst Investitionen in Fluence, Uplight, Maximo und andere Initiativen. Es hat zwei Geschäftsbereiche: Die Stromerzeugung, die im Besitz und/oder Betrieb von Kraftwerken zur Stromerzeugung und zum Verkauf an Kunden ist, und Versorgungsunternehmen, die Eigentümer und/oder Betreiber von Versorgungsunternehmen sind, um Strom zu erzeugen oder zu kaufen, zu verteilen, zu übertragen und an Endverbraucher zu verkaufen.</v>
    <v>1.0077</v>
    <v>10125616720</v>
    <v>New York Stock Exchange</v>
    <v>XNYS</v>
    <v>XNYS</v>
    <v>4300 Wilson Blvd, ARLINGTON, VA, 22203 US</v>
    <v>14.23</v>
    <v>Electrical Utilities &amp; IPPs</v>
    <v>Aktie</v>
    <v>8.6466999999999992</v>
    <v>944</v>
    <v>46113.999019628907</v>
    <v>8336</v>
    <v>THE AES CORPORATION</v>
    <v>14.07</v>
    <v>THE AES CORPORATION</v>
    <v>14.07</v>
    <v>14.2</v>
    <v>14.09</v>
    <v>AES</v>
    <v>THE AES CORPORATION (XNYS:AES)</v>
    <v>1981</v>
    <v>2496</v>
    <v>18881914</v>
    <v>USD</v>
  </rv>
  <rv s="2">
    <v>945</v>
  </rv>
  <rv s="3">
    <fb>14</fb>
    <v>6</v>
  </rv>
  <rv s="0">
    <v>https://www.bing.com/financeapi/forcetrigger?t=a1yq5r&amp;q=XNYS%3aNSC&amp;form=skydnc</v>
    <v>Learn more on Bing</v>
  </rv>
  <rv s="1">
    <v>0</v>
    <v>1</v>
    <v>NORFOLK SOUTHERN CORPORATION (XNYS:NSC)</v>
    <v>3</v>
    <v>4</v>
    <v>Finance</v>
    <v>19</v>
    <v>de-DE</v>
    <v>a1yq5r</v>
    <v>268435456</v>
    <v>1</v>
    <v>Unterstützt von Refinitiv</v>
    <v>319.94</v>
    <v>201.63</v>
    <v>0</v>
    <v>0</v>
    <v>244825600</v>
    <v>Die Norfolk Southern Corporation ist eine Holdinggesellschaft, die im Eisenbahngeschäft tätig ist. Das Unternehmen ist im Eisenbahntransport von Rohstoffen, Zwischenprodukten und Fertigprodukten im Südosten, Osten und Mittleren Westen sowie über den Umstieg mit Eisenbahnunternehmen in die und aus den übrigen USA tätig. Außerdem werden Überseegüter durch mehrere Häfen am Atlantik und an der Golfküste befördert. Es bietet ein intermodales Netz in der östlichen Hälfte der Vereinigten Staaten. Das Eisenbahnverkehrssystem erreicht verschiedene Produktionsanlagen, Stromerzeugungsanlagen, Bergwerke, Verteilzentren und Umladeanlagen. Es beliefert verschiedene Branchen wie Landwirtschaft, Forstwirtschaft und Konsumgüter, Automobil, Chemie, Metalle und Bauwesen. Die Kohlekonzession unterstützt den Stromerzeugungsmarkt und versorgt über 18 Kohlekraftwerke direkt die Export-, Hüttenindustrie- und Industriemärkte über direkte Schienen- und Flusskraftwerke, Seen und Küsten.</v>
    <v>1.3098000000000001</v>
    <v>70264947200</v>
    <v>New York Stock Exchange</v>
    <v>XNYS</v>
    <v>XNYS</v>
    <v>650 West Peachtreee Street NW, ATLANTA, GA, 30308-1925 US</v>
    <v>291.02</v>
    <v>Freight &amp; Logistics Services</v>
    <v>Aktie</v>
    <v>22.530100000000001</v>
    <v>948</v>
    <v>46113.995630856247</v>
    <v>19300</v>
    <v>NORFOLK SOUTHERN CORPORATION</v>
    <v>287</v>
    <v>NORFOLK SOUTHERN CORPORATION</v>
    <v>288.58</v>
    <v>287</v>
    <v>287</v>
    <v>NSC</v>
    <v>NORFOLK SOUTHERN CORPORATION (XNYS:NSC)</v>
    <v>1980</v>
    <v>1770964</v>
    <v>1365623</v>
    <v>USD</v>
  </rv>
  <rv s="2">
    <v>949</v>
  </rv>
  <rv s="3">
    <fb>283.25</fb>
    <v>6</v>
  </rv>
  <rv s="0">
    <v>https://www.bing.com/financeapi/forcetrigger?t=a1mzjc&amp;q=XNYS%3aAFL&amp;form=skydnc</v>
    <v>Learn more on Bing</v>
  </rv>
  <rv s="1">
    <v>0</v>
    <v>1</v>
    <v>AFLAC INCORPORATED (XNYS:AFL)</v>
    <v>3</v>
    <v>4</v>
    <v>Finance</v>
    <v>5</v>
    <v>de-DE</v>
    <v>a1mzjc</v>
    <v>268435456</v>
    <v>1</v>
    <v>Unterstützt von Refinitiv</v>
    <v>119.32</v>
    <v>96.95</v>
    <v>-7.0000000000000007E-2</v>
    <v>-6.38E-4</v>
    <v>515183700</v>
    <v>Aflac Incorporated bietet Versicherungsnehmern und Kunden über ihre Tochtergesellschaften in den Vereinigten Staaten und Japan finanziellen Schutz. Das Hauptgeschäft der Gesellschaft sind zusätzliche Kranken- und Lebensversicherungsprodukte. Zu den Segmenten des Unternehmens gehören Aflac Japan, zu dem Aflac Life Insurance Japan (ALIJ) gehört, und Aflac U.S., zu dem American Family Life Assurance Company of Columbus (Aflac), American Family Life Assurance Company of New York (Aflac New York), Continental American Insurance Company (CAIC), Tier One Insurance Company (TOIC) und Aflac Benefits Solutions, Inc. (ABS) gehören. Das Segment Aflac Japan ist in Japan der größte Versicherer für Krebs- und Krankenversicherungen (Versicherungsprodukte des dritten Sektors) in Kraft. Das Unternehmen konzipiert seine Versicherungsprodukte in den Vereinigten Staaten so, dass sie einen zusätzlichen Versicherungsschutz für Personen bieten, die bereits über einen Hauptkranken- oder Erstversicherungsschutz verfügen, da die Versicherungspolicen von Aflac U.S. unabhängig von anderen Versicherungen Leistungen erbringen.</v>
    <v>0.65239999999999998</v>
    <v>56484740868</v>
    <v>New York Stock Exchange</v>
    <v>XNYS</v>
    <v>XNYS</v>
    <v>1932 Wynnton Rd, COLUMBUS, GA, 31999-0001 US</v>
    <v>110.39</v>
    <v>Insurance</v>
    <v>Aktie</v>
    <v>15.9216</v>
    <v>952</v>
    <v>46113.969150543751</v>
    <v>12716</v>
    <v>AFLAC INCORPORATED</v>
    <v>108.93</v>
    <v>AFLAC INCORPORATED</v>
    <v>109.73</v>
    <v>109.64</v>
    <v>109.71</v>
    <v>AFL</v>
    <v>AFLAC INCORPORATED (XNYS:AFL)</v>
    <v>1973</v>
    <v>1</v>
    <v>2571395</v>
    <v>USD</v>
  </rv>
  <rv s="2">
    <v>953</v>
  </rv>
  <rv s="3">
    <fb>106.41</fb>
    <v>6</v>
  </rv>
  <rv s="0">
    <v>https://www.bing.com/financeapi/forcetrigger?t=a1s6ww&amp;q=XNYS%3aES&amp;form=skydnc</v>
    <v>Learn more on Bing</v>
  </rv>
  <rv s="1">
    <v>0</v>
    <v>1</v>
    <v>Eversource Energy (XNYS:ES)</v>
    <v>3</v>
    <v>4</v>
    <v>Finance</v>
    <v>5</v>
    <v>de-DE</v>
    <v>a1s6ww</v>
    <v>268435456</v>
    <v>1</v>
    <v>Unterstützt von Refinitiv</v>
    <v>76.41</v>
    <v>52.28</v>
    <v>0.37</v>
    <v>5.3410000000000003E-3</v>
    <v>375845300</v>
    <v>Eversource Energy ist eine Holdinggesellschaft für Versorgungsunternehmen, die über ihre Tochtergesellschaften im Bereich der Energieversorgung tätig ist. Zu seinen Segmenten gehören Stromverteilung, Stromübertragung, Erdgasverteilung und Wasserversorgung. Das Segment Stromverteilung befasst sich mit der Verteilung von Strom an Einzelhandelskunden in Connecticut, Massachusetts bzw. New Hampshire sowie mit den Solaranlagen der NSTAR Electric Company. Das Segment Stromübertragung besitzt und unterhält Übertragungseinrichtungen, die Teil eines zwischenstaatlichen Stromübertragungsnetzes sind, über das Strom in ganz Neuengland übertragen wird. Das Segment Natural Gas Distribution vertreibt Erdgas an seine Kunden in Zentral- und Ost-Massachusetts. Das Segment Wasserversorgung versorgt mehr als 248.000 Privat-, Gewerbe-, Industrie-, Kommunal-, Brandschutz- und sonstige Kunden in 73 Städten in Connecticut, Massachusetts und New Hampshire mit Wasser.</v>
    <v>0.77649999999999997</v>
    <v>26177625145</v>
    <v>New York Stock Exchange</v>
    <v>XNYS</v>
    <v>XNYS</v>
    <v>300 Cadwell Dr, SPRINGFIELD, MA, 01104-1742 US</v>
    <v>69.75</v>
    <v>Electrical Utilities &amp; IPPs</v>
    <v>Aktie</v>
    <v>15.269299999999999</v>
    <v>956</v>
    <v>46113.998514525003</v>
    <v>10731</v>
    <v>Eversource Energy</v>
    <v>68</v>
    <v>Eversource Energy</v>
    <v>68.52</v>
    <v>69.650000000000006</v>
    <v>69.28</v>
    <v>ES</v>
    <v>Eversource Energy (XNYS:ES)</v>
    <v>1927</v>
    <v>270</v>
    <v>2758208</v>
    <v>USD</v>
  </rv>
  <rv s="2">
    <v>957</v>
  </rv>
  <rv s="3">
    <fb>67.59</fb>
    <v>6</v>
  </rv>
  <rv s="0">
    <v>https://www.bing.com/financeapi/forcetrigger?t=a1xth7&amp;q=XNAS%3aMNST&amp;form=skydnc</v>
    <v>Learn more on Bing</v>
  </rv>
  <rv s="1">
    <v>0</v>
    <v>1</v>
    <v>MONSTER BEVERAGE CORPORATION (XNAS:MNST)</v>
    <v>3</v>
    <v>4</v>
    <v>Finance</v>
    <v>5</v>
    <v>de-DE</v>
    <v>a1xth7</v>
    <v>268435456</v>
    <v>1</v>
    <v>Unterstützt von Refinitiv</v>
    <v>87.38</v>
    <v>54.73</v>
    <v>0.31</v>
    <v>4.2780000000000006E-3</v>
    <v>977906000</v>
    <v>Die Monster Beverage Corporation ist eine Holdinggesellschaft. Das Unternehmen entwickelt, vermarktet, verkauft und vertreibt über seine Tochtergesellschaften Energy Drink Getränke und Konzentrate für Energy Drink Getränke unter verschiedenen Markennamen. Das Segment Monster Energy Drinks besteht hauptsächlich aus seinen Monster Energy Drinks, Reign Total Body Fuel High Performance Energy Drinks, Reign Storm total Wellness Energy Drinks und Bang Energy Drinks. Das Segment Strategic Brands umfasst in erster Linie verschiedene Energy Drink-Marken, die von der Coca-Cola Company übernommen wurden, sowie die erschwinglichen Energiemarken Predator und Fury. Das Segment Alcohol Brands umfasst verschiedene Craft-Biere, Hard seltzers und aromatisierte Malzgetränke. Das andere Segment umfasst bestimmte Produkte, die von American Fruits and Flavors LLC, einer hundertprozentigen Tochtergesellschaft des Unternehmens, an unabhängige Drittkunden verkauft werden. Außerdem entwickelt, vermarktet, verkauft und vertreibt das Unternehmen stilles und sprudelndes Wasser unter dem Markennamen Monster Tour Water.</v>
    <v>0.5091</v>
    <v>71162219620</v>
    <v>Nasdaq Stock Market</v>
    <v>XNAS</v>
    <v>XNAS</v>
    <v>1 Monster Way, CORONA, CA, 92879-7101 US</v>
    <v>73.2</v>
    <v>Beverages</v>
    <v>Aktie</v>
    <v>37.591099999999997</v>
    <v>960</v>
    <v>46113.993747245309</v>
    <v>6891</v>
    <v>MONSTER BEVERAGE CORPORATION</v>
    <v>71.864999999999995</v>
    <v>MONSTER BEVERAGE CORPORATION</v>
    <v>72.42</v>
    <v>72.77</v>
    <v>72.459999999999994</v>
    <v>MNST</v>
    <v>MONSTER BEVERAGE CORPORATION (XNAS:MNST)</v>
    <v>2014</v>
    <v>850</v>
    <v>6390182</v>
    <v>USD</v>
  </rv>
  <rv s="2">
    <v>961</v>
  </rv>
  <rv s="3">
    <fb>71.83</fb>
    <v>6</v>
  </rv>
  <rv s="0">
    <v>https://www.bing.com/financeapi/forcetrigger?t=a1sx7w&amp;q=XNAS%3aFITB&amp;form=skydnc</v>
    <v>Learn more on Bing</v>
  </rv>
  <rv s="1">
    <v>0</v>
    <v>1</v>
    <v>FIFTH THIRD BANCORP (XNAS:FITB)</v>
    <v>3</v>
    <v>4</v>
    <v>Finance</v>
    <v>19</v>
    <v>de-DE</v>
    <v>a1sx7w</v>
    <v>268435456</v>
    <v>1</v>
    <v>Unterstützt von Refinitiv</v>
    <v>55.438800000000001</v>
    <v>32.25</v>
    <v>0.36</v>
    <v>7.7490000000000007E-3</v>
    <v>905563500</v>
    <v>Fifth Third Bancorp ist ein diversifiziertes Finanzdienstleistungsunternehmen und ist die indirekte Holdinggesellschaft der Fifth Third Bank, National Association (die Bank). Der Geschäftsbereich Commercial Banking bietet Kreditvermittlung, Cash Management und Finanzdienstleistungen für große und mittelständische Unternehmen sowie für staatliche und professionelle Kunden. Das Segment Consumer and Small Business Banking bietet Privatpersonen und kleinen Unternehmen über ein Netzwerk von Full-Service-Bankzentren und Beziehungen zu indirekten und Korrespondenzkreditgebern eine umfassende Palette von Einlagen- und Kreditprodukten an. Darüber hinaus bietet die Bank Produkte an, die speziell auf die Bedürfnisse von kleinen Unternehmen zugeschnitten sind, einschließlich Cash-Management-Dienstleistungen. Das Segment Wealth and Asset Management bietet eine umfassende Palette von Vermögensverwaltungslösungen für Privatpersonen, Unternehmen und gemeinnützige Organisationen, einschließlich Vermögensplanung, Anlageverwaltung, Bankgeschäfte, Versicherungen, Treuhand- und Nachlassdienste.</v>
    <v>0.97260000000000002</v>
    <v>42398483070</v>
    <v>Nasdaq Stock Market</v>
    <v>XNAS</v>
    <v>XNAS</v>
    <v>38 Fountain Sq Plz, Fifth Third Center, CINCINNATI, OH, 45263 US</v>
    <v>47.41</v>
    <v>Banking Services</v>
    <v>Aktie</v>
    <v>13.263500000000001</v>
    <v>964</v>
    <v>46113.942086700779</v>
    <v>18676</v>
    <v>FIFTH THIRD BANCORP</v>
    <v>46.505000000000003</v>
    <v>FIFTH THIRD BANCORP</v>
    <v>46.68</v>
    <v>46.82</v>
    <v>46.46</v>
    <v>FITB</v>
    <v>FIFTH THIRD BANCORP (XNAS:FITB)</v>
    <v>1974</v>
    <v>11797407</v>
    <v>10940296</v>
    <v>USD</v>
  </rv>
  <rv s="2">
    <v>965</v>
  </rv>
  <rv s="3">
    <fb>44.54</fb>
    <v>6</v>
  </rv>
  <rv s="0">
    <v>https://www.bing.com/financeapi/forcetrigger?t=a22n4c&amp;q=XNYS%3aSCHW&amp;form=skydnc</v>
    <v>Learn more on Bing</v>
  </rv>
  <rv s="1">
    <v>0</v>
    <v>1</v>
    <v>THE CHARLES SCHWAB CORPORATION (XNYS:SCHW)</v>
    <v>3</v>
    <v>4</v>
    <v>Finance</v>
    <v>5</v>
    <v>de-DE</v>
    <v>a22n4c</v>
    <v>268435456</v>
    <v>1</v>
    <v>Unterstützt von Refinitiv</v>
    <v>107.5</v>
    <v>65.88</v>
    <v>-1.62</v>
    <v>-1.7238E-2</v>
    <v>1752210000</v>
    <v>Charles Schwab Corporation ist eine Spar- und Kreditholdinggesellschaft. Das Unternehmen ist über seine Tochtergesellschaften in den Bereichen Vermögensverwaltung, Wertpapiermaklergeschäft, Bankgeschäfte, Vermögensverwaltung, Depotverwaltung und Finanzberatung tätig. Das Unternehmen bietet Finanzdienstleistungen für Privatpersonen und institutionelle Kunden in zwei Segmenten an: Investor Services und Advisor Services. Das Segment Investor Services bietet Privatkunden Brokerage-, Anlageberatungs-, Bank- und Treuhanddienstleistungen für Privatanleger sowie Pensionsplan- und Unternehmensdienstleistungen sowie andere Corporate-Brokerage-Dienstleistungen für Unternehmen und deren Mitarbeiter. Das Segment Advisor Services bietet Depot-, Handels-, Bank- und Treuhand- sowie Unterstützungsdienste für unabhängige registrierte Anlageberater (RIAs), unabhängige Rentenberater und Buchhalter. Zu den Produkten und Dienstleistungen gehören Brokerage, Investmentfonds, börsengehandelte Fonds (ETFs), Managed-Investing-Lösungen, alternative Anlagen, Bankgeschäfte und Treuhandgeschäfte.</v>
    <v>0.90169999999999995</v>
    <v>161834115600</v>
    <v>New York Stock Exchange</v>
    <v>XNYS</v>
    <v>XNYS</v>
    <v>3000 Schwab Way, WESTLAKE, TX, 76262 US</v>
    <v>95.435000000000002</v>
    <v>Investment Banking &amp; Investment Services</v>
    <v>Aktie</v>
    <v>19.808</v>
    <v>968</v>
    <v>46113.999570682812</v>
    <v>33000</v>
    <v>THE CHARLES SCHWAB CORPORATION</v>
    <v>90</v>
    <v>THE CHARLES SCHWAB CORPORATION</v>
    <v>95.01</v>
    <v>92.36</v>
    <v>93.98</v>
    <v>SCHW</v>
    <v>THE CHARLES SCHWAB CORPORATION (XNYS:SCHW)</v>
    <v>1986</v>
    <v>792</v>
    <v>8806158</v>
    <v>USD</v>
  </rv>
  <rv s="2">
    <v>969</v>
  </rv>
  <rv s="3">
    <fb>92.36</fb>
    <v>6</v>
  </rv>
  <rv s="0">
    <v>https://www.bing.com/financeapi/forcetrigger?t=a1z7mw&amp;q=XNYS%3aOMC&amp;form=skydnc</v>
    <v>Learn more on Bing</v>
  </rv>
  <rv s="1">
    <v>0</v>
    <v>1</v>
    <v>OMNICOM GROUP INC. (XNYS:OMC)</v>
    <v>3</v>
    <v>4</v>
    <v>Finance</v>
    <v>19</v>
    <v>de-DE</v>
    <v>a1z7mw</v>
    <v>268435456</v>
    <v>1</v>
    <v>Unterstützt von Refinitiv</v>
    <v>87.165000000000006</v>
    <v>66.334599999999995</v>
    <v>-0.1</v>
    <v>-1.328E-3</v>
    <v>284989000</v>
    <v>Omnicom Group Inc. ist ein Anbieter von Marketing- und Vertriebslösungen. Das Unternehmen bietet über 5.000 Kunden in mehr als 70 Ländern eine Reihe von Dienstleistungen in den Bereichen Werbung, strategische Medienplanung und -einkauf, Präzisionsmarketing, Einzelhandel und digitaler Handel, Branding, Erlebnismarketing, Öffentlichkeitsarbeit, Marketing im Gesundheitswesen und andere spezielle Marketingdienstleistungen. Zu den Dienstleistungen gehören Datenbankmanagement, Digital-/Direktmarketing, Verpackungsdesign, Krisenkommunikation, Custom Publishing, Datenanalyse, Marketing und Kommunikation im Gesundheitswesen, Instore Design, interaktives Marketing, Investor Relations, mobiles Marketing, Werbemarketing, Public Affairs, Öffentlichkeitsarbeit, Retail Media und E-Commerce, Social Media Marketing, Suchmaschinenmarketing, Studioproduktion, Sport- und Eventmarketing, Marketingforschung und andere. Zum Portfolio des Unternehmens gehören BBDO, DDB, TBWA, Omnicom Media Group, die DAS Group of Companies und das Communications Consultancy Network.</v>
    <v>0.751</v>
    <v>21434022690</v>
    <v>New York Stock Exchange</v>
    <v>XNYS</v>
    <v>XNYS</v>
    <v>280 Park Avenue, NEW YORK, NY, 10017 US</v>
    <v>76.36</v>
    <v>Media &amp; Publishing</v>
    <v>Aktie</v>
    <v>152.0992</v>
    <v>972</v>
    <v>46113.979832626559</v>
    <v>120000</v>
    <v>OMNICOM GROUP INC.</v>
    <v>74.864999999999995</v>
    <v>OMNICOM GROUP INC.</v>
    <v>75.02</v>
    <v>75.209999999999994</v>
    <v>75.31</v>
    <v>OMC</v>
    <v>OMNICOM GROUP INC. (XNYS:OMC)</v>
    <v>1944</v>
    <v>4352200</v>
    <v>5290326</v>
    <v>USD</v>
  </rv>
  <rv s="2">
    <v>973</v>
  </rv>
  <rv s="3">
    <fb>73.819999999999993</fb>
    <v>6</v>
  </rv>
  <rv s="0">
    <v>https://www.bing.com/financeapi/forcetrigger?t=a1rlu2&amp;q=XNYS%3aECL&amp;form=skydnc</v>
    <v>Learn more on Bing</v>
  </rv>
  <rv s="1">
    <v>0</v>
    <v>1</v>
    <v>ECOLAB INC. (XNYS:ECL)</v>
    <v>3</v>
    <v>4</v>
    <v>Finance</v>
    <v>5</v>
    <v>de-DE</v>
    <v>a1rlu2</v>
    <v>268435456</v>
    <v>1</v>
    <v>Unterstützt von Refinitiv</v>
    <v>309.27</v>
    <v>221.62</v>
    <v>3.52</v>
    <v>1.3231999999999999E-2</v>
    <v>282423800</v>
    <v>Ecolab Inc. Bietet Lösungen und Dienstleistungen zur Prävention von Wasser, Hygiene und Infektionen an, die Menschen und lebenswichtige Ressourcen schützen. Das Segment Global Industrial des Unternehmens bietet Wasseraufbereitungs- und Prozessanwendungen sowie Reinigungs- und Desinfektionslösungen in erster Linie für große industrielle Kunden in den Bereichen Fertigung, Lebensmittel- und Getränkeverarbeitung, Transport, Chemie, Primärmetalle und Bergbau, Stromerzeugung, Zellstoff und Papier, gewerbliche Wäscherei, globale Erdöl- und Petrochemie. Das Segment Global Institutional &amp; Specialty bietet spezielle Reinigungs- und Desinfektionsprodukte für die Gastronomie, das Gastgewerbe, die Beherbergungsbetriebe, Behörden und Bildungseinrichtungen sowie den Einzelhandel. Das Segment Global Healthcare &amp; Life Sciences bietet spezielle Reinigungs- und Desinfektionsprodukte für die Gesundheits-, Körperpflege- und Pharmaindustrie. Das Segment Global Pest Elimination bietet Dienstleistungen zur Erkennung, Prävention und Beseitigung von Schädlingen.</v>
    <v>1.0238</v>
    <v>76124511052</v>
    <v>New York Stock Exchange</v>
    <v>XNYS</v>
    <v>XNYS</v>
    <v>1 Ecolab Place, SAINT PAUL, MN, 55102 US</v>
    <v>270.86</v>
    <v>Chemicals</v>
    <v>Aktie</v>
    <v>37.042200000000001</v>
    <v>976</v>
    <v>46113.989167267966</v>
    <v>48000</v>
    <v>ECOLAB INC.</v>
    <v>265.56</v>
    <v>ECOLAB INC.</v>
    <v>267.45</v>
    <v>269.54000000000002</v>
    <v>266.02</v>
    <v>ECL</v>
    <v>ECOLAB INC. (XNYS:ECL)</v>
    <v>1924</v>
    <v>1</v>
    <v>1690676</v>
    <v>USD</v>
  </rv>
  <rv s="2">
    <v>977</v>
  </rv>
  <rv s="3">
    <fb>261.37</fb>
    <v>6</v>
  </rv>
  <rv s="0">
    <v>https://www.bing.com/financeapi/forcetrigger?t=a1tg3m&amp;q=XNAS%3aFTNT&amp;form=skydnc</v>
    <v>Learn more on Bing</v>
  </rv>
  <rv s="1">
    <v>0</v>
    <v>1</v>
    <v>FORTINET, INC. (XNAS:FTNT)</v>
    <v>3</v>
    <v>4</v>
    <v>Finance</v>
    <v>5</v>
    <v>de-DE</v>
    <v>a1tg3m</v>
    <v>268435456</v>
    <v>1</v>
    <v>Unterstützt von Refinitiv</v>
    <v>109.33</v>
    <v>70.12</v>
    <v>-0.56999999999999995</v>
    <v>-6.9750000000000003E-3</v>
    <v>739923600</v>
    <v>Fortinet, Inc. Engagiert sich im Bereich Cybersicherheit und fördert die Konvergenz von Netzwerk und Sicherheit. Die integrierte Plattform des Unternehmens, Fortinet Security Fabric, umfasst sichere Netzwerke, Unified Secure Access Service Edge (SASE) und künstliche Intelligenz (KI)-gesteuerte Sicherheitsvorgänge (SecOps). Zu den Produkten und Services gehören FortiOS, FortiASIC, FortiCloud, FortiAI, FortiEndpoint, und OT Security. FortiGuard Labs ist eine Organisation für Bedrohungsinformationen und -Forschung im Bereich Cybersicherheit, die sich aus erfahrenen Bedrohungsjägern, Forschern, Analysten, Ingenieuren und Datenwissenschaftlern zusammensetzt, die maschinelles Lernen und KI-Technologien entwickeln und nutzen. FortiGuard und andere Security Services sind eine Suite von KI-basierten Sicherheitsfunktionen, die als Teil der Fortinet Security Fabric integriert sind, um eine koordinierte Erkennung und Durchsetzung über die gesamte Angriffsfläche hinweg zu ermöglichen. Der FortiCare Technical Support Service ist ein technischer Support für jedes Gerät. Es betreibt auch das Fortinet Training Institute.</v>
    <v>0.99829999999999997</v>
    <v>60044800140</v>
    <v>Nasdaq Stock Market</v>
    <v>XNAS</v>
    <v>XNAS</v>
    <v>909 Kifer Road, SUNNYVALE, CA, 94086 US</v>
    <v>82.14</v>
    <v>Software &amp; IT Services</v>
    <v>Aktie</v>
    <v>33.440300000000001</v>
    <v>980</v>
    <v>46113.999714837497</v>
    <v>15109</v>
    <v>FORTINET, INC.</v>
    <v>80</v>
    <v>FORTINET, INC.</v>
    <v>81.765000000000001</v>
    <v>81.150000000000006</v>
    <v>81.72</v>
    <v>FTNT</v>
    <v>FORTINET, INC. (XNAS:FTNT)</v>
    <v>2000</v>
    <v>766</v>
    <v>6176541</v>
    <v>USD</v>
  </rv>
  <rv s="2">
    <v>981</v>
  </rv>
  <rv s="3">
    <fb>78.2</fb>
    <v>6</v>
  </rv>
  <rv s="0">
    <v>https://www.bing.com/financeapi/forcetrigger?t=a1s4yc&amp;q=XNYS%3aEQR&amp;form=skydnc</v>
    <v>Learn more on Bing</v>
  </rv>
  <rv s="1">
    <v>0</v>
    <v>1</v>
    <v>EQUITY RESIDENTIAL (XNYS:EQR)</v>
    <v>3</v>
    <v>4</v>
    <v>Finance</v>
    <v>19</v>
    <v>de-DE</v>
    <v>a1s4yc</v>
    <v>268435456</v>
    <v>1</v>
    <v>Unterstützt von Refinitiv</v>
    <v>72.400000000000006</v>
    <v>57.57</v>
    <v>0.4</v>
    <v>6.7620000000000006E-3</v>
    <v>377547100</v>
    <v>Equity-Wohnen ist ein Immobilien-Investmentfonds. Das Unternehmen konzentriert sich auf den Erwerb, die Entwicklung und das Management von Wohneigentum in und um Städte. Das Hauptgeschäft des Unternehmens ist der Erwerb, die Entwicklung und die Verwaltung von Mehrfamilienwohnheimen, wozu auch die Generierung von Mieten und anderen damit verbundenen Einkünften durch die Vermietung von Wohneinheiten an Bewohner gehört. Das Unternehmen besitzt und betreibt Mietwohnungen mit Sitz in Boston, New York, Washington, D.C., Südkalifornien, einschließlich Los Angeles, Orange County und San Diego), San Francisco und Seattle und eine wachsende Präsenz in Denver, Atlanta, Dallas/ft. Worth und Austin. Das Unternehmen besitzt 313 Immobilien in 10 bundesstaaten und dem District of Columbia, bestehend aus 84.018 Appartements. ERP Operating Limited Partnership (ERPOP) betreibt das Mehrfamilienwohnheimmobiliengeschäft von Equity Residential.</v>
    <v>0.74409999999999998</v>
    <v>22482929805</v>
    <v>New York Stock Exchange</v>
    <v>XNYS</v>
    <v>XNYS</v>
    <v>Two North Riverside Plaza, Suite 400, CHICAGO, IL, 60606 US</v>
    <v>59.77</v>
    <v>Residential &amp; Commercial REIT</v>
    <v>Aktie</v>
    <v>20.2959</v>
    <v>984</v>
    <v>46113.958333367969</v>
    <v>2400</v>
    <v>EQUITY RESIDENTIAL</v>
    <v>58.924999999999997</v>
    <v>EQUITY RESIDENTIAL</v>
    <v>59.03</v>
    <v>59.55</v>
    <v>59.15</v>
    <v>EQR</v>
    <v>EQUITY RESIDENTIAL (XNYS:EQR)</v>
    <v>1992</v>
    <v>2169177</v>
    <v>2468445</v>
    <v>USD</v>
  </rv>
  <rv s="2">
    <v>985</v>
  </rv>
  <rv s="3">
    <fb>58.75</fb>
    <v>6</v>
  </rv>
  <rv s="0">
    <v>https://www.bing.com/financeapi/forcetrigger?t=a1v8ar&amp;q=XNYS%3aICE&amp;form=skydnc</v>
    <v>Learn more on Bing</v>
  </rv>
  <rv s="1">
    <v>0</v>
    <v>1</v>
    <v>INTERCONTINENTAL EXCHANGE, INC. (XNYS:ICE)</v>
    <v>3</v>
    <v>4</v>
    <v>Finance</v>
    <v>5</v>
    <v>de-DE</v>
    <v>a1v8ar</v>
    <v>268435456</v>
    <v>1</v>
    <v>Unterstützt von Refinitiv</v>
    <v>189.35</v>
    <v>143.16999999999999</v>
    <v>0.8</v>
    <v>5.0860000000000002E-3</v>
    <v>567896500</v>
    <v>Intercontinental Exchange, Inc. bietet Finanztechnologie und Datendienste für die wichtigsten Anlageklassen an und unterstützt seine Kunden beim Zugang zu Workflow-Tools, die Transparenz und Effizienz erhöhen. Das Segment Exchanges betreibt regulierte Marktplatztechnologie für die Notierung, den Handel und das Clearing einer Reihe von Derivatkontrakten und Finanzwerten sowie Daten- und Konnektivitätsdienste im Zusammenhang mit seinen Börsen und Clearinghäusern. Das Segment Fixed Income and Data Services bietet Preise für festverzinsliche Wertpapiere, Referenzdaten, Indizes, Analyse- und Ausführungsdienste sowie globale Credit Default Swaps (CDS), Clearing- und Multi-Asset Class Data Delivery-Technologie. Das Segment Hypothekentechnologie bietet eine Technologieplattform an, die den Kunden umfassende digitale Workflow-Tools zur Verfügung stellt, die darauf abzielen, Ineffizienzen zu beseitigen und Risiken zu mindern, die im Lebenszyklus des US-Wohnhypothekenmarktes bestehen, vom Antrag über den Abschluss und die Betreuung bis hin zum Sekundärmarkt.</v>
    <v>1.0431999999999999</v>
    <v>89773078720</v>
    <v>New York Stock Exchange</v>
    <v>XNYS</v>
    <v>XNYS</v>
    <v>5660 New Northside Drive, Third Floor, ATLANTA, GA, 30328 US</v>
    <v>158.5</v>
    <v>Investment Banking &amp; Investment Services</v>
    <v>Aktie</v>
    <v>27.393799999999999</v>
    <v>988</v>
    <v>46113.981769200778</v>
    <v>12844</v>
    <v>INTERCONTINENTAL EXCHANGE, INC.</v>
    <v>155.24</v>
    <v>INTERCONTINENTAL EXCHANGE, INC.</v>
    <v>156.77000000000001</v>
    <v>158.08000000000001</v>
    <v>157.28</v>
    <v>ICE</v>
    <v>INTERCONTINENTAL EXCHANGE, INC. (XNYS:ICE)</v>
    <v>2013</v>
    <v>103</v>
    <v>3610115</v>
    <v>USD</v>
  </rv>
  <rv s="2">
    <v>989</v>
  </rv>
  <rv s="3">
    <fb>152.66999999999999</fb>
    <v>6</v>
  </rv>
  <rv s="0">
    <v>https://www.bing.com/financeapi/forcetrigger?t=a1tpyc&amp;q=XNYS%3aIR&amp;form=skydnc</v>
    <v>Learn more on Bing</v>
  </rv>
  <rv s="1">
    <v>0</v>
    <v>1</v>
    <v>INGERSOLL RAND INC. (XNYS:IR)</v>
    <v>3</v>
    <v>4</v>
    <v>Finance</v>
    <v>19</v>
    <v>de-DE</v>
    <v>a1tpyc</v>
    <v>268435456</v>
    <v>1</v>
    <v>Unterstützt von Refinitiv</v>
    <v>100.96</v>
    <v>65.61</v>
    <v>-0.12</v>
    <v>-1.498E-3</v>
    <v>391618000</v>
    <v>Ingersoll Rand Inc. Ist ein diversifizierter, globaler Anbieter von unternehmenskritischen Produkten zur Strömungserzeugung und industriellen Lösungen. Das Unternehmen bietet ein breites Produktportfolio für die Strömungsentwicklung und industrielle Produkte für Luft-, Gas-, Pulver- und Flüssigkeitshandhabungsanwendungen. Das Unternehmen stellt eine Reihe von Kompressoren-, Pumpen-, Vakuum- und Gebläseprodukten auf seinen Märkten her. Das Segment Industrial Technologies and Services entwickelt, produziert, vermarktet und betreut eine Reihe von Luft- und Gaskompressions-, Vakuum- und Gebläseprodukten, Flüssigkeitsübertragungsgeräten, Ladesystemen, Elektrowerkzeugen und Hebegeräten, einschließlich dazugehöriger Ersatzteile, Verbrauchsmaterialien und Dienstleistungen. Das Segment Precision and Science Technologies entwickelt, produziert und vermarktet eine Reihe hochspezialisierter Ausrüstungen für Industrie- und Biowissenschaften. Seine Produkte werden für Präzisionsdosierung, Flüssigkeits- und Feststofftransfer, Dispensieren, Gaskompression, Gasprobenahme, Druckmanagement, Durchflussregelung und Pulverhandhabung, unter anderem.</v>
    <v>1.3331999999999999</v>
    <v>31329440000</v>
    <v>New York Stock Exchange</v>
    <v>XNYS</v>
    <v>XNYS</v>
    <v>525 HARBOUR PLACE DRIVE, SUITE 600, DAVIDSON, NC, 28036 US</v>
    <v>81.715000000000003</v>
    <v>Machinery, Equipment &amp; Components</v>
    <v>Aktie</v>
    <v>54.946599999999997</v>
    <v>992</v>
    <v>46113.958333367969</v>
    <v>21000</v>
    <v>INGERSOLL RAND INC.</v>
    <v>79.97</v>
    <v>INGERSOLL RAND INC.</v>
    <v>80.25</v>
    <v>80</v>
    <v>80.12</v>
    <v>IR</v>
    <v>INGERSOLL RAND INC. (XNYS:IR)</v>
    <v>2013</v>
    <v>2396033</v>
    <v>3220138</v>
    <v>USD</v>
  </rv>
  <rv s="2">
    <v>993</v>
  </rv>
  <rv s="3">
    <fb>79.45</fb>
    <v>6</v>
  </rv>
  <rv s="0">
    <v>https://www.bing.com/financeapi/forcetrigger?t=a1zsjc&amp;q=XNYS%3aPG&amp;form=skydnc</v>
    <v>Learn more on Bing</v>
  </rv>
  <rv s="1">
    <v>0</v>
    <v>1</v>
    <v>THE PROCTER &amp; GAMBLE COMPANY (XNYS:PG)</v>
    <v>3</v>
    <v>4</v>
    <v>Finance</v>
    <v>5</v>
    <v>de-DE</v>
    <v>a1zsjc</v>
    <v>268435456</v>
    <v>1</v>
    <v>Unterstützt von Refinitiv</v>
    <v>174.8</v>
    <v>137.62</v>
    <v>-0.35</v>
    <v>-2.4229999999999998E-3</v>
    <v>2324001000</v>
    <v>Die Procter &amp; Gamble Company konzentriert sich auf die Bereitstellung von gebrandeten Konsumgütern für Verbraucher auf der ganzen Welt. Zu den Segmenten des Unternehmens gehören Beauty, Grooming, Health Care, Fabric &amp; Home Care sowie Baby, Feminine &amp; Family Care. Die Produkte des Unternehmens werden in etwa 180 Ländern und Gebieten hauptsächlich über Massenhändler, E-Commerce, einschließlich Social-Commerce-Kanäle, Lebensmittelläden, Mitgliedsclubs, Drogerien, Kaufhäuser, Händler, Großhändler, Schönheitsgeschäfte, einschließlich Duty-Free-Geschäfte am Flughafen), Hochfrequenzläden, Apotheken, Elektronikläden und professionelle Kanäle. Sie verkauft auch direkt an einzelne Verbraucher. Sie ist in etwa 70 Ländern tätig. Es bietet Produkte unter Marken wie Head &amp; Shoulders, Kräuteressenzen, Pantene, Rejoy, Olay, Old Spice, Safeguard, Secret, SK-II, Braun, Gillette, Venus, Crest, Oral-B, Ariel, Flaum, Gewinn, Flut, Immer, Immer Diskret, Tampax, Bounty und andere.</v>
    <v>0.40329999999999999</v>
    <v>334865304090</v>
    <v>New York Stock Exchange</v>
    <v>XNYS</v>
    <v>XNYS</v>
    <v>One Procter &amp; Gamble Plaza, CINCINNATI, OH, 45202 US</v>
    <v>144.97</v>
    <v>Personal &amp; Household Products &amp; Services</v>
    <v>Aktie</v>
    <v>21.350100000000001</v>
    <v>996</v>
    <v>46113.999960613284</v>
    <v>109000</v>
    <v>THE PROCTER &amp; GAMBLE COMPANY</v>
    <v>143.21</v>
    <v>THE PROCTER &amp; GAMBLE COMPANY</v>
    <v>143.91999999999999</v>
    <v>144.09</v>
    <v>144.44</v>
    <v>PG</v>
    <v>THE PROCTER &amp; GAMBLE COMPANY (XNYS:PG)</v>
    <v>1905</v>
    <v>1988</v>
    <v>11295156</v>
    <v>USD</v>
  </rv>
  <rv s="2">
    <v>997</v>
  </rv>
  <rv s="3">
    <fb>142.71</fb>
    <v>6</v>
  </rv>
  <rv s="0">
    <v>https://www.bing.com/financeapi/forcetrigger?t=a1yx6h&amp;q=XNAS%3aNWS&amp;form=skydnc</v>
    <v>Learn more on Bing</v>
  </rv>
  <rv s="1">
    <v>0</v>
    <v>1</v>
    <v>NEWS CORPORATION (XNAS:NWS)</v>
    <v>3</v>
    <v>4</v>
    <v>Finance</v>
    <v>5</v>
    <v>de-DE</v>
    <v>a1yx6h</v>
    <v>268435456</v>
    <v>1</v>
    <v>Unterstützt von Refinitiv</v>
    <v>35.58</v>
    <v>25.49</v>
    <v>-0.36</v>
    <v>-1.2626999999999999E-2</v>
    <v>555378100</v>
    <v>News Corporation ist ein diversifiziertes Medien- und Informationsdienstleister. Das Segment Digital Real Estate Services umfasst die Beteiligung des Unternehmens an der REA Group und MOVE. Die REA Group ist ein Unternehmen für digitale Medien, das sich auf Immobilien- und immobilienbezogene Dienstleistungen auf seinen Websites und mobilen Apps spezialisiert hat. Move ist ein Anbieter digitaler Immobiliendienstleistungen in den Vereinigten Staaten und betreibt in erster Linie eine Plattform für Immobilieninformationen, Werbung und Dienstleistungen sowie seine auf Verweise basierenden Dienste, Online-Tools und -Dienste für Do-it-yourself-Vermieter und Mieter. Das Dow Jones-Segment besteht aus Dow Jones, einem globalen Anbieter von Nachrichten und Geschäftsinformationen, der seine Inhalte und Daten über eine Vielzahl von Medienkanälen verteilt. Das Segment Book Publishing besteht aus HarperCollins, einem Buchverlag für Konsumgüter, der in 15 Ländern tätig ist. Das Segment News Media besteht aus News Corp Australia, News UK und der New York Post und umfasst unter anderem den Australian, den Daily Telegraph.</v>
    <v>0.92449999999999999</v>
    <v>15633893515</v>
    <v>Nasdaq Stock Market</v>
    <v>XNAS</v>
    <v>XNAS</v>
    <v>1211 Avenue of the Americas, NEW YORK, NY, 10036 US</v>
    <v>29.09</v>
    <v>Media &amp; Publishing</v>
    <v>Aktie</v>
    <v>0</v>
    <v>1000</v>
    <v>46113.970332372657</v>
    <v>22300</v>
    <v>NEWS CORPORATION</v>
    <v>28.05</v>
    <v>NEWS CORPORATION</v>
    <v>28.87</v>
    <v>28.15</v>
    <v>28.51</v>
    <v>NWS</v>
    <v>NEWS CORPORATION (XNAS:NWS)</v>
    <v>2012</v>
    <v>2733</v>
    <v>1942730</v>
    <v>USD</v>
  </rv>
  <rv s="2">
    <v>1001</v>
  </rv>
  <rv s="3">
    <fb>27.79</fb>
    <v>6</v>
  </rv>
  <rv s="0">
    <v>https://www.bing.com/financeapi/forcetrigger?t=a24ynm&amp;q=XNYS%3aUPS&amp;form=skydnc</v>
    <v>Learn more on Bing</v>
  </rv>
  <rv s="1">
    <v>0</v>
    <v>1</v>
    <v>UNITED PARCEL SERVICE, INC. (XNYS:UPS)</v>
    <v>3</v>
    <v>4</v>
    <v>Finance</v>
    <v>5</v>
    <v>de-DE</v>
    <v>a24ynm</v>
    <v>268435456</v>
    <v>1</v>
    <v>Unterstützt von Refinitiv</v>
    <v>122.41</v>
    <v>82</v>
    <v>-0.47</v>
    <v>-4.777E-3</v>
    <v>849672900</v>
    <v>United Parcel Service, Inc. Bietet eine Reihe integrierter Logistiklösungen für Kunden in mehr als 200 Ländern und Gebieten. Das Segment „US-Inlandspakete“ bietet eine Reihe von innerstaatlichen Luft- und Bodenpakettransporten in den USA an. Das Luftverkehrsportfolio bietet zeitlich begrenzte Liefermöglichkeiten am selben Tag, am nächsten Tag, an zwei und drei Tagen sowie Luftfrachtdienste. Das Bodennetz ermöglicht es Kunden, den täglichen Bodendienst zu nutzen. UPS SurePost bietet Kunden mit nicht dringendem, leichtem Wohnungsversand Service an. Das Segment International Package umfasst Kleinpaketgeschäfte in Europa, dem indischen Subkontinent, dem Nahen Osten und Afrika, Kanada und Lateinamerika sowie Asien. Es bietet eine Auswahl an garantierten Tag- und zeitabhängigen internationalen Versanddiensten. Die Lieferkettenlösungen umfassen Spedition, Logistik, maßgeschneiderte Logistik von Drittanbietern und spezielle Transportlösungen für Kühlketten.</v>
    <v>1.0982000000000001</v>
    <v>83191473639</v>
    <v>New York Stock Exchange</v>
    <v>XNYS</v>
    <v>XNYS</v>
    <v>55 Glenlake Parkway Ne, ATLANTA, GA, 30328 US</v>
    <v>99.7</v>
    <v>Freight &amp; Logistics Services</v>
    <v>Aktie</v>
    <v>14.9244</v>
    <v>1004</v>
    <v>46113.997014560155</v>
    <v>460000</v>
    <v>UNITED PARCEL SERVICE, INC.</v>
    <v>97.69</v>
    <v>UNITED PARCEL SERVICE, INC.</v>
    <v>98.85</v>
    <v>97.91</v>
    <v>98.38</v>
    <v>UPS</v>
    <v>UNITED PARCEL SERVICE, INC. (XNYS:UPS)</v>
    <v>1999</v>
    <v>1409</v>
    <v>7225528</v>
    <v>USD</v>
  </rv>
  <rv s="2">
    <v>1005</v>
  </rv>
  <rv s="3">
    <fb>94.8</fb>
    <v>6</v>
  </rv>
  <rv s="0">
    <v>https://www.bing.com/financeapi/forcetrigger?t=a1pqur&amp;q=XNAS%3aCINF&amp;form=skydnc</v>
    <v>Learn more on Bing</v>
  </rv>
  <rv s="1">
    <v>0</v>
    <v>1</v>
    <v>CINCINNATI FINANCIAL CORPORATION (XNAS:CINF)</v>
    <v>3</v>
    <v>4</v>
    <v>Finance</v>
    <v>5</v>
    <v>de-DE</v>
    <v>a1pqur</v>
    <v>268435456</v>
    <v>1</v>
    <v>Unterstützt von Refinitiv</v>
    <v>174.27</v>
    <v>123.015</v>
    <v>0.31</v>
    <v>1.97E-3</v>
    <v>155686200</v>
    <v>Die Cincinnati Financial Corporation bietet in erster Linie über die Cincinnati Insurance Company und ihre beiden Standardmarktgesellschaften Immobilienunfallversicherungen an. Zu den Segmenten zählen die Versicherungsgesellschaften Commercial Line, Private Line Insurance, Überschuss- und Überschussversicherungen, Lebensversicherungen und Investments. Das Geschäft im Versicherungssegment Commercial Lines umfasst gewerbliche Unfälle, gewerbliche Immobilien, gewerbliche Kraftfahrzeuge, Arbeitnehmerentschädigungen und andere gewerbliche Bereiche. Das Geschäft des Segments Private Lines Insurance umfasst private Auto-, Hauseigentümer- und andere private Linien. Das Versicherungssegment „Überschusslinien und Überschusslinien“ umfasst gewerbliche Unfälle und gewerbliche Immobilien. Das Geschäftsfeld Lebensversicherung umfasst Lebensversicherungen, Baustellenprodukte, Ganzlebensversicherungen und Universallebensversicherungen. Das Segment Investments investiert die aus dem Versicherungsgeschäft erwirtschafteten Mittel in Anlagen mit fester Laufzeit, Beteiligungen und kurzfristige Investitionen.</v>
    <v>0.64200000000000002</v>
    <v>24545486292</v>
    <v>Nasdaq Stock Market</v>
    <v>XNAS</v>
    <v>XNAS</v>
    <v>6200 S Gilmore Rd, FAIRFIELD, OH, 45014 US</v>
    <v>158.74</v>
    <v>Insurance</v>
    <v>Aktie</v>
    <v>10.3925</v>
    <v>1008</v>
    <v>46113.975021828126</v>
    <v>5705</v>
    <v>CINCINNATI FINANCIAL CORPORATION</v>
    <v>156.46</v>
    <v>CINCINNATI FINANCIAL CORPORATION</v>
    <v>157.09</v>
    <v>157.66</v>
    <v>157.35</v>
    <v>CINF</v>
    <v>CINCINNATI FINANCIAL CORPORATION (XNAS:CINF)</v>
    <v>1992</v>
    <v>1</v>
    <v>845277</v>
    <v>USD</v>
  </rv>
  <rv s="2">
    <v>1009</v>
  </rv>
  <rv s="3">
    <fb>153.68</fb>
    <v>6</v>
  </rv>
  <rv s="0">
    <v>https://www.bing.com/financeapi/forcetrigger?t=a1r9cw&amp;q=XNAS%3aKDP&amp;form=skydnc</v>
    <v>Learn more on Bing</v>
  </rv>
  <rv s="1">
    <v>0</v>
    <v>1</v>
    <v>KEURIG DR PEPPER INC. (XNAS:KDP)</v>
    <v>3</v>
    <v>4</v>
    <v>Finance</v>
    <v>5</v>
    <v>de-DE</v>
    <v>a1r9cw</v>
    <v>268435456</v>
    <v>1</v>
    <v>Unterstützt von Refinitiv</v>
    <v>36.119999999999997</v>
    <v>25.03</v>
    <v>-0.64</v>
    <v>-2.4306999999999999E-2</v>
    <v>1358666000</v>
    <v>Keurig Dr. Pepper Inc. Ist ein Getränkehersteller in Nordamerika, der heiße und kalte Getränke sowie ein-Tassen-Brühsysteme herstellt, vermarktet, vertreibt und verkauft. Es verfügt über ein Portfolio an Getränkemarken, darunter Keurig, Dr. Pepper, Canada Dry, Mott's, A&amp;W, Penafiel, Snapple, 7UP, Green Mountain Coffee Röster, GHOST, Clamato, Core Hydration und der Original Donut Shop sowie das Keurig Brühsystem. Das US-amerikanische Segment Erfrischungsgetränke ist ein Hersteller und Distributor von flüssigen Erfrischungsgetränken (Liquid Refreshment Drinks, LRBs). Dieses Segment produziert und vertreibt Konzentrate, Sirup und Fertiggetränke seiner Marken und Drittanbietermarken an Abfüller, Distributoren, Einzelhändler und Endverbraucher. Das US-Segment Coffee ist ein Hersteller und Distributor von Brauereien für eine Tasse, Spezialkaffee (einschließlich heiß- und Eissorten) und Fertigkaffee (RTD). Das Segment International umfasst Verkäufe in Kanada, Mexiko, der Karibik und anderen internationalen Märkten.</v>
    <v>0.36099999999999999</v>
    <v>34904129540</v>
    <v>Nasdaq Stock Market</v>
    <v>XNAS</v>
    <v>XNAS</v>
    <v>53 South Avenue, BURLINGTON, MA, 01803 US</v>
    <v>26.21</v>
    <v>Beverages</v>
    <v>Aktie</v>
    <v>16.839200000000002</v>
    <v>1012</v>
    <v>46113.997548089843</v>
    <v>30600</v>
    <v>KEURIG DR PEPPER INC.</v>
    <v>25.524999999999999</v>
    <v>KEURIG DR PEPPER INC.</v>
    <v>25.97</v>
    <v>25.69</v>
    <v>26.33</v>
    <v>KDP</v>
    <v>KEURIG DR PEPPER INC. (XNAS:KDP)</v>
    <v>2007</v>
    <v>99</v>
    <v>10641508</v>
    <v>USD</v>
  </rv>
  <rv s="2">
    <v>1013</v>
  </rv>
  <rv s="3">
    <fb>26.23</fb>
    <v>6</v>
  </rv>
  <rv s="0">
    <v>https://www.bing.com/financeapi/forcetrigger?t=a26fim&amp;q=XNYS%3aZBH&amp;form=skydnc</v>
    <v>Learn more on Bing</v>
  </rv>
  <rv s="1">
    <v>0</v>
    <v>1</v>
    <v>ZIMMER BIOMET HOLDINGS, INC. (XNYS:ZBH)</v>
    <v>3</v>
    <v>4</v>
    <v>Finance</v>
    <v>19</v>
    <v>de-DE</v>
    <v>a26fim</v>
    <v>268435456</v>
    <v>1</v>
    <v>Unterstützt von Refinitiv</v>
    <v>114.44</v>
    <v>84.59</v>
    <v>0.61</v>
    <v>6.7459999999999994E-3</v>
    <v>195652000</v>
    <v>Zimmer Biomet Holdings, Inc. Ist ein weltweit tätiges Medizintechnikunternehmen. Das Unternehmen entwickelt, produziert und vermarktet orthopädische Rekonstruktionsprodukte, Sportmedizin, Biologika, Extremitäten und Traumaprodukte, CMFT, chirurgische Produkte sowie eine Reihe integrierter digitaler und robotischer Technologien, die Daten, Datenanalysen und künstliche Intelligenz nutzen. Zu den Segmenten gehören Nord- und Südamerika, EMEA und Asien-Pazifik. Seine Produkte und Lösungen helfen bei der Behandlung von Patienten, die an Erkrankungen oder Verletzungen von Knochen, Gelenken oder unterstützenden Weichteilen leiden. Zu den Kniemarken gehören Persona Knee, NexGen Knee Implants, Vanguard Knee und Oxford Partial Knee. Zu den angesagten Marken zählen das Taperloc Hip System, das Avenir Complete Hip System, das Arcos Modular Hip System und das G7 Acetabulular System. Der Schwerpunkt lag auch auf einer Reihe von orthopädischen Robotern, die Lösungen und Analysen ermöglichen, um die Anforderungen von Chirurgen vor, intra- und postoperativ zu erfüllen. Sein Portfolio umfasst bildlose Robotik über die ROSA Robotics Plattform.</v>
    <v>0.61919999999999997</v>
    <v>17810201560</v>
    <v>New York Stock Exchange</v>
    <v>XNYS</v>
    <v>XNYS</v>
    <v>345 E Main St, WARSAW, IN, 46580-2746 US</v>
    <v>91.16</v>
    <v>Healthcare Equipment &amp; Supplies</v>
    <v>Aktie</v>
    <v>25.673999999999999</v>
    <v>1016</v>
    <v>46113.9847859375</v>
    <v>17000</v>
    <v>ZIMMER BIOMET HOLDINGS, INC.</v>
    <v>90.174999999999997</v>
    <v>ZIMMER BIOMET HOLDINGS, INC.</v>
    <v>90.52</v>
    <v>91.03</v>
    <v>90.42</v>
    <v>ZBH</v>
    <v>ZIMMER BIOMET HOLDINGS, INC. (XNYS:ZBH)</v>
    <v>2001</v>
    <v>4</v>
    <v>2047090</v>
    <v>USD</v>
  </rv>
  <rv s="2">
    <v>1017</v>
  </rv>
  <rv s="3">
    <fb>88.57</fb>
    <v>6</v>
  </rv>
  <rv s="0">
    <v>https://www.bing.com/financeapi/forcetrigger?t=a222gh&amp;q=XNYS%3aRL&amp;form=skydnc</v>
    <v>Learn more on Bing</v>
  </rv>
  <rv s="1">
    <v>0</v>
    <v>1</v>
    <v>RALPH LAUREN CORPORATION (XNYS:RL)</v>
    <v>3</v>
    <v>4</v>
    <v>Finance</v>
    <v>5</v>
    <v>de-DE</v>
    <v>a222gh</v>
    <v>268435456</v>
    <v>1</v>
    <v>Unterstützt von Refinitiv</v>
    <v>389.15</v>
    <v>176.61</v>
    <v>9.02</v>
    <v>2.6221999999999999E-2</v>
    <v>60536410</v>
    <v>Ralph Lauren Corporation ist in der Entwicklung, Vermarktung und dem Vertrieb von Luxus-Lifestyle-Produkten tätig, einschließlich Bekleidung, Schuhen und Accessoires, Heim, Duftstoffen und Gastfreundschaft. Zu den Segmenten gehören Nordamerika, Europa und Asien. Zu den Marken zählen unter anderem Ralph Lauren, Ralph Lauren Collection, Ralph Lauren Purple Label, Polo Ralph Lauren, Lauren Ralph Lauren, Polo Ralph Lauren Children und Chaps. Zu den Produkten gehören Bekleidung, Schuhe und Accessoires für Männer, Frauen und Kinder sowie Duftstoffe und Wohnkollektionen sowie das Portfolio aus dem Gastgewerbe. Das Sortiment an Schuhen und Accessoires umfasst Freizeitschuhe, Kleiderschuhe, Stiefel, Turnschuhe, Sandalen, Brillen, Uhren, Schals, Hüte und andere. Das Sortiment an Haushaltsartikeln umfasst Bettwäsche und Badleinen, Beleuchtung, Esszimmer, Bodenbeläge, Geschenkartikel und vieles mehr. Die Gastfreundschaft umfasst Restaurants wie die Polo Bar in New York City, das RL Restaurant in Chicago und andere.</v>
    <v>1.4789000000000001</v>
    <v>21369958094</v>
    <v>New York Stock Exchange</v>
    <v>XNYS</v>
    <v>XNYS</v>
    <v>650 Madison Ave, NEW YORK, NY, 10022 US</v>
    <v>357.5</v>
    <v>Textiles &amp; Apparel</v>
    <v>Aktie</v>
    <v>24.030100000000001</v>
    <v>1020</v>
    <v>46113.992834375</v>
    <v>15000</v>
    <v>RALPH LAUREN CORPORATION</v>
    <v>344.27</v>
    <v>RALPH LAUREN CORPORATION</v>
    <v>347.23</v>
    <v>353.01</v>
    <v>343.99</v>
    <v>RL</v>
    <v>RALPH LAUREN CORPORATION (XNYS:RL)</v>
    <v>1997</v>
    <v>35</v>
    <v>642996</v>
    <v>USD</v>
  </rv>
  <rv s="2">
    <v>1021</v>
  </rv>
  <rv s="3">
    <fb>327.82</fb>
    <v>6</v>
  </rv>
  <rv s="0">
    <v>https://www.bing.com/financeapi/forcetrigger?t=a1u7xm&amp;q=XNYS%3aGS&amp;form=skydnc</v>
    <v>Learn more on Bing</v>
  </rv>
  <rv s="1">
    <v>0</v>
    <v>1</v>
    <v>THE GOLDMAN SACHS GROUP, INC. (XNYS:GS)</v>
    <v>3</v>
    <v>4</v>
    <v>Finance</v>
    <v>5</v>
    <v>de-DE</v>
    <v>a1u7xm</v>
    <v>268435456</v>
    <v>1</v>
    <v>Unterstützt von Refinitiv</v>
    <v>984.7</v>
    <v>439.38</v>
    <v>14.22</v>
    <v>1.6809000000000001E-2</v>
    <v>294993900</v>
    <v>Die Goldman Sachs Group, Inc. Ist ein globales Finanzinstitut, das eine Reihe von Finanzdienstleistungen für eine große und diversifizierte Kundenbasis anbietet, zu der Unternehmen, Finanzinstitute, Regierungen und Einzelpersonen gehören. Zu den Segmenten zählen Global Banking &amp; Markets, Asset &amp; Wealth Management und Plattformlösungen. Das Segment Global Banking &amp; Markets bietet eine Reihe von Dienstleistungen an, darunter Finanzierung, Beratung, Risikoverteilung und Hedging für institutionelle und Unternehmenskunden. Sie erleichtert Kundentransaktionen und macht Märkte für festverzinsliche, Aktien-, Währungs- und Rohstoffprodukte. Das Segment Asset &amp; Wealth Management verwaltet Anlagen und bietet Anlageprodukte über alle Anlageklassen hinweg für verschiedene Kunden an. Sie bietet auch Lösungen für Investitionen und Vermögensberatung. Das Segment Plattformlösungen umfasst Verbraucherplattformen, wie Partnerschaften, die Kreditkarten und POS-Finanzierungen anbieten, sowie Transaction Banking und andere Plattformunternehmen.</v>
    <v>1.3108</v>
    <v>253756702719</v>
    <v>New York Stock Exchange</v>
    <v>XNYS</v>
    <v>XNYS</v>
    <v>200 West St, NEW YORK, NY, 10282 US</v>
    <v>870.2</v>
    <v>Investment Banking &amp; Investment Services</v>
    <v>Aktie</v>
    <v>16.7681</v>
    <v>1024</v>
    <v>46113.99977864531</v>
    <v>47400</v>
    <v>THE GOLDMAN SACHS GROUP, INC.</v>
    <v>850.15</v>
    <v>THE GOLDMAN SACHS GROUP, INC.</v>
    <v>859.95</v>
    <v>860.21</v>
    <v>845.99</v>
    <v>GS</v>
    <v>THE GOLDMAN SACHS GROUP, INC. (XNYS:GS)</v>
    <v>1998</v>
    <v>1743</v>
    <v>2500791</v>
    <v>USD</v>
  </rv>
  <rv s="2">
    <v>1025</v>
  </rv>
  <rv s="3">
    <fb>802.89</fb>
    <v>6</v>
  </rv>
  <rv s="0">
    <v>https://www.bing.com/financeapi/forcetrigger?t=a1otrw&amp;q=XNYS%3aBRK.B&amp;form=skydnc</v>
    <v>Learn more on Bing</v>
  </rv>
  <rv s="1">
    <v>0</v>
    <v>1</v>
    <v>BERKSHIRE HATHAWAY INC. (XNYS:BRK.B)</v>
    <v>3</v>
    <v>4</v>
    <v>Finance</v>
    <v>5</v>
    <v>de-DE</v>
    <v>a1otrw</v>
    <v>268435456</v>
    <v>1</v>
    <v>Unterstützt von Refinitiv</v>
    <v>542.07000000000005</v>
    <v>455.185</v>
    <v>-0.7</v>
    <v>-1.4610000000000001E-3</v>
    <v>1437910</v>
    <v>Berkshire Hathaway Inc. und seine Tochtergesellschaften sind in verschiedenen Geschäftsbereichen tätig, darunter Versicherungen und Rückversicherungen, Versorgungsunternehmen und Energie, Güterverkehr, Fertigung, Dienstleistungen und Einzelhandel. Zu den Segmenten gehören Versicherungen, Burlington Northern Santa Fe (BNSF), Berkshire Hathaway Energy (BHE), Pilot Travel Centers (Pilot), Fertigung, McLane Company (McLane) sowie Dienstleistungen und Einzelhandel. Das Segment Versicherungen umfasst GEICO, Berkshire Hathaway Primary Group und Berkshire Hathaway Reinsurance Group. Das Segment BNSF umfasst den Betrieb von Eisenbahnsystemen in den North America. Das Segment BHE bietet regulierte Strom- und Gasversorgungsdienste sowie Immobilienmaklerdienste an. Das Segment Fertigung stellt verschiedene Produkte her, darunter Industrie-, Verbraucher- und Bauprodukte. Das Segment McLane ist im Großhandel mit Lebensmitteln und Non-Food-Artikeln tätig. Das Segment Pilot ist ein Betreiber von Reisezentren in Nordamerika und ein Vermarkter von Kraftstoffen im Großhandel.</v>
    <v>0.69930000000000003</v>
    <v>1068106000000</v>
    <v>New York Stock Exchange</v>
    <v>XNYS</v>
    <v>XNYS</v>
    <v>3555 Farnam Street, OMAHA, NE, 68131 US</v>
    <v>481.0992</v>
    <v>Consumer Goods Conglomerates</v>
    <v>Aktie</v>
    <v>15.4156</v>
    <v>1028</v>
    <v>46113.999928171092</v>
    <v>387800</v>
    <v>BERKSHIRE HATHAWAY INC.</v>
    <v>477.25009999999997</v>
    <v>BERKSHIRE HATHAWAY INC.</v>
    <v>478.98</v>
    <v>478.5</v>
    <v>479.2</v>
    <v>BRK.B</v>
    <v>BERKSHIRE HATHAWAY INC. (XNYS:BRK.B)</v>
    <v>1998</v>
    <v>1542</v>
    <v>5121561</v>
    <v>USD</v>
  </rv>
  <rv s="2">
    <v>1029</v>
  </rv>
  <rv s="3">
    <fb>468.49</fb>
    <v>6</v>
  </rv>
  <rv s="0">
    <v>https://www.bing.com/financeapi/forcetrigger?t=a1mou2&amp;q=XNAS%3aAAPL&amp;form=skydnc</v>
    <v>Learn more on Bing</v>
  </rv>
  <rv s="1">
    <v>0</v>
    <v>1</v>
    <v>APPLE INC. (XNAS:AAPL)</v>
    <v>3</v>
    <v>4</v>
    <v>Finance</v>
    <v>5</v>
    <v>de-DE</v>
    <v>a1mou2</v>
    <v>268435456</v>
    <v>1</v>
    <v>Unterstützt von Refinitiv</v>
    <v>288.62</v>
    <v>169.21010000000001</v>
    <v>1.84</v>
    <v>7.2499999999999995E-3</v>
    <v>14702700000</v>
    <v>Apple Inc. Entwickelt, produziert und vermarktet Smartphones, PCs, Tablets, Wearables und Zubehör und verkauft eine Vielzahl verwandter Dienstleistungen. Zu den Produktkategorien gehören iPhone, Mac, iPad und Wearables, Home und Zubehör. Zu den Softwareplattformen gehören iOS, iPadOS, macOS, watchOS, visionOS, und tvOS. Zu den Dienstleistungen zählen Werbung, AppleCare, Cloud-Dienste, digitale Inhalte und Zahlungsdienste. Das Unternehmen betreibt verschiedene Plattformen, einschließlich des App Store, über die Kunden Anwendungen und digitale Inhalte wie Bücher, Musik, Videos, Spiele und Podcasts entdecken und herunterladen können. Darüber hinaus bietet es digitale Inhalte über Abonnementdienste, darunter Apple Arcade, Apple Fitness+, Apple Music, Apple News+, und Apple TV+. Zu den Produkten gehören iPhone 16 Pro, iPhone 16, iPhone 15, iPhone 14, iPhone SE, MacBook Air, MacBook Pro, iMac, Mac Mini, Mac Studio, Mac Pro, iPad Pro, iPad Air, AirPods, AirPods Pro, AirPods Max, Apple TV und Apple Vision Pro.</v>
    <v>1.1088</v>
    <v>3758451201000</v>
    <v>Nasdaq Stock Market</v>
    <v>XNAS</v>
    <v>XNAS</v>
    <v>One Apple Park Way, CUPERTINO, CA, 95014 US</v>
    <v>256.18</v>
    <v>Computers, Phones &amp; Household Electronics</v>
    <v>Aktie</v>
    <v>32.4771</v>
    <v>1032</v>
    <v>46113.999994907033</v>
    <v>166000</v>
    <v>APPLE INC.</v>
    <v>253.33</v>
    <v>APPLE INC.</v>
    <v>254.08</v>
    <v>255.63</v>
    <v>253.79</v>
    <v>AAPL</v>
    <v>APPLE INC. (XNAS:AAPL)</v>
    <v>1977</v>
    <v>60113</v>
    <v>41538469</v>
    <v>USD</v>
  </rv>
  <rv s="2">
    <v>1033</v>
  </rv>
  <rv s="3">
    <fb>248.8</fb>
    <v>6</v>
  </rv>
  <rv s="0">
    <v>https://www.bing.com/financeapi/forcetrigger?t=a1n7mw&amp;q=XNYS%3aAIZ&amp;form=skydnc</v>
    <v>Learn more on Bing</v>
  </rv>
  <rv s="1">
    <v>0</v>
    <v>1</v>
    <v>ASSURANT, INC. (XNYS:AIZ)</v>
    <v>3</v>
    <v>4</v>
    <v>Finance</v>
    <v>19</v>
    <v>de-DE</v>
    <v>a1n7mw</v>
    <v>268435456</v>
    <v>1</v>
    <v>Unterstützt von Refinitiv</v>
    <v>246.31</v>
    <v>174.97380000000001</v>
    <v>-1.48</v>
    <v>-6.7949999999999998E-3</v>
    <v>49699770</v>
    <v>Assurant, Inc. ist ein globales Sicherheitsunternehmen, das mit verschiedenen Marken zusammenarbeitet, um vernetzte Geräte, Häuser und Autos zu schützen und zu warten. Es nutzt datengesteuerte Technologielösungen, um Kundenerlebnisse zu schaffen. Das Unternehmen ist in Nordamerika, Lateinamerika, Europa und im Asien-Pazifik-Raum mit zwei Geschäftsbereichen tätig: Global Lifestyle und Global Housing. Der Geschäftsbereich Global Lifestyle bietet Lösungen für mobile Geräte, erweiterte Serviceverträge und damit verbundene Dienstleistungen für Unterhaltungselektronik und Haushaltsgeräte sowie Kredit- und andere Versicherungsprodukte (Connected Living genannt) sowie Fahrzeugschutzdienste, Dienstleistungen für gewerbliche Geräte und andere damit verbundene Dienstleistungen (Global Automotive genannt). Der Geschäftsbereich Global Housing bietet von Kreditgebern vermittelte Eigenheim-, Fertighaus- und Hochwasserversicherungen sowie freiwillige Fertighaus-, Eigentumswohnungs- und Eigenheimbesitzerversicherungen (Homeowners genannt) und Mieterversicherungen und andere Produkte (Renters and Other genannt).</v>
    <v>0.56110000000000004</v>
    <v>10751551244</v>
    <v>New York Stock Exchange</v>
    <v>XNYS</v>
    <v>XNYS</v>
    <v>260 INTERSTATE NORTH CIRCLE S.E., ATLANTA, GA, 30339 US</v>
    <v>218.38</v>
    <v>Insurance</v>
    <v>Aktie</v>
    <v>11.110200000000001</v>
    <v>1036</v>
    <v>46113.958333367969</v>
    <v>14800</v>
    <v>ASSURANT, INC.</v>
    <v>213.8201</v>
    <v>ASSURANT, INC.</v>
    <v>217.68</v>
    <v>216.33</v>
    <v>217.81</v>
    <v>AIZ</v>
    <v>ASSURANT, INC. (XNYS:AIZ)</v>
    <v>2003</v>
    <v>292471</v>
    <v>359861</v>
    <v>USD</v>
  </rv>
  <rv s="2">
    <v>1037</v>
  </rv>
  <rv s="3">
    <fb>213.28</fb>
    <v>6</v>
  </rv>
  <rv s="0">
    <v>https://www.bing.com/financeapi/forcetrigger?t=bu3ew7&amp;q=XNYS%3aCARR&amp;form=skydnc</v>
    <v>Learn more on Bing</v>
  </rv>
  <rv s="1">
    <v>0</v>
    <v>1</v>
    <v>CARRIER GLOBAL CORPORATION (XNYS:CARR)</v>
    <v>3</v>
    <v>4</v>
    <v>Finance</v>
    <v>5</v>
    <v>de-DE</v>
    <v>bu3ew7</v>
    <v>268435456</v>
    <v>1</v>
    <v>Unterstützt von Refinitiv</v>
    <v>81.09</v>
    <v>50.24</v>
    <v>0.59</v>
    <v>1.0478000000000001E-2</v>
    <v>835433300</v>
    <v>Carrier Global Corporation bietet intelligente Klima- und Energielösungen an, wobei der Schwerpunkt auf der Bereitstellung digitaler Lebenszykluslösungen für ihre Kunden liegt. Zu den Segmenten des Unternehmens gehören Climate Solutions Americas, das Produkte, Steuerungen, Dienstleistungen und Lösungen für den Heizungs-, Lüftungs- und Kühlungsbedarf (HVAC) von privaten und gewerblichen Kunden in Nord- und Südamerika anbietet, sowie Climate Solutions Europe, das Produkte, Steuerungen, Dienstleistungen und Lösungen für den HVAC-Bedarf von privaten und gewerblichen Kunden in Europa anbietet; Das Climate Solutions Asia Pacific, Middle East &amp; Africa segment bietet Produkte, Steuerungen, Dienstleistungen und Lösungen für den HLK-Bedarf von Privat- und Geschäftskunden im asiatisch-pazifischen Raum, im Nahen Osten und in Afrika; und das Climate Solutions Transportation segment umfasst globale Transportkühlungs- und Überwachungsprodukte, Dienstleistungen und digitale Lösungen für Lkw, Anhänger, Schiffscontainer, intermodalen Verkehr und Schienenverkehr.</v>
    <v>1.3191999999999999</v>
    <v>47536154770</v>
    <v>New York Stock Exchange</v>
    <v>XNYS</v>
    <v>XNYS</v>
    <v>13995 Pasteur Boulevard, PALM BEACH GARDENS, FL, 33418 US</v>
    <v>57.79</v>
    <v>Machinery, Equipment &amp; Components</v>
    <v>Aktie</v>
    <v>33.9086</v>
    <v>1040</v>
    <v>46113.968010115626</v>
    <v>47000</v>
    <v>CARRIER GLOBAL CORPORATION</v>
    <v>56.215000000000003</v>
    <v>CARRIER GLOBAL CORPORATION</v>
    <v>56.64</v>
    <v>56.9</v>
    <v>56.31</v>
    <v>CARR</v>
    <v>CARRIER GLOBAL CORPORATION (XNYS:CARR)</v>
    <v>2019</v>
    <v>1</v>
    <v>6868867</v>
    <v>USD</v>
  </rv>
  <rv s="2">
    <v>1041</v>
  </rv>
  <rv s="3">
    <fb>54.25</fb>
    <v>6</v>
  </rv>
  <rv s="0">
    <v>https://www.bing.com/financeapi/forcetrigger?t=a1yrar&amp;q=XNAS%3aNTAP&amp;form=skydnc</v>
    <v>Learn more on Bing</v>
  </rv>
  <rv s="1">
    <v>0</v>
    <v>1</v>
    <v>NETAPP, INC. (XNAS:NTAP)</v>
    <v>3</v>
    <v>4</v>
    <v>Finance</v>
    <v>5</v>
    <v>de-DE</v>
    <v>a1yrar</v>
    <v>268435456</v>
    <v>1</v>
    <v>Unterstützt von Refinitiv</v>
    <v>126.66</v>
    <v>71.837800000000001</v>
    <v>-0.35</v>
    <v>-3.418E-3</v>
    <v>197330400</v>
    <v>NetApp, Inc. Ist ein Unternehmen für intelligente Dateninfrastruktur, das Unified Data Storage, integrierte Daten-, Betriebs- und Workload-Services kombiniert. Sie schafft eine silofreie Infrastruktur, wobei Beobachtbarkeit und KI genutzt werden, um die Datenverwaltung zu ermöglichen. Seine Betriebs- und Workload-Services bieten eine kontinuierliche Optimierung der Leistung und Effizienz für Infrastruktur und Workloads durch Beobachtungsfähigkeit und KI. Das Segment Hybrid Cloud bietet ein einheitliches Datenspeicherportfolio an Storage-Management- und Infrastrukturlösungen, mit denen Kunden ihre Rechenzentren modernisieren können. Hybrid Cloud umfasst Software, Hardware und zugehörigen Support sowie professionelle und andere Services. Das Public Cloud-Segment bietet ein Portfolio an Produkten, die hauptsächlich als Service bereitgestellt werden, einschließlich des zugehörigen Supports. Dieses Portfolio umfasst Cloud-Speicher, Datendienste und operative Services. Diese Lösungen und Services sind in den öffentlichen Clouds verfügbar, einschließlich Amazon AWS, Microsoft Azure und Google Cloud.</v>
    <v>1.2921</v>
    <v>20135594016</v>
    <v>Nasdaq Stock Market</v>
    <v>XNAS</v>
    <v>XNAS</v>
    <v>3060 Olsen Drive, SAN JOSE, CA, 95128 US</v>
    <v>103.9597</v>
    <v>Computers, Phones &amp; Household Electronics</v>
    <v>Aktie</v>
    <v>18.650700000000001</v>
    <v>1044</v>
    <v>46113.979430925778</v>
    <v>11700</v>
    <v>NETAPP, INC.</v>
    <v>100.85</v>
    <v>NETAPP, INC.</v>
    <v>102.39</v>
    <v>102.04</v>
    <v>102.39</v>
    <v>NTAP</v>
    <v>NETAPP, INC. (XNAS:NTAP)</v>
    <v>2001</v>
    <v>1</v>
    <v>2526438</v>
    <v>USD</v>
  </rv>
  <rv s="2">
    <v>1045</v>
  </rv>
  <rv s="3">
    <fb>102.34</fb>
    <v>6</v>
  </rv>
  <rv s="0">
    <v>https://www.bing.com/financeapi/forcetrigger?t=a1ygoc&amp;q=XNAS%3aNFLX&amp;form=skydnc</v>
    <v>Learn more on Bing</v>
  </rv>
  <rv s="1">
    <v>0</v>
    <v>1</v>
    <v>NETFLIX, INC. (XNAS:NFLX)</v>
    <v>3</v>
    <v>4</v>
    <v>Finance</v>
    <v>5</v>
    <v>de-DE</v>
    <v>a1ygoc</v>
    <v>268435456</v>
    <v>1</v>
    <v>Unterstützt von Refinitiv</v>
    <v>134.11500000000001</v>
    <v>75.010000000000005</v>
    <v>-0.6</v>
    <v>-6.2399999999999999E-3</v>
    <v>4222162000</v>
    <v>Netflix, Inc. Ist ein Anbieter von Unterhaltungsdienstleistungen. Das Unternehmen erwirbt, lizenziert und produziert Inhalte, einschließlich Originalprogrammierung. Es bietet bezahlte Mitgliedschaften in über 190 Ländern an und bietet Fernsehserien, Filme und Spiele in einer Vielzahl von Genres und Sprachen an. Es ermöglicht Mitgliedern, jederzeit und überall beliebig viel zu spielen, anzuhalten und wiederaufzunehmen und ihre Pläne jederzeit zu ändern. Das Unternehmen bietet Mitgliedern die Möglichkeit, Streaming-Inhalte über eine Vielzahl von mit dem Internet verbundenen Geräten zu empfangen, darunter Fernseher, digitale Video-Player, TV-Set-Top-Boxen und mobile Geräte. Das Unternehmen arbeitet an der Skalierung seines Streaming-Dienstes, z. B. an der Einführung von Spielen und Werbung für seinen Dienst sowie an der Bereitstellung von Live-Programmen. Sie entwickelt Technologie und nutzt Cloud-Computing, Technologie und andere Dienste von Drittanbietern. Das Unternehmen ist auch daran beteiligt, seine eigenen Studiobetriebe zu skalieren, um Originalinhalte zu produzieren.</v>
    <v>1.6689000000000001</v>
    <v>403427579100</v>
    <v>Nasdaq Stock Market</v>
    <v>XNAS</v>
    <v>XNAS</v>
    <v>121 Albright Way, LOS GATOS, CA, 95032 US</v>
    <v>97.2</v>
    <v>Software &amp; IT Services</v>
    <v>Aktie</v>
    <v>37.808999999999997</v>
    <v>1048</v>
    <v>46113.999973969534</v>
    <v>16000</v>
    <v>NETFLIX, INC.</v>
    <v>94.263999999999996</v>
    <v>NETFLIX, INC.</v>
    <v>96.47</v>
    <v>95.55</v>
    <v>96.15</v>
    <v>NFLX</v>
    <v>NETFLIX, INC. (XNAS:NFLX)</v>
    <v>1997</v>
    <v>53108</v>
    <v>52172341</v>
    <v>USD</v>
  </rv>
  <rv s="2">
    <v>1049</v>
  </rv>
  <rv s="3">
    <fb>93.43</fb>
    <v>6</v>
  </rv>
  <rv s="0">
    <v>https://www.bing.com/financeapi/forcetrigger?t=a1xonm&amp;q=XNAS%3aMKTX&amp;form=skydnc</v>
    <v>Learn more on Bing</v>
  </rv>
  <rv s="11">
    <v>33</v>
    <v>34</v>
    <v>MARKETAXESS HOLDINGS INC. (XNAS:MKTX)</v>
    <v>3</v>
    <v>35</v>
    <v>Finance</v>
    <v>36</v>
    <v>de-DE</v>
    <v>a1xonm</v>
    <v>268435456</v>
    <v>1</v>
    <v>Unterstützt von Refinitiv</v>
    <v>232.83500000000001</v>
    <v>156.16999999999999</v>
    <v>0.64</v>
    <v>3.8790000000000001E-3</v>
    <v>35548270</v>
    <v>MarketAxess Holdings Inc. Betreibt elektronische Handelsplattformen. Das Unternehmen bietet End-to-End-Handelslösungen an, einschließlich des Betriebs elektronischer Plattformen für den Handel mit festverzinslichen und anderen Wertpapieren und damit zusammenhängenden Daten, Analysetools zur Einhaltung von Compliance, Post-Trade-Services, automatisierter Handelsdienstleistungen und Technologiedienstleistungen. Das Unternehmen bietet einen Open-Trading-Marktplatz, der eine umfassende Handelslösung auf den globalen Kreditmärkten bietet und einen Liquiditätspool für eine Reihe von Kreditmarktteilnehmern schafft. Es nutzt seine vielfältigen Handelsprotokolle, automatisierten und algorithmischen Handelslösungen, intelligente Daten- und Indexprodukte sowie eine Reihe von Post-Trade-Services, um seinem robusten Netzwerk von Plattformteilnehmern eine End-to-End-Handelslösung zu bieten. Das Unternehmen bietet außerdem mehrere integrierte und umsetzbare Datenangebote, darunter CP+ und Axess All, zur Unterstützung seiner Kunden. Die RFQ-Hub-Plattform ist eine bilaterale Plattform für Angebotsanfragen mit mehreren Assets und Händlern.</v>
    <v>1.0036</v>
    <v>5887504477</v>
    <v>Nasdaq Stock Market</v>
    <v>XNAS</v>
    <v>XNAS</v>
    <v>55 Hudson Yards, 15Th Floor, NEW YORK, NY, 10001 US</v>
    <v>166.7</v>
    <v>Investment Banking &amp; Investment Services</v>
    <v>Aktie</v>
    <v>24.863099999999999</v>
    <v>1052</v>
    <v>46113.932194421097</v>
    <v>868</v>
    <v>MARKETAXESS HOLDINGS INC.</v>
    <v>163.33000000000001</v>
    <v>MARKETAXESS HOLDINGS INC.</v>
    <v>164.98</v>
    <v>165.62</v>
    <v>163.80000000000001</v>
    <v>164.98</v>
    <v>MKTX</v>
    <v>MARKETAXESS HOLDINGS INC. (XNAS:MKTX)</v>
    <v>2000</v>
    <v>-1.82</v>
    <v>-1.0989000000000001E-2</v>
    <v>505495</v>
    <v>506260</v>
    <v>USD</v>
  </rv>
  <rv s="2">
    <v>1053</v>
  </rv>
  <rv s="3">
    <fb>164.12</fb>
    <v>6</v>
  </rv>
  <rv s="0">
    <v>https://www.bing.com/financeapi/forcetrigger?t=a21wsm&amp;q=XNYS%3aRF&amp;form=skydnc</v>
    <v>Learn more on Bing</v>
  </rv>
  <rv s="1">
    <v>0</v>
    <v>1</v>
    <v>REGIONS FINANCIAL CORPORATION (XNYS:RF)</v>
    <v>3</v>
    <v>4</v>
    <v>Finance</v>
    <v>19</v>
    <v>de-DE</v>
    <v>a21wsm</v>
    <v>268435456</v>
    <v>1</v>
    <v>Unterstützt von Refinitiv</v>
    <v>31.53</v>
    <v>17.739999999999998</v>
    <v>0.22</v>
    <v>8.4229999999999999E-3</v>
    <v>854316300</v>
    <v>Die Region Financial Corporation ist ein Full-Service-Anbieter von Consumer- und Commercial Banking, Vermögensverwaltung sowie Hypothekenprodukten und -Dienstleistungen. Das Unternehmen bedient Kunden im Süden, im Mittleren Westen und in Texas und betreibt über seine Tochtergesellschaft Regions Bank etwa 1.250 Bankbüros und mehr als 2.000 Geldautomaten. Zu den Segmenten zählen die Unternehmensbank, die Consumer Bank und Wealth Management. Das Segment Corporate Bank repräsentiert seine Geschäftsbankfunktionen, einschließlich gewerblicher und industrieller Immobilien, gewerblicher Immobilien und Investor-Immobiliendarlehen. Das Segment Consumer Bank repräsentiert sein Zweigstellennetz, einschließlich der Produkte und Dienstleistungen für Privatkundenbanken im Zusammenhang mit Ersthypotheken für Wohnimmobilien, Eigenheimkreditlinien und -Krediten, Kreditkarten für Verbraucher und sonstigen Verbraucherkrediten sowie der entsprechenden Einlagenbeziehungen. Das Segment Wealth Management bietet kreditbezogene Produkte, Treuhand- und Anlagemanagement, Vermögensverwaltung, Altersvorsorge- und Sparlösungen sowie Immobilienplanung.</v>
    <v>1.0444</v>
    <v>22502691342</v>
    <v>New York Stock Exchange</v>
    <v>XNYS</v>
    <v>XNYS</v>
    <v>1900 Fifth Avenue North, BIRMINGHAM, AL, 35203 US</v>
    <v>26.515000000000001</v>
    <v>Banking Services</v>
    <v>Aktie</v>
    <v>11.4436</v>
    <v>1056</v>
    <v>46113.993264200784</v>
    <v>19969</v>
    <v>REGIONS FINANCIAL CORPORATION</v>
    <v>26.114999999999998</v>
    <v>REGIONS FINANCIAL CORPORATION</v>
    <v>26.37</v>
    <v>26.34</v>
    <v>26.12</v>
    <v>RF</v>
    <v>REGIONS FINANCIAL CORPORATION (XNYS:RF)</v>
    <v>2004</v>
    <v>1047</v>
    <v>16031655</v>
    <v>USD</v>
  </rv>
  <rv s="2">
    <v>1057</v>
  </rv>
  <rv s="3">
    <fb>25.16</fb>
    <v>6</v>
  </rv>
  <rv s="0">
    <v>https://www.bing.com/financeapi/forcetrigger?t=a1o1ar&amp;q=XNYS%3aAVY&amp;form=skydnc</v>
    <v>Learn more on Bing</v>
  </rv>
  <rv s="1">
    <v>0</v>
    <v>1</v>
    <v>AVERY DENNISON CORPORATION (XNYS:AVY)</v>
    <v>3</v>
    <v>4</v>
    <v>Finance</v>
    <v>19</v>
    <v>de-DE</v>
    <v>a1o1ar</v>
    <v>268435456</v>
    <v>1</v>
    <v>Unterstützt von Refinitiv</v>
    <v>199.54</v>
    <v>156.22999999999999</v>
    <v>0.42</v>
    <v>2.4320000000000001E-3</v>
    <v>76917030</v>
    <v>Avery Dennison Corporation ist ein weltweit tätiges Unternehmen für Materialwissenschaft und digitale Identifizierungslösungen. Das Unternehmen bietet eine Reihe von Branding- und Informationslösungen, die die Effizienz von Arbeits- und Lieferketten optimieren, Abfall reduzieren, Nachhaltigkeit, Kreislaufwirtschaft und Transparenz fördern und Marken und Verbraucher miteinander verbinden. Das Segment Materials Group produziert und verkauft druckempfindliche Etikettenmaterialien, Folien für grafische und reflektierende Produkte, Performance-Bänder und andere Klebeprodukte für industrielle, medizinische und andere Anwendungen sowie Befestigungslösungen. Das Segment Solutions Group entwickelt, produziert und verkauft eine Vielzahl von Marken- und Informationslösungen, darunter Marken- und Preiskarten, Etiketten und Etiketten (einschließlich RFID-Inlays) sowie zugehörige Dienstleistungen, Verbrauchsmaterialien und Geräte. Es bedient eine Vielzahl von Branchen weltweit, darunter Haushalt und Körperpflege, Bekleidung, Einzelhandel, E-Commerce, Logistik, Essen, Lebensmittel und andere.</v>
    <v>1.0032000000000001</v>
    <v>13314337893</v>
    <v>New York Stock Exchange</v>
    <v>XNYS</v>
    <v>XNYS</v>
    <v>8080 Norton Parkway, MENTOR, OH, 44060 US</v>
    <v>176.51</v>
    <v>Containers &amp; Packaging</v>
    <v>Aktie</v>
    <v>19.700199999999999</v>
    <v>1060</v>
    <v>46113.965418310159</v>
    <v>35000</v>
    <v>AVERY DENNISON CORPORATION</v>
    <v>172.81</v>
    <v>AVERY DENNISON CORPORATION</v>
    <v>172.93</v>
    <v>173.1</v>
    <v>172.68</v>
    <v>AVY</v>
    <v>AVERY DENNISON CORPORATION (XNYS:AVY)</v>
    <v>1977</v>
    <v>550644</v>
    <v>681677</v>
    <v>USD</v>
  </rv>
  <rv s="2">
    <v>1061</v>
  </rv>
  <rv s="3">
    <fb>167.78</fb>
    <v>6</v>
  </rv>
  <rv s="0">
    <v>https://www.bing.com/financeapi/forcetrigger?t=a1yx9c&amp;q=XNAS%3aNWSA&amp;form=skydnc</v>
    <v>Learn more on Bing</v>
  </rv>
  <rv s="1">
    <v>0</v>
    <v>1</v>
    <v>NEWS CORPORATION (XNAS:NWSA)</v>
    <v>3</v>
    <v>4</v>
    <v>Finance</v>
    <v>19</v>
    <v>de-DE</v>
    <v>a1yx9c</v>
    <v>268435456</v>
    <v>1</v>
    <v>Unterstützt von Refinitiv</v>
    <v>31.61</v>
    <v>22.2</v>
    <v>-0.22</v>
    <v>-8.8249999999999995E-3</v>
    <v>555378100</v>
    <v>News Corporation ist ein diversifiziertes Medien- und Informationsdienstleister. Das Segment Digital Real Estate Services umfasst die Beteiligung des Unternehmens an der REA Group und MOVE. Die REA Group ist ein Unternehmen für digitale Medien, das sich auf Immobilien- und immobilienbezogene Dienstleistungen auf seinen Websites und mobilen Apps spezialisiert hat. Move ist ein Anbieter digitaler Immobiliendienstleistungen in den Vereinigten Staaten und betreibt in erster Linie eine Plattform für Immobilieninformationen, Werbung und Dienstleistungen sowie seine auf Verweise basierenden Dienste, Online-Tools und -Dienste für Do-it-yourself-Vermieter und Mieter. Das Dow Jones-Segment besteht aus Dow Jones, einem globalen Anbieter von Nachrichten und Geschäftsinformationen, der seine Inhalte und Daten über eine Vielzahl von Medienkanälen verteilt. Das Segment Book Publishing besteht aus HarperCollins, einem Buchverlag für Konsumgüter, der in 15 Ländern tätig ist. Das Segment News Media besteht aus News Corp Australia, News UK und der New York Post und umfasst unter anderem den Australian, den Daily Telegraph.</v>
    <v>0.92449999999999999</v>
    <v>13723392851</v>
    <v>Nasdaq Stock Market</v>
    <v>XNAS</v>
    <v>XNAS</v>
    <v>1211 Avenue of the Americas, NEW YORK, NY, 10036 US</v>
    <v>25.425000000000001</v>
    <v>Media &amp; Publishing</v>
    <v>Aktie</v>
    <v>31.866199999999999</v>
    <v>1064</v>
    <v>46113.924374779686</v>
    <v>22300</v>
    <v>NEWS CORPORATION</v>
    <v>24.5</v>
    <v>NEWS CORPORATION</v>
    <v>25.03</v>
    <v>24.71</v>
    <v>24.93</v>
    <v>NWSA</v>
    <v>NEWS CORPORATION (XNAS:NWSA)</v>
    <v>2012</v>
    <v>5604637</v>
    <v>4943095</v>
    <v>USD</v>
  </rv>
  <rv s="2">
    <v>1065</v>
  </rv>
  <rv s="3">
    <fb>24.24</fb>
    <v>6</v>
  </rv>
  <rv s="0">
    <v>https://www.bing.com/financeapi/forcetrigger?t=a1ndww&amp;q=XNAS%3aAMD&amp;form=skydnc</v>
    <v>Learn more on Bing</v>
  </rv>
  <rv s="1">
    <v>0</v>
    <v>1</v>
    <v>ADVANCED MICRO DEVICES, INC. (XNAS:AMD)</v>
    <v>3</v>
    <v>4</v>
    <v>Finance</v>
    <v>5</v>
    <v>de-DE</v>
    <v>a1ndww</v>
    <v>268435456</v>
    <v>1</v>
    <v>Unterstützt von Refinitiv</v>
    <v>267.07990000000001</v>
    <v>76.48</v>
    <v>6.78</v>
    <v>3.3328000000000003E-2</v>
    <v>1630339000</v>
    <v>Advanced Micro Devices, Inc. Ist ein globales Halbleiterunternehmen. Das Unternehmen konzentriert sich auf Hochleistungs-Computing-, Grafik- und Visualisierungstechnologien. Zu den Segmenten zählen Data Center, Client und Gaming sowie Embedded. Das Segment Data Center umfasst künstliche Intelligenz (KI)-Beschleuniger, Mikroprozessoren (CPUs) für Server, Grafikprozessoren (GPUs), Accelerated Processing Units (APUs), Data Processing Units (DPUs), Field Programmable Gate Arrays (FPGAs), Smart Network Interface Cards (SmartNICs) und Adaptive System-on-Chip (SoC)-Produkte für Rechenzentren. Das Segment Client und Gaming umfasst CPUs, APUs, Chipsätze für Desktops und Notebooks, diskrete GPUs sowie halbindividuelle SoC-Produkte und Entwicklungsservices. Das Embedded-Segment umfasst integrierte CPUs, GPUs, APUs, FPGAs, System-on-Module (SOMs) und Adaptive SoC-Produkte. Das Unternehmen vermarktet und verkauft seine Produkte unter der Marke AMD. Zu den Produkten gehören AMD EPYC, AMD Ryzen, AMD Ryzen pro, Virtex UltraScale+ und andere.</v>
    <v>1.9633</v>
    <v>342713561190</v>
    <v>Nasdaq Stock Market</v>
    <v>XNAS</v>
    <v>XNAS</v>
    <v>2485 Augustine Drive, SANTA CLARA, CA, 95054 US</v>
    <v>213.83</v>
    <v>Semiconductors &amp; Semiconductor Equipment</v>
    <v>Aktie</v>
    <v>80.712800000000001</v>
    <v>1068</v>
    <v>46113.999934953128</v>
    <v>31000</v>
    <v>ADVANCED MICRO DEVICES, INC.</v>
    <v>205.84</v>
    <v>ADVANCED MICRO DEVICES, INC.</v>
    <v>207.58500000000001</v>
    <v>210.21</v>
    <v>203.43</v>
    <v>AMD</v>
    <v>ADVANCED MICRO DEVICES, INC. (XNAS:AMD)</v>
    <v>1969</v>
    <v>117998</v>
    <v>34470648</v>
    <v>USD</v>
  </rv>
  <rv s="2">
    <v>1069</v>
  </rv>
  <rv s="3">
    <fb>201.99</fb>
    <v>6</v>
  </rv>
  <rv s="0">
    <v>https://www.bing.com/financeapi/forcetrigger?t=a1pp5r&amp;q=XNYS%3aCI&amp;form=skydnc</v>
    <v>Learn more on Bing</v>
  </rv>
  <rv s="1">
    <v>0</v>
    <v>1</v>
    <v>THE CIGNA GROUP (XNYS:CI)</v>
    <v>3</v>
    <v>4</v>
    <v>Finance</v>
    <v>19</v>
    <v>de-DE</v>
    <v>a1pp5r</v>
    <v>268435456</v>
    <v>1</v>
    <v>Unterstützt von Refinitiv</v>
    <v>350</v>
    <v>239.51</v>
    <v>0.56999999999999995</v>
    <v>2.137E-3</v>
    <v>263660800</v>
    <v>Die Cigna Group ist ein globales Gesundheitsunternehmen. Das Unternehmen verfügt über zwei Wachstumsplattformen: EverNorth Health Services und Cigna Healthcare. EverNorth Health Services umfasst seine Geschäftssegmente Pharmacy Benefits Services und Specialty and Care Services, die unabhängige und koordinierte Gesundheitslösungen und -Fähigkeiten anbieten, um das Gesundheitssystem besser zu arbeiten und Menschen ein reicheres und gesünderes Leben zu ermöglichen. Cigna Healthcare umfasst die Geschäftssegmente U.S. Healthcare und International Health, die umfassende medizinische Plandienstleistungen und koordinierte Lösungen für Kunden und Kunden anbieten. Zu den weiteren Geschäftsbereichen gehören die unternehmenseigene Lebensversicherung (COLI), die Abwicklungsaktivitäten des Unternehmens und andere nicht strategische Geschäftsbereiche. Specialty and Care Services bietet Spezialmedikamente für die Behandlung komplexer und seltener Krankheiten, Spezialvertrieb von Arzneimitteln und medizinischem Zubehör sowie klinische Programme zur Unterstützung seiner Kunden.</v>
    <v>0.27229999999999999</v>
    <v>70481805056</v>
    <v>New York Stock Exchange</v>
    <v>XNYS</v>
    <v>XNYS</v>
    <v>900 Cottage Grove Road, BLOOMFIELD, CT, 06002 US</v>
    <v>268.91000000000003</v>
    <v>Healthcare Providers &amp; Services</v>
    <v>Aktie</v>
    <v>12.078099999999999</v>
    <v>1072</v>
    <v>46113.997103378904</v>
    <v>67700</v>
    <v>THE CIGNA GROUP</v>
    <v>265.27</v>
    <v>THE CIGNA GROUP</v>
    <v>266.55</v>
    <v>267.32</v>
    <v>266.75</v>
    <v>CI</v>
    <v>THE CIGNA GROUP (XNYS:CI)</v>
    <v>2018</v>
    <v>5</v>
    <v>1869929</v>
    <v>USD</v>
  </rv>
  <rv s="2">
    <v>1073</v>
  </rv>
  <rv s="3">
    <fb>261.95999999999998</fb>
    <v>6</v>
  </rv>
  <rv s="0">
    <v>https://www.bing.com/financeapi/forcetrigger?t=a1odgh&amp;q=XNYS%3aBEN&amp;form=skydnc</v>
    <v>Learn more on Bing</v>
  </rv>
  <rv s="1">
    <v>0</v>
    <v>1</v>
    <v>FRANKLIN RESOURCES, INC. (XNYS:BEN)</v>
    <v>3</v>
    <v>4</v>
    <v>Finance</v>
    <v>5</v>
    <v>de-DE</v>
    <v>a1odgh</v>
    <v>268435456</v>
    <v>1</v>
    <v>Unterstützt von Refinitiv</v>
    <v>28.32</v>
    <v>16.25</v>
    <v>-0.03</v>
    <v>-1.2700000000000001E-3</v>
    <v>520763400</v>
    <v>Franklin Resources, Inc. Ist ein globales Investmentmanagementunternehmen mit Tochtergesellschaften, die als Franklin Templeton tätig sind und Kunden in über 150 Ländern betreuen. Über seine spezialisierten Investmentmanager bietet das Unternehmen eine Spezialisierung auf globaler Ebene an, die Kompetenzen in den Bereichen Eigenkapital, festverzinsliche Anlagen, Alternativen und Multi-Asset-Lösungen umfasst. Sie erbringt ihr Anlagemanagement und damit verbundene Dienstleistungen für Privatkunden, institutionelle Anleger und vermögende Anleger in Ländern weltweit. Zu seinen Anlageprodukten gehören die gesponserten Fonds sowie separate Konten für institutionelle und vermögende Institute, separat verwaltete Privatkunden-Kontoprogramme, unterberatene Produkte und andere Anlagevehikel. Zu den Fonds gehören eingetragene Fonds (einschließlich börsengehandelter Fonds) und nicht eingetragene Fonds. Das Unternehmen bietet seine Dienstleistungen und Produkte unter seinen verschiedenen Markennamen an, darunter unter anderem Alcentra, Benefit Street Partners, Brandywine Global Investment Management, Canvas und andere.</v>
    <v>1.4731000000000001</v>
    <v>12284808606</v>
    <v>New York Stock Exchange</v>
    <v>XNYS</v>
    <v>XNYS</v>
    <v>One Franklin Parkway, Building 920/2, SAN MATEO, CA, 94403 US</v>
    <v>24.024999999999999</v>
    <v>Investment Banking &amp; Investment Services</v>
    <v>Aktie</v>
    <v>21.707899999999999</v>
    <v>1076</v>
    <v>46113.987861631249</v>
    <v>9900</v>
    <v>FRANKLIN RESOURCES, INC.</v>
    <v>23.59</v>
    <v>FRANKLIN RESOURCES, INC.</v>
    <v>23.8</v>
    <v>23.59</v>
    <v>23.62</v>
    <v>BEN</v>
    <v>FRANKLIN RESOURCES, INC. (XNYS:BEN)</v>
    <v>1969</v>
    <v>310</v>
    <v>5411007</v>
    <v>USD</v>
  </rv>
  <rv s="2">
    <v>1077</v>
  </rv>
  <rv s="3">
    <fb>22.75</fb>
    <v>6</v>
  </rv>
  <rv s="0">
    <v>https://www.bing.com/financeapi/forcetrigger?t=a1xdvh&amp;q=XNAS%3aMCHP&amp;form=skydnc</v>
    <v>Learn more on Bing</v>
  </rv>
  <rv s="1">
    <v>0</v>
    <v>1</v>
    <v>MICROCHIP TECHNOLOGY INCORPORATED (XNAS:MCHP)</v>
    <v>3</v>
    <v>4</v>
    <v>Finance</v>
    <v>19</v>
    <v>de-DE</v>
    <v>a1xdvh</v>
    <v>268435456</v>
    <v>1</v>
    <v>Unterstützt von Refinitiv</v>
    <v>83.35</v>
    <v>34.125</v>
    <v>0.77</v>
    <v>1.1918E-2</v>
    <v>541135400</v>
    <v>Microchip Technology Incorporated ist ein Anbieter von intelligenten, vernetzten und sicheren eingebetteten Steuerungslösungen. Der Geschäftsbereich Halbleiterprodukte des Unternehmens entwirft, entwickelt, produziert und vermarktet Mixed-Signal-Mikrocontroller, Entwicklungswerkzeuge sowie analoge, Schnittstellen-, Mixed-Signal-, Timing-, kabelgebundene und kabellose Konnektivitätsgeräte und Speicherprodukte. Der Bereich Technologielizenzierung des Unternehmens umfasst den Verkauf und die Lizenzierung des geistigen Eigentums des Unternehmens. Zu den Produkten gehören PIC64-Mikroprozessoren, FPGAs, myMicrochip, MPLAB X IDE, Analog und Mikrocontroller. Zu den Entwicklungswerkzeugen gehören Atmel START und MPLAB Discover. Die Fertigungsaktivitäten umfassen die Waferherstellung, Waferprüfung, Montage und Prüfung. Die Lösungen des Unternehmens bedienen Kunden aus den Bereichen Industrie, Automobil, Konsumgüter, Luft- und Raumfahrt, Verteidigung, Kommunikation und Computer. Das Unternehmen vermarktet und verkauft seine Produkte weltweit hauptsächlich über ein Netzwerk von Direktvertriebsmitarbeitern und Distributoren.</v>
    <v>1.4739</v>
    <v>35379432452</v>
    <v>Nasdaq Stock Market</v>
    <v>XNAS</v>
    <v>XNAS</v>
    <v>2355 W CHANDLER BLVD, CHANDLER, AZ, 85224-6199 US</v>
    <v>66.53</v>
    <v>Semiconductors &amp; Semiconductor Equipment</v>
    <v>Aktie</v>
    <v>0</v>
    <v>1080</v>
    <v>46113.964988402346</v>
    <v>19400</v>
    <v>MICROCHIP TECHNOLOGY INCORPORATED</v>
    <v>64.510000000000005</v>
    <v>MICROCHIP TECHNOLOGY INCORPORATED</v>
    <v>64.825000000000003</v>
    <v>65.38</v>
    <v>64.61</v>
    <v>MCHP</v>
    <v>MICROCHIP TECHNOLOGY INCORPORATED (XNAS:MCHP)</v>
    <v>1989</v>
    <v>55</v>
    <v>9081445</v>
    <v>USD</v>
  </rv>
  <rv s="2">
    <v>1081</v>
  </rv>
  <rv s="3">
    <fb>62</fb>
    <v>6</v>
  </rv>
  <rv s="0">
    <v>https://www.bing.com/financeapi/forcetrigger?t=a218mw&amp;q=XNYS%3aPSA&amp;form=skydnc</v>
    <v>Learn more on Bing</v>
  </rv>
  <rv s="1">
    <v>0</v>
    <v>1</v>
    <v>PUBLIC STORAGE. (XNYS:PSA)</v>
    <v>3</v>
    <v>4</v>
    <v>Finance</v>
    <v>19</v>
    <v>de-DE</v>
    <v>a218mw</v>
    <v>268435456</v>
    <v>1</v>
    <v>Unterstützt von Refinitiv</v>
    <v>312.94990000000001</v>
    <v>256.54000000000002</v>
    <v>5.36</v>
    <v>1.9786999999999999E-2</v>
    <v>175542300</v>
    <v>Public Storage ist ein Investmentfonds für Immobilien. Zu den wichtigsten Geschäftstätigkeiten des Unternehmens gehören der Besitz und der Betrieb von Selbstlagereinrichtungen, die in der Regel monatlich Lagerplätze für private und geschäftliche Zwecke anbieten, sowie andere damit zusammenhängende Tätigkeiten wie Mietrückversicherung, Warenverkauf, Verwaltung von Dritten und Kreditvergabe an Drittlagereigentümer sowie der Erwerb und die Entwicklung zusätzlicher Selbstlagerflächen. Das Segment Self-Storage Operations umfasst die aggregierten Vermietungen der Selbstlagereinrichtungen, die es besitzt, aus denselben Filialen, erworbenen Einrichtungen, neu entwickelten und erweiterten Einrichtungen und anderen nicht-gleichen Filialen. Das Segment Nebengeschäfte umfasst die kombinierten Geschäftsbereiche der Geschäftssegmente Mietrückversicherung, Warenverkauf und Immobilienverwaltung Dritter. Sie besaß Beteiligungen an über 3.085 Selbstlagerstätten in 40 us-bundesstaaten.</v>
    <v>1.0296000000000001</v>
    <v>48491804952</v>
    <v>New York Stock Exchange</v>
    <v>XNYS</v>
    <v>XNYS</v>
    <v>701 Western Avenue, GLENDALE, CA, 91201-2349 US</v>
    <v>276.82</v>
    <v>Residential &amp; Commercial REIT</v>
    <v>Aktie</v>
    <v>30.631399999999999</v>
    <v>1084</v>
    <v>46113.958333344533</v>
    <v>5770</v>
    <v>PUBLIC STORAGE.</v>
    <v>269.57</v>
    <v>PUBLIC STORAGE.</v>
    <v>270.35000000000002</v>
    <v>276.24</v>
    <v>270.88</v>
    <v>PSA</v>
    <v>PUBLIC STORAGE. (XNYS:PSA)</v>
    <v>2023</v>
    <v>930052</v>
    <v>1331311</v>
    <v>USD</v>
  </rv>
  <rv s="2">
    <v>1085</v>
  </rv>
  <rv s="3">
    <fb>266.01</fb>
    <v>6</v>
  </rv>
  <rv s="0">
    <v>https://www.bing.com/financeapi/forcetrigger?t=a1rgxm&amp;q=XNAS%3aDXCM&amp;form=skydnc</v>
    <v>Learn more on Bing</v>
  </rv>
  <rv s="1">
    <v>0</v>
    <v>1</v>
    <v>DEXCOM, INC. (XNAS:DXCM)</v>
    <v>3</v>
    <v>4</v>
    <v>Finance</v>
    <v>5</v>
    <v>de-DE</v>
    <v>a1rgxm</v>
    <v>268435456</v>
    <v>1</v>
    <v>Unterstützt von Refinitiv</v>
    <v>89.98</v>
    <v>54.11</v>
    <v>-0.43</v>
    <v>-6.8469999999999998E-3</v>
    <v>384864800</v>
    <v>DexCom, Inc. ist ein Unternehmen für medizinische Geräte. Das Unternehmen konzentriert sich in erster Linie auf die Konzeption, Entwicklung und Vermarktung von Systemen zur kontinuierlichen Blutzuckermessung (CGM) für das Management von Diabetes und Stoffwechselerkrankungen durch Patienten, Pflegepersonal und Kliniker. Zu seinen Produkten gehören Dexcom G6, Dexcom G7, Stelo, Dexcom Share und Dexcom ONE. Das Unternehmen ermöglicht es Menschen, ihre Gesundheit durch innovative Biosensortechnologie selbst in die Hand zu nehmen. Dexcom G6 ist sein integriertes System zur kontinuierlichen Blutzuckermessung (iCGM). Stelo wurde speziell für Menschen mit Typ-II-Diabetes entwickelt, die kein Insulin verwenden, und ist der erste frei verkäufliche Glukose-Biosensor in den Vereinigten Staaten. Das Fernüberwachungssystem Dexcom Share, das für jedes Dexcom-System angeboten wird, verwendet eine App auf dem kompatiblen Mobilgerät des Patienten. Das Dexcom G7 eignet sich für Erwachsene und Kinder (ab 2 Jahren) mit Typ-I- oder Typ-II-Diabetes, die Insulin oder Medikamente einnehmen, bei denen das Risiko einer Hypoglykämie besteht, sowie für Personen mit Schwangerschaftsdiabetes.</v>
    <v>1.5565</v>
    <v>24004017576</v>
    <v>Nasdaq Stock Market</v>
    <v>XNAS</v>
    <v>XNAS</v>
    <v>6340 Sequence Drive, SAN DIEGO, CA, 92121 US</v>
    <v>63.664999999999999</v>
    <v>Healthcare Equipment &amp; Supplies</v>
    <v>Aktie</v>
    <v>30.191400000000002</v>
    <v>1088</v>
    <v>46113.997691122655</v>
    <v>11000</v>
    <v>DEXCOM, INC.</v>
    <v>61.91</v>
    <v>DEXCOM, INC.</v>
    <v>62.8</v>
    <v>62.37</v>
    <v>62.8</v>
    <v>DXCM</v>
    <v>DEXCOM, INC. (XNAS:DXCM)</v>
    <v>1999</v>
    <v>460</v>
    <v>4070500</v>
    <v>USD</v>
  </rv>
  <rv s="2">
    <v>1089</v>
  </rv>
  <rv s="3">
    <fb>62.25</fb>
    <v>6</v>
  </rv>
  <rv s="0">
    <v>https://www.bing.com/financeapi/forcetrigger?t=a1zbvh&amp;q=XNAS%3aORLY&amp;form=skydnc</v>
    <v>Learn more on Bing</v>
  </rv>
  <rv s="1">
    <v>0</v>
    <v>1</v>
    <v>O'Reilly Automotive, Inc. (XNAS:ORLY)</v>
    <v>3</v>
    <v>4</v>
    <v>Finance</v>
    <v>5</v>
    <v>de-DE</v>
    <v>a1zbvh</v>
    <v>268435456</v>
    <v>1</v>
    <v>Unterstützt von Refinitiv</v>
    <v>108.715</v>
    <v>86.77</v>
    <v>-0.21</v>
    <v>-2.2750000000000001E-3</v>
    <v>836699500</v>
    <v>O'Reilly Automotive, Inc. Ist ein Spezialhändler für Ersatzteile, Werkzeuge, Verbrauchsmaterialien, Ausrüstungen und Zubehör für den Kfz-Aftermarket in den USA und verkauft seine Produkte sowohl an Do-it-yourself-Kunden (DIY) als auch an professionelle Dienstleister. Die Filialen bieten verschiedene Produktlinien an, darunter neue und überholte Kfz-Hartteile und Wartungsartikel wie Lichtmaschinen, Batterien, Bremssystemkomponenten, Riemen, Fahrgestellteile, Antriebsstrangteile, Motorteile, Kraftstoffpumpen, Schläuche, Anlasser, Temperaturregelung, Wasserpumpen, Frostschutzmittel, Produkte für das Erscheinungsbild, Motorzusätze, Filter, Flüssigkeiten, Beleuchtung, Öl, und Wischerblätter und Zubehör wie Bodenmatten, Sitzbezüge und Zubehör für Lkw. Seine Geschäfte bieten Dienstleistungen und Programme an, darunter Batteriestests, Austausch von Batterien, Wischern und Glühlampen, ein Programm für Leihwerkzeuge, kundenspezifische Hydraulikschläuche, Nacharbeiten von Trommel und Rotor, Elektro- und Modultests, Altöl, Ölfilter und Batterierecycling und andere.</v>
    <v>0.5988</v>
    <v>77060023950</v>
    <v>Nasdaq Stock Market</v>
    <v>XNAS</v>
    <v>XNAS</v>
    <v>233 S Patterson Ave, SPRINGFIELD, MO, 65802 US</v>
    <v>93.23</v>
    <v>Specialty Retailers</v>
    <v>Aktie</v>
    <v>31.046600000000002</v>
    <v>1092</v>
    <v>46113.999526758591</v>
    <v>78258</v>
    <v>O'Reilly Automotive, Inc.</v>
    <v>91.67</v>
    <v>O'Reilly Automotive, Inc.</v>
    <v>92.48</v>
    <v>92.1</v>
    <v>92.31</v>
    <v>ORLY</v>
    <v>O'Reilly Automotive, Inc. (XNAS:ORLY)</v>
    <v>2010</v>
    <v>184</v>
    <v>6278669</v>
    <v>USD</v>
  </rv>
  <rv s="2">
    <v>1093</v>
  </rv>
  <rv s="3">
    <fb>90.11</fb>
    <v>6</v>
  </rv>
  <rv s="0">
    <v>https://www.bing.com/financeapi/forcetrigger?t=a1s9dm&amp;q=XNYS%3aESS&amp;form=skydnc</v>
    <v>Learn more on Bing</v>
  </rv>
  <rv s="1">
    <v>0</v>
    <v>1</v>
    <v>ESSEX PROPERTY TRUST, INC. (XNYS:ESS)</v>
    <v>3</v>
    <v>4</v>
    <v>Finance</v>
    <v>5</v>
    <v>de-DE</v>
    <v>a1s9dm</v>
    <v>268435456</v>
    <v>1</v>
    <v>Unterstützt von Refinitiv</v>
    <v>308.52</v>
    <v>238.46</v>
    <v>1.08</v>
    <v>4.463E-3</v>
    <v>64477130</v>
    <v>Essex Property Trust, Inc. ist ein selbstverwalteter und selbstgeführter Real Estate Investment Trust. Das Unternehmen erwirbt, entwickelt, saniert und verwaltet Wohngemeinschaften in ausgewählten Wohngebieten an der Westküste der Vereinigten Staaten. Das Unternehmen definiert seine Geschäftssegmente als die drei geografischen Regionen, in denen sich seine Wohnanlagen befinden: Südkalifornien, Nordkalifornien und der Großraum Seattle. Das Unternehmen ist Eigentümer von ca. 257 Wohngemeinschaften mit über 62.000 Wohneinheiten. Das Unternehmen besitzt alle Anteile an seinen Immobilien und anderen Investitionen direkt oder indirekt über Essex Portfolio, L.P. Es investiert hauptsächlich in Wohnanlagen, die sich in den Küstenregionen von Südkalifornien, Nordkalifornien und im Großraum Seattle befinden. Das Unternehmen konzentriert sich auf den Erwerb und die Entwicklung von Wohnanlagen in Märkten mit begrenztem Angebot und auf die Sanierung bestehender Anlagen.</v>
    <v>0.72560000000000002</v>
    <v>15673100760</v>
    <v>New York Stock Exchange</v>
    <v>XNYS</v>
    <v>XNYS</v>
    <v>Suite 200, 1100 Park Place, SAN MATEO, CA, 94403 US</v>
    <v>244.48</v>
    <v>Residential &amp; Commercial REIT</v>
    <v>Aktie</v>
    <v>23.374300000000002</v>
    <v>1096</v>
    <v>46113.958333356248</v>
    <v>1689</v>
    <v>ESSEX PROPERTY TRUST, INC.</v>
    <v>240.54</v>
    <v>ESSEX PROPERTY TRUST, INC.</v>
    <v>241.22</v>
    <v>243.08</v>
    <v>242</v>
    <v>ESS</v>
    <v>ESSEX PROPERTY TRUST, INC. (XNYS:ESS)</v>
    <v>1994</v>
    <v>1</v>
    <v>523078</v>
    <v>USD</v>
  </rv>
  <rv s="2">
    <v>1097</v>
  </rv>
  <rv s="3">
    <fb>239.61</fb>
    <v>6</v>
  </rv>
  <rv s="0">
    <v>https://www.bing.com/financeapi/forcetrigger?t=a1o8mw&amp;q=XNYS%3aTFC&amp;form=skydnc</v>
    <v>Learn more on Bing</v>
  </rv>
  <rv s="11">
    <v>33</v>
    <v>34</v>
    <v>Truist Financial Corporation (XNYS:TFC)</v>
    <v>3</v>
    <v>35</v>
    <v>Finance</v>
    <v>36</v>
    <v>de-DE</v>
    <v>a1o8mw</v>
    <v>268435456</v>
    <v>1</v>
    <v>Unterstützt von Refinitiv</v>
    <v>56.195</v>
    <v>33.56</v>
    <v>0.74</v>
    <v>1.6097E-2</v>
    <v>1241010000</v>
    <v>Truist Financial Corporation ist ein Finanzdienstleistungsunternehmen. Als Geschäftsbank bietet Truist eine Reihe von Produkten und Dienstleistungen über seine Groß- und Privatkundengeschäfte an, darunter Privatkunden- und Kleinunternehmen, Geschäftsbanken, Unternehmens- und Investmentbanking, Vermögensverwaltung, Zahlungen und spezialisierte Kreditvergabe. Zu den Segmenten zählen Consumer and Small Business Banking (CSBB) und Wholesale Banking (WB). Das CSBB-Segment bedient Kunden von Privatkunden und kleinen Unternehmen und bietet Einzahlungen und Zahlungsdienste, Kreditkarten, Kredite und Hypotheken über ein umfangreiches Netzwerk von Filialen, Geldautomaten, digitalen Kanälen, Contact Centern und anderen Kanälen an. Das CSBB-Segment dient auch als Einstiegspunkt für Kunden, um auf Dienstleistungen anderer Unternehmen zuzugreifen. Das WB-Segment konzentriert sich auf Kernbankwesen, Cash Management, Zahlungen, Spezialkredite, Investment Banking, Kapitalmärkte, strategische Beratung und Market-Making.</v>
    <v>0.86880000000000002</v>
    <v>57967577100</v>
    <v>New York Stock Exchange</v>
    <v>XNYS</v>
    <v>XNYS</v>
    <v>214 North Tryon Street, CHARLOTTE, NC, 28202 US</v>
    <v>47.145000000000003</v>
    <v>Banking Services</v>
    <v>Aktie</v>
    <v>12.231299999999999</v>
    <v>1100</v>
    <v>46113.999158541403</v>
    <v>37086</v>
    <v>Truist Financial Corporation</v>
    <v>46.36</v>
    <v>Truist Financial Corporation</v>
    <v>46.39</v>
    <v>46.71</v>
    <v>46.9</v>
    <v>45.97</v>
    <v>TFC</v>
    <v>Truist Financial Corporation (XNYS:TFC)</v>
    <v>1968</v>
    <v>0.19</v>
    <v>4.0679999999999996E-3</v>
    <v>10065361</v>
    <v>9886395</v>
    <v>USD</v>
  </rv>
  <rv s="2">
    <v>1101</v>
  </rv>
  <rv s="3">
    <fb>44.53</fb>
    <v>6</v>
  </rv>
  <rv s="0">
    <v>https://www.bing.com/financeapi/forcetrigger?t=a1wy1h&amp;q=XNAS%3aLKQ&amp;form=skydnc</v>
    <v>Learn more on Bing</v>
  </rv>
  <rv s="1">
    <v>0</v>
    <v>1</v>
    <v>LKQ CORPORATION (XNAS:LKQ)</v>
    <v>3</v>
    <v>4</v>
    <v>Finance</v>
    <v>19</v>
    <v>de-DE</v>
    <v>a1wy1h</v>
    <v>268435456</v>
    <v>1</v>
    <v>Unterstützt von Refinitiv</v>
    <v>43.47</v>
    <v>27.64</v>
    <v>-0.06</v>
    <v>-2.0430000000000001E-3</v>
    <v>255209100</v>
    <v>Die LKQ Corporation ist ein Anbieter von alternativen und Spezialteilen zur Reparatur und Ausstattung von Fahrzeugen und anderen Fahrzeugen. Das Unternehmen bietet seinen Kunden eine Reihe von Recycling- und Ersatzteilen, Ersatzsystemen, Komponenten, Ausrüstungen und Dienstleistungen von Erstausrüstern an. Das Marktsegment Großhandel - Nordamerika bietet alternative Produkte für den Austausch von Fahrzeugkollisionen, Produkte für Lack- und Karosseriereparaturen sowie alternative mechanische Ersatzprodukte für Fahrzeuge. Seine Vertriebs-, Verarbeitungs- und Vertriebseinrichtungen erreichen wichtige Märkte in den USA und Kanada. Sein Europa-Segment bietet alternative Fahrzeugaustausch- und Wartungsprodukte in Deutschland, Großbritannien, den Benelux-Ländern (Belgien, Niederlande und Luxemburg), Italien, der Tschechischen Republik, Österreich, die Slowakei, Frankreich und andere europäische Länder. Das Segment Specialty ist ein Distributor für Spezialfahrzeuge und Zubehör für den Aftermarket in den USA und Kanada.</v>
    <v>0.90159999999999996</v>
    <v>7480178721</v>
    <v>Nasdaq Stock Market</v>
    <v>XNAS</v>
    <v>XNAS</v>
    <v>5846 CROSSINGS BLVD., ANTIOCH, TN, 37013 US</v>
    <v>29.58</v>
    <v>Automobiles &amp; Auto Parts</v>
    <v>Aktie</v>
    <v>12.319800000000001</v>
    <v>1104</v>
    <v>46113.879816041408</v>
    <v>44000</v>
    <v>LKQ CORPORATION</v>
    <v>29.100100000000001</v>
    <v>LKQ CORPORATION</v>
    <v>29.48</v>
    <v>29.31</v>
    <v>29.37</v>
    <v>LKQ</v>
    <v>LKQ CORPORATION (XNAS:LKQ)</v>
    <v>1998</v>
    <v>1705878</v>
    <v>2687813</v>
    <v>USD</v>
  </rv>
  <rv s="2">
    <v>1105</v>
  </rv>
  <rv s="3">
    <fb>29.18</fb>
    <v>6</v>
  </rv>
  <rv s="0">
    <v>https://www.bing.com/financeapi/forcetrigger?t=a1xyjc&amp;q=XNYS%3aMS&amp;form=skydnc</v>
    <v>Learn more on Bing</v>
  </rv>
  <rv s="1">
    <v>0</v>
    <v>1</v>
    <v>MORGAN STANLEY (XNYS:MS)</v>
    <v>3</v>
    <v>4</v>
    <v>Finance</v>
    <v>5</v>
    <v>de-DE</v>
    <v>a1xyjc</v>
    <v>268435456</v>
    <v>1</v>
    <v>Unterstützt von Refinitiv</v>
    <v>192.68</v>
    <v>94.330100000000002</v>
    <v>1.6</v>
    <v>9.7219999999999997E-3</v>
    <v>1587860000</v>
    <v>Morgan Stanley ist ein weltweit tätiges Finanzdienstleistungsunternehmen. Das Unternehmen bietet eine Reihe von Dienstleistungen im Bereich Investment Banking, Wertpapiere, Vermögensverwaltung und Anlagemanagement an. Zu den Segmenten gehören institutionelle Wertpapiere, Wealth Management und Investment Management. Das Segment Institutional Securities bietet Unternehmen, Regierungen, Finanzinstituten und vermögenden Kunden eine Vielzahl von Produkten und Dienstleistungen an. Das Segment Wealth Management bietet ein umfassendes Angebot an Finanzdienstleistungen und -Lösungen für einzelne Investoren sowie kleine und mittlere Unternehmen und Institutionen. Das Segment Investment Management bietet eine Reihe von Anlagestrategien und -Produkten, die geografische Regionen, Anlageklassen sowie öffentliche und private Märkte für eine Vielzahl von Kunden über institutionelle und zwischengeschaltete Kanäle abdecken. Es ist in über 42 Ländern tätig und betreut Kunden weltweit, darunter Unternehmen, Regierungen, Institutionen und Einzelpersonen.</v>
    <v>1.1823999999999999</v>
    <v>263854696199</v>
    <v>New York Stock Exchange</v>
    <v>XNYS</v>
    <v>XNYS</v>
    <v>1585 Broadway, NEW YORK, NY, 10036 US</v>
    <v>169.29</v>
    <v>Investment Banking &amp; Investment Services</v>
    <v>Aktie</v>
    <v>16.2788</v>
    <v>1108</v>
    <v>46113.997023495314</v>
    <v>83000</v>
    <v>MORGAN STANLEY</v>
    <v>163.203</v>
    <v>MORGAN STANLEY</v>
    <v>168.91</v>
    <v>166.17</v>
    <v>164.57</v>
    <v>MS</v>
    <v>MORGAN STANLEY (XNYS:MS)</v>
    <v>1981</v>
    <v>446</v>
    <v>7595503</v>
    <v>USD</v>
  </rv>
  <rv s="2">
    <v>1109</v>
  </rv>
  <rv s="3">
    <fb>158.38999999999999</fb>
    <v>6</v>
  </rv>
  <rv s="0">
    <v>https://www.bing.com/financeapi/forcetrigger?t=a1r63m&amp;q=XNAS%3aDLTR&amp;form=skydnc</v>
    <v>Learn more on Bing</v>
  </rv>
  <rv s="1">
    <v>0</v>
    <v>1</v>
    <v>DOLLAR TREE, INC. (XNAS:DLTR)</v>
    <v>3</v>
    <v>4</v>
    <v>Finance</v>
    <v>19</v>
    <v>de-DE</v>
    <v>a1r63m</v>
    <v>268435456</v>
    <v>1</v>
    <v>Unterstützt von Refinitiv</v>
    <v>142.4</v>
    <v>61.87</v>
    <v>-0.81</v>
    <v>-7.3969999999999999E-3</v>
    <v>197298200</v>
    <v>Dollar Tree, Inc. Ist ein Betreiber von Discounter, die unter den Markennamen Dollar Tree und Dollar Tree Canada betrieben werden. Das Unternehmen betreibt etwa 9.000 Filialen und 18 Vertriebszentren in 48 angrenzenden bundesstaaten und fünf kanadischen Provinzen. Das Dollar Tree-Segment betreibt eine Vielzahl von Discount-Geschäften, die Waren zum Eröffnungspreis anbieten. Das Segment Dollar Tree umfasst seine Aktivitäten unter den Marken Dollar Tree und Dollar Tree Canada in den USA und Kanada. Seine Dollar Tree Canada Stores führen eine Reihe von Produkten wie Küche und Essen, Reinigungsmittel, Lebensmittel und Getränke, Gesundheit und Schönheit, Spielzeug, Partyzubehör, Schreibwaren, Bastelbedarf, saisonale Dekoration und vieles mehr. Sie bietet Kunden auch die Lieferung vor Ort am selben Tag. Das Unternehmen bietet auch Dollar Tree Geschenkkarten an, die in Geschäften und online erworben und in jedem seiner Filialen eingelöst werden können.</v>
    <v>0.74360000000000004</v>
    <v>21446314340</v>
    <v>Nasdaq Stock Market</v>
    <v>XNAS</v>
    <v>XNAS</v>
    <v>500 Volvo Parkway, CHESAPEAKE, VA, 23320 US</v>
    <v>110.79</v>
    <v>Diversified Retail</v>
    <v>Aktie</v>
    <v>21.043700000000001</v>
    <v>1112</v>
    <v>46113.986086133591</v>
    <v>35181</v>
    <v>DOLLAR TREE, INC.</v>
    <v>108.55</v>
    <v>DOLLAR TREE, INC.</v>
    <v>110.48</v>
    <v>108.7</v>
    <v>109.51</v>
    <v>DLTR</v>
    <v>DOLLAR TREE, INC. (XNAS:DLTR)</v>
    <v>2008</v>
    <v>63</v>
    <v>3093350</v>
    <v>USD</v>
  </rv>
  <rv s="2">
    <v>1113</v>
  </rv>
  <rv s="3">
    <fb>107</fb>
    <v>6</v>
  </rv>
  <rv s="0">
    <v>https://www.bing.com/financeapi/forcetrigger?t=a1v6hw&amp;q=XNAS%3aIBKR&amp;form=skydnc</v>
    <v>Learn more on Bing</v>
  </rv>
  <rv s="1">
    <v>0</v>
    <v>1</v>
    <v>INTERACTIVE BROKERS GROUP, INC. (XNAS:IBKR)</v>
    <v>3</v>
    <v>4</v>
    <v>Finance</v>
    <v>5</v>
    <v>de-DE</v>
    <v>a1v6hw</v>
    <v>268435456</v>
    <v>1</v>
    <v>Unterstützt von Refinitiv</v>
    <v>79.180000000000007</v>
    <v>32.82</v>
    <v>0.84</v>
    <v>1.2524E-2</v>
    <v>1696354000</v>
    <v>Interactive Brokers Group, Inc. Ist ein automatisierter globaler elektronischer Broker. Die Verwahrungs- und Dienstleistungskonten des Unternehmens umfassen Hedge- und Investmentfonds, börsengehandelte Fonds (ETFs), registrierte Anlageberater, proprietäre Handelsgruppen, einführende Broker und einzelne Anleger. Es ist spezialisiert auf das Routing von Aufträgen sowie die Ausführung und Verarbeitung von Geschäften mit Aktien, Optionen, Futures, Deviseninstrumenten (Forex), Anleihen, Investmentfonds, ETFs, Edelmetallen, und prognostizieren Sie Verträge über mehr als 160 elektronische Börsen und Marktzentren in 36 Ländern und 28 Währungen weltweit. Darüber hinaus können seine Kunden ihre Handelsplattform nutzen, um bestimmte Kryptowährungen über Drittanbieter für Kryptowährungen zu handeln, die Kryptowährungen ausführen, löschen und verwahren. Zu den Handelsplattformen gehören IBKR Desktop, IBKR Trader Workstation, IBKR Mobile, IBKR Client Portal und andere. Zu den wichtigsten Produktangeboten gehören IBKR Pro, IBKR Lite und IBKR Universal Account.</v>
    <v>1.256</v>
    <v>115199400140</v>
    <v>Nasdaq Stock Market</v>
    <v>XNAS</v>
    <v>XNAS</v>
    <v>1 Pickwick Plz, GREENWICH, CT, 06830 US</v>
    <v>70</v>
    <v>Investment Banking &amp; Investment Services</v>
    <v>Aktie</v>
    <v>30.550699999999999</v>
    <v>1116</v>
    <v>46113.998981758596</v>
    <v>3182</v>
    <v>INTERACTIVE BROKERS GROUP, INC.</v>
    <v>67.790000000000006</v>
    <v>INTERACTIVE BROKERS GROUP, INC.</v>
    <v>68.38</v>
    <v>67.91</v>
    <v>67.069999999999993</v>
    <v>IBKR</v>
    <v>INTERACTIVE BROKERS GROUP, INC. (XNAS:IBKR)</v>
    <v>2006</v>
    <v>1142</v>
    <v>4899329</v>
    <v>USD</v>
  </rv>
  <rv s="2">
    <v>1117</v>
  </rv>
  <rv s="3">
    <fb>64.2</fb>
    <v>6</v>
  </rv>
  <rv s="0">
    <v>https://creativecommons.org/licenses/by-sa/4.0</v>
    <v>CC BY-SA 4.0</v>
  </rv>
  <rv s="0">
    <v>http://en.wikipedia.org/wiki/Fleetcor</v>
    <v>Wikipedia</v>
  </rv>
  <rv s="6">
    <v>1120</v>
    <v>1121</v>
  </rv>
  <rv s="7">
    <v>18</v>
    <v>https://www.bing.com/th?id=AMMS_10f3aca41262dec4fa8e7ae778ea9a00&amp;qlt=95</v>
    <v>1122</v>
    <v>0</v>
    <v>https://www.bing.com/images/search?form=xlimg&amp;q=fleetcor</v>
    <v>Image of CORPAY, INC.</v>
  </rv>
  <rv s="0">
    <v>https://www.bing.com/financeapi/forcetrigger?t=a1t377&amp;q=XNYS%3aFLT&amp;form=skydnc</v>
    <v>Learn more on Bing</v>
  </rv>
  <rv s="8">
    <v>13</v>
    <v>14</v>
    <v>CORPAY, INC. (XNYS:CPAY)</v>
    <v>16</v>
    <v>17</v>
    <v>Finance</v>
    <v>19</v>
    <v>de-DE</v>
    <v>a1t377</v>
    <v>268435456</v>
    <v>1</v>
    <v>Unterstützt von Refinitiv</v>
    <v>361.99</v>
    <v>252.84</v>
    <v>-1.41</v>
    <v>-4.8459999999999996E-3</v>
    <v>68050300</v>
    <v>Corpay, Inc. ist ein Unternehmen für Unternehmenszahlungen, das Unternehmen und Privatpersonen bei der Verwaltung und Bezahlung von Ausgaben unterstützt. Die Zahlungslösungen des Unternehmens unterstützen Kunden bei der Verwaltung von fahrzeugbezogenen Ausgaben wie Tanken und Parken, von Reisekosten wie Hotelbuchungen und von Verbindlichkeiten wie der Bezahlung von Verkäufern. Zu den Segmenten gehören Zahlungen für Fahrzeuge, Zahlungen für Unternehmen, Zahlungen für Unterkünfte und Sonstiges. Zu seinen Lösungen gehören AP Automation, Cross-Border, Purchasing and T&amp;E Cards und Virtual Card. Die AP-Automatisierungslösungen umfassen Zahlungsautomatisierung, Rechnungsautomatisierung, Bestellungsautomatisierung und Integrationen. Die Virtual Card-Lösung bietet eine einmalig verwendbare Kartennummer für einen bestimmten Betrag, die innerhalb eines bestimmten Zeitrahmens genutzt werden kann. Die Handelsplattform und die integrierten Zahlungslösungen können je nach den Geschäftsanforderungen des Kunden angepasst werden. Die Cross-Border-Lösung wird von den Kunden für die Bezahlung internationaler Lieferanten, ausländischer Niederlassungen und für die Rückführung von Gewinnen und Dividenden genutzt.</v>
    <v>0.85129999999999995</v>
    <v>1123</v>
    <v>19706005874</v>
    <v>New York Stock Exchange</v>
    <v>XNYS</v>
    <v>XNYS</v>
    <v>3280 Peachtree Road, Suite 2400, ATLANTA, GA, 30305 US</v>
    <v>292.41000000000003</v>
    <v>Professional &amp; Commercial Services</v>
    <v>Aktie</v>
    <v>19.232800000000001</v>
    <v>1124</v>
    <v>46113.958333356248</v>
    <v>11800</v>
    <v>CORPAY, INC.</v>
    <v>283.79000000000002</v>
    <v>CORPAY, INC.</v>
    <v>291.82</v>
    <v>289.58</v>
    <v>290.99</v>
    <v>CPAY</v>
    <v>CORPAY, INC. (XNYS:CPAY)</v>
    <v>1998</v>
    <v>573054</v>
    <v>697281</v>
    <v>USD</v>
  </rv>
  <rv s="2">
    <v>1125</v>
  </rv>
  <rv s="3">
    <fb>284.93</fb>
    <v>6</v>
  </rv>
  <rv s="0">
    <v>https://www.bing.com/financeapi/forcetrigger?t=a1mpqh&amp;q=XNYS%3aABBV&amp;form=skydnc</v>
    <v>Learn more on Bing</v>
  </rv>
  <rv s="1">
    <v>0</v>
    <v>1</v>
    <v>ABBVIE INC. (XNYS:ABBV)</v>
    <v>3</v>
    <v>4</v>
    <v>Finance</v>
    <v>5</v>
    <v>de-DE</v>
    <v>a1mpqh</v>
    <v>268435456</v>
    <v>1</v>
    <v>Unterstützt von Refinitiv</v>
    <v>244.81</v>
    <v>164.39</v>
    <v>-2.5099999999999998</v>
    <v>-1.1540999999999999E-2</v>
    <v>1768762000</v>
    <v>AbbVie Inc. Ist ein globales, diversifiziertes, forschungsbasiertes biopharmazeutisches Unternehmen. Sie ist in Forschung und Entwicklung, Herstellung, Vermarktung und Verkauf von Arzneimitteln und Therapien tätig. Das Produktportfolio umfasst Immunologie, Onkologie, Ästhetik, Neurowissenschaften, Augenpflege und andere wichtige Produkte. Zu den immunologischen Produkten gehören Rheumatologie, Dermatologie und Gastroenterologie. Zu den onkologischen Produkten gehören Imbruvica, Venclexta/Venclyxto, Elahere und Epkinly. Das Ästhetik-Portfolio besteht aus Spritzmitteln für das Gesicht, Kunststoffen und regenerativer Medizin, Körperkonturierungs- und Hautpflegeprodukten. Zu den Neuroscience-Produkten gehören Botox Therapeutic, Vraylar, Duopa und Duodopa, Ubrelvy und Qulipta. Augenpflegeprodukte umfassen Ozurdex, Lumigan/Ganfort, Alphagan/Combigan, Restasis und andere Augenpflegeprodukte. Weitere wichtige Produkte sind Mavyret/Maviret, Creon und Linzess/Constella. Sein Prüfkandidat, Bretisilocin, ist zur Behandlung von Patienten mit mittelschwerer bis schwerer Major Depression (MDD) bestimmt.</v>
    <v>0.36470000000000002</v>
    <v>380248454760</v>
    <v>New York Stock Exchange</v>
    <v>XNYS</v>
    <v>XNYS</v>
    <v>1 N Waukegan Rd, NORTH CHICAGO, IL, 60064 US</v>
    <v>220.45</v>
    <v>Pharmaceuticals</v>
    <v>Aktie</v>
    <v>91.081599999999995</v>
    <v>1128</v>
    <v>46113.998941897655</v>
    <v>57000</v>
    <v>ABBVIE INC.</v>
    <v>213.75</v>
    <v>ABBVIE INC.</v>
    <v>218.37</v>
    <v>214.98</v>
    <v>217.49</v>
    <v>ABBV</v>
    <v>ABBVIE INC. (XNYS:ABBV)</v>
    <v>2012</v>
    <v>38</v>
    <v>7405605</v>
    <v>USD</v>
  </rv>
  <rv s="2">
    <v>1129</v>
  </rv>
  <rv s="3">
    <fb>209.4</fb>
    <v>6</v>
  </rv>
  <rv s="0">
    <v>https://www.bing.com/financeapi/forcetrigger?t=a1ngur&amp;q=XNYS%3aAMT&amp;form=skydnc</v>
    <v>Learn more on Bing</v>
  </rv>
  <rv s="1">
    <v>0</v>
    <v>1</v>
    <v>AMERICAN TOWER CORPORATION (XNYS:AMT)</v>
    <v>3</v>
    <v>4</v>
    <v>Finance</v>
    <v>5</v>
    <v>de-DE</v>
    <v>a1ngur</v>
    <v>268435456</v>
    <v>1</v>
    <v>Unterstützt von Refinitiv</v>
    <v>234.33</v>
    <v>165.08</v>
    <v>-1.56</v>
    <v>-9.0390000000000002E-3</v>
    <v>466084800</v>
    <v>Die American Tower Corporation ist ein globaler Real Estate Investment Trust (REIT) und ein unabhängiger Eigentümer, Betreiber und Entwickler von Multi-Tenant-Kommunikationsimmobilien mit einem Portfolio von fast 150.000 Kommunikationsstandorten und einer stark vernetzten Präsenz von Rechenzentren in den USA. Zu den Segmenten des Unternehmens gehören Immobilien in den USA und Kanada, Immobilien in Afrika und APAC, Immobilien in Europa, Immobilien in Lateinamerika, Rechenzentren und Dienstleistungen. Das Hauptgeschäft des Unternehmens ist die Vermietung von Flächen auf multitenanten Kommunikationsstandorten an Mobilfunkanbieter, Rundfunk- und Fernsehsender, Anbieter von drahtlosen Daten, Behörden und Kommunen sowie Mieter in einer Reihe anderer Branchen. Das Segment Rechenzentren des Unternehmens bezieht sich auf Rechenzentrumseinrichtungen und zugehörige Vermögenswerte, die es in den USA besitzt und betreibt. Das Segment Services bietet in den Vereinigten Staaten Dienstleistungen im Zusammenhang mit Turmen an, darunter AZP, Struktur- und Montageplanungen sowie Baumanagement.</v>
    <v>0.93030000000000002</v>
    <v>79709822496</v>
    <v>New York Stock Exchange</v>
    <v>XNYS</v>
    <v>XNYS</v>
    <v>116 Huntington Ave, BOSTON, MA, 02116 US</v>
    <v>173.91</v>
    <v>Residential &amp; Commercial REIT</v>
    <v>Aktie</v>
    <v>31.689900000000002</v>
    <v>1132</v>
    <v>46113.976867928126</v>
    <v>4866</v>
    <v>AMERICAN TOWER CORPORATION</v>
    <v>169.79</v>
    <v>AMERICAN TOWER CORPORATION</v>
    <v>172.67</v>
    <v>171.02</v>
    <v>172.58</v>
    <v>AMT</v>
    <v>AMERICAN TOWER CORPORATION (XNYS:AMT)</v>
    <v>1996</v>
    <v>126</v>
    <v>3366962</v>
    <v>USD</v>
  </rv>
  <rv s="2">
    <v>1133</v>
  </rv>
  <rv s="3">
    <fb>169.52</fb>
    <v>6</v>
  </rv>
  <rv s="0">
    <v>https://www.bing.com/financeapi/forcetrigger?t=a1n6f2&amp;q=XNYS%3aAIG&amp;form=skydnc</v>
    <v>Learn more on Bing</v>
  </rv>
  <rv s="1">
    <v>0</v>
    <v>1</v>
    <v>AMERICAN INTERNATIONAL GROUP, INC. (XNYS:AIG)</v>
    <v>3</v>
    <v>4</v>
    <v>Finance</v>
    <v>5</v>
    <v>de-DE</v>
    <v>a1n6f2</v>
    <v>268435456</v>
    <v>1</v>
    <v>Unterstützt von Refinitiv</v>
    <v>88.07</v>
    <v>71.245000000000005</v>
    <v>0.31</v>
    <v>4.1199999999999995E-3</v>
    <v>536559600</v>
    <v>American International Group, Inc. (AIG) ist ein weltweit tätiges Versicherungsunternehmen. Das Unternehmen bietet Versicherungslösungen, die Unternehmen und Einzelpersonen in etwa 190 Ländern und Gerichtsbarkeiten helfen, ihre Vermögenswerte zu schützen und Risiken über AIG-Betriebsabläufe und Netzwerkpartner zu verwalten. Zu den Segmenten des Unternehmens zählen die Bereiche General Insurance und Other Operations. Das allgemeine Versicherungsgeschäft umfasst zwei Geschäftssegmente: Nordamerika, das aus Versicherungsgeschäften in den USA, Kanada und Bermuda besteht, und das internationale Segment umfasst regionale Versicherungsgeschäfte in Japan, Großbritannien, Europa, dem Nahen Osten und Afrika (EMEA-Region), Asien-Pazifik, Lateinamerika und Karibik sowie China. Die Geschäftssegmente Nordamerika und International bestehen aus den verschiedenen Produkten, einschließlich Handelslinien, die aus Sach-, Haftpflicht-, Finanz- und Spezialversicherungen bestehen, die aus Unfall-, Kranken- und Privatversicherungen bestehen.</v>
    <v>0.60170000000000001</v>
    <v>40414535408</v>
    <v>New York Stock Exchange</v>
    <v>XNYS</v>
    <v>XNYS</v>
    <v>1271 Ave Of The Americas, Fl 37, NEW YORK, NY, 10020-1304 US</v>
    <v>76.209999999999994</v>
    <v>Insurance</v>
    <v>Aktie</v>
    <v>13.9427</v>
    <v>1136</v>
    <v>46113.973175508596</v>
    <v>22100</v>
    <v>AMERICAN INTERNATIONAL GROUP, INC.</v>
    <v>74.67</v>
    <v>AMERICAN INTERNATIONAL GROUP, INC.</v>
    <v>75.069999999999993</v>
    <v>75.56</v>
    <v>75.25</v>
    <v>AIG</v>
    <v>AMERICAN INTERNATIONAL GROUP, INC. (XNYS:AIG)</v>
    <v>1967</v>
    <v>1</v>
    <v>4418966</v>
    <v>USD</v>
  </rv>
  <rv s="2">
    <v>1137</v>
  </rv>
  <rv s="3">
    <fb>72.95</fb>
    <v>6</v>
  </rv>
  <rv s="0">
    <v>https://www.bing.com/financeapi/forcetrigger?t=a1xz1h&amp;q=XNYS%3aMSCI&amp;form=skydnc</v>
    <v>Learn more on Bing</v>
  </rv>
  <rv s="1">
    <v>0</v>
    <v>1</v>
    <v>MSCI INC. (XNYS:MSCI)</v>
    <v>3</v>
    <v>4</v>
    <v>Finance</v>
    <v>5</v>
    <v>de-DE</v>
    <v>a1xz1h</v>
    <v>268435456</v>
    <v>1</v>
    <v>Unterstützt von Refinitiv</v>
    <v>626.28</v>
    <v>486.73500000000001</v>
    <v>-2.11</v>
    <v>-3.9150000000000001E-3</v>
    <v>73120210</v>
    <v>MSCI Inc. (MSCI) bietet der globalen Investment-Community entscheidungsrelevante Tools und Lösungen. Das Unternehmen ist in vier Segmenten tätig: Index, Analytics, ESG und Klima sowie sonstige private Vermögenswerte. Das Indexsegment bietet Produkte wie MSCI Global Equity Indexes, ESG- und Klimaindizes, Faktorindizes, thematische Indizes, kundenspezifische Indizes, Rentenindizes und Real Assets Indizes. Das Analytics-Segment bietet Inhalte, Anwendungen und Dienstleistungen in den Bereichen Risikomanagement, Performance Attribution und Portfoliomanagement. Zu den Angeboten in den Segmenten ESG und Klima gehören MSCI ESG Ratings, MSCI ESG Business Involvement Screening Research und MSCI Climate Solutions. Das Segment Sonstige private Vermögenswerte des Unternehmens umfasst die Segmente Real Assets und Private Capital Solutions. Das Segment Real Assets bietet Daten, Benchmarks, Renditeanalysen, Klimabewertungen und Markteinblicke für Sachwerte wie Immobilien und Infrastruktur.</v>
    <v>1.2937000000000001</v>
    <v>39258240749</v>
    <v>New York Stock Exchange</v>
    <v>XNYS</v>
    <v>XNYS</v>
    <v>7 World Trade Center, 250 Greenwich Street, 49th Floor, NEW YORK, NY, 10007 US</v>
    <v>540.1</v>
    <v>Professional &amp; Commercial Services</v>
    <v>Aktie</v>
    <v>34.222499999999997</v>
    <v>1140</v>
    <v>46113.993580046095</v>
    <v>6268</v>
    <v>MSCI INC.</v>
    <v>525.57500000000005</v>
    <v>MSCI INC.</v>
    <v>531.16999999999996</v>
    <v>536.9</v>
    <v>539.01</v>
    <v>MSCI</v>
    <v>MSCI INC. (XNYS:MSCI)</v>
    <v>1998</v>
    <v>1</v>
    <v>565092</v>
    <v>USD</v>
  </rv>
  <rv s="2">
    <v>1141</v>
  </rv>
  <rv s="3">
    <fb>523.4</fb>
    <v>6</v>
  </rv>
  <rv s="0">
    <v>https://www.bing.com/financeapi/forcetrigger?t=a22xk2&amp;q=XNYS%3aSHW&amp;form=skydnc</v>
    <v>Learn more on Bing</v>
  </rv>
  <rv s="1">
    <v>0</v>
    <v>1</v>
    <v>THE SHERWIN-WILLIAMS COMPANY (XNYS:SHW)</v>
    <v>3</v>
    <v>4</v>
    <v>Finance</v>
    <v>19</v>
    <v>de-DE</v>
    <v>a22xk2</v>
    <v>268435456</v>
    <v>1</v>
    <v>Unterstützt von Refinitiv</v>
    <v>379.65</v>
    <v>301.58</v>
    <v>5.15</v>
    <v>1.6066E-2</v>
    <v>247362400</v>
    <v>Die Sherwin-Williams Company ist in der Herstellung, Entwicklung, Vertrieb und dem Verkauf von Farben, Lacken und verwandten Produkten an professionelle, industrielle, kommerzielle und Einzelhandelskunden hauptsächlich in Nord- und Südamerika tätig, mit weiteren Niederlassungen in der Karibik, Europa, Asien und Australien. Das Segment Paint Stores Group erfüllt die Anforderungen von Architekten- und Industrielackern sowie Hausbesitzern. Das Segment Consumer Brands Group produziert und vertreibt ein breites Portfolio an Markenfarben und Eigenmarken für Architekturfarben, Beizen, Lacke, Industrieprodukte, Holzveredelungsprodukte, Holzschutzmittel, Applikatoren, Korrosionshemmer, Aerosole, Dichtungen und Klebstoffe für Einzelhändler, einschließlich Home Centers und Eisenwarengeschäfte, dedizierte Händler und Distributoren. Das Segment Performance Coatings Group entwickelt und verkauft Industrielacke für die Holzveredelung und allgemeine industrielle Anwendungen (Metall und Kunststoff) und andere.</v>
    <v>1.2698</v>
    <v>80565933680</v>
    <v>New York Stock Exchange</v>
    <v>XNYS</v>
    <v>XNYS</v>
    <v>101 Prospect Ave Nw, CLEVELAND, OH, 44115 US</v>
    <v>331.1</v>
    <v>Chemicals</v>
    <v>Aktie</v>
    <v>31.752099999999999</v>
    <v>1144</v>
    <v>46113.958333344533</v>
    <v>64249</v>
    <v>THE SHERWIN-WILLIAMS COMPANY</v>
    <v>322.95499999999998</v>
    <v>THE SHERWIN-WILLIAMS COMPANY</v>
    <v>323.43</v>
    <v>325.7</v>
    <v>320.55</v>
    <v>SHW</v>
    <v>THE SHERWIN-WILLIAMS COMPANY (XNYS:SHW)</v>
    <v>1884</v>
    <v>1835943</v>
    <v>1752955</v>
    <v>USD</v>
  </rv>
  <rv s="2">
    <v>1145</v>
  </rv>
  <rv s="3">
    <fb>315.37</fb>
    <v>6</v>
  </rv>
  <rv s="0">
    <v>https://www.bing.com/financeapi/forcetrigger?t=a24tfr&amp;q=XNYS%3aUDR&amp;form=skydnc</v>
    <v>Learn more on Bing</v>
  </rv>
  <rv s="1">
    <v>0</v>
    <v>1</v>
    <v>UDR, INC. (XNYS:UDR)</v>
    <v>3</v>
    <v>4</v>
    <v>Finance</v>
    <v>19</v>
    <v>de-DE</v>
    <v>a24tfr</v>
    <v>268435456</v>
    <v>1</v>
    <v>Unterstützt von Refinitiv</v>
    <v>45.56</v>
    <v>32.94</v>
    <v>0.46</v>
    <v>1.3617999999999998E-2</v>
    <v>328572000</v>
    <v>UDR, Inc. ist ein selbstverwalteter Real Estate Investment Trust. Das Unternehmen besitzt, betreibt, erwirbt, renoviert, entwickelt, saniert und verwaltet Wohngemeinschaften in Zielmärkten in den Vereinigten Staaten. Das Unternehmen ist in zwei Segmenten tätig: Same-Store Communities und Non-Mature Communities/ Other. Das Segment „Same-Store Communities“ umfasst die erworbenen, entwickelten und stabilisierten Gemeinschaften. Das Segment „Non-Mature Communities/Other“ umfasst die Gemeinden, die nicht die Kriterien für die Einordnung in Same-Store Communities erfüllen, einschließlich, aber nicht beschränkt auf erworbene, entwickelte und sanierte Gemeinden sowie die Nichtwohnungskomponenten von gemischt genutzten Immobilien. Das Unternehmen besitzt ca. 60.120 Wohnungen oder ist an ihnen beteiligt. Zu den Wohnungen in Baltimore gehören Domain Brewers Hill, The Quarters at Towson Town Center, 20 Lambourne, Towson Promenade, 1274 at Towson, Rodgers Forge und Calvert's Walk.</v>
    <v>0.72</v>
    <v>11250305280</v>
    <v>New York Stock Exchange</v>
    <v>XNYS</v>
    <v>XNYS</v>
    <v>Suite 200, 1745 Shea Center Drive, HIGHLANDS RANCH, CO, 80129 US</v>
    <v>34.270000000000003</v>
    <v>Residential &amp; Commercial REIT</v>
    <v>Aktie</v>
    <v>30.293099999999999</v>
    <v>1148</v>
    <v>46113.958333344533</v>
    <v>1420</v>
    <v>UDR, INC.</v>
    <v>33.630000000000003</v>
    <v>UDR, INC.</v>
    <v>33.630000000000003</v>
    <v>34.24</v>
    <v>33.78</v>
    <v>UDR</v>
    <v>UDR, INC. (XNYS:UDR)</v>
    <v>2003</v>
    <v>3188152</v>
    <v>3484021</v>
    <v>USD</v>
  </rv>
  <rv s="2">
    <v>1149</v>
  </rv>
  <rv s="3">
    <fb>33.58</fb>
    <v>6</v>
  </rv>
  <rv s="0">
    <v>https://www.bing.com/financeapi/forcetrigger?t=a1sioc&amp;q=XNYS%3aEXR&amp;form=skydnc</v>
    <v>Learn more on Bing</v>
  </rv>
  <rv s="1">
    <v>0</v>
    <v>1</v>
    <v>EXTRA SPACE STORAGE INC. (XNYS:EXR)</v>
    <v>3</v>
    <v>4</v>
    <v>Finance</v>
    <v>19</v>
    <v>de-DE</v>
    <v>a1sioc</v>
    <v>268435456</v>
    <v>1</v>
    <v>Unterstützt von Refinitiv</v>
    <v>155.19</v>
    <v>121.03</v>
    <v>1.36</v>
    <v>1.0370999999999998E-2</v>
    <v>211137700</v>
    <v>Extra Space Storage, Inc. ist ein selbstverwalteter und selbstmanagter Real Estate Investment Trust (REIT). Das Unternehmen besitzt, betreibt, verwaltet, beleiht, erwirbt, entwickelt und saniert Selfstorage-Immobilien (Lager). Die Lager bieten die monatliche Miete von Lagerraum für private und geschäftliche Zwecke an. Zu den Geschäftsbereichen gehören Selfstorage-Betrieb und Mieterrückversicherung. Der Geschäftsbereich Selfstorage-Betrieb umfasst die Vermietung von eigenen Lagern. Der Geschäftsbereich Mieterrückversicherung umfasst die Rückversicherung von Risiken im Zusammenhang mit dem Verlust von Waren, die von Mietern in den Lagern gelagert werden. Das Unternehmen besitzt und/oder betreibt rund 4.011 Selfstorage-Lager in 42 Bundesstaaten und Washington, D.C. Die Lager umfassen rund 2,8 Millionen Einheiten und 28,5 Millionen Quadratmeter vermietbare Fläche unter der Marke Extra Space. Extra Space bietet seinen Kunden eine Auswahl an günstig gelegenen und sicheren Lagereinheiten im ganzen Land, darunter Lagerräume für Boote, Wohnmobile und Geschäftsräume.</v>
    <v>1.2743</v>
    <v>27973633873</v>
    <v>New York Stock Exchange</v>
    <v>XNYS</v>
    <v>XNYS</v>
    <v>2795 Cottonwood Parkway, Suite 400, SALT LAKE CITY, UT, 84121 US</v>
    <v>132.74</v>
    <v>Residential &amp; Commercial REIT</v>
    <v>Aktie</v>
    <v>28.874199999999998</v>
    <v>1152</v>
    <v>46113.958333356248</v>
    <v>8393</v>
    <v>EXTRA SPACE STORAGE INC.</v>
    <v>130.41999999999999</v>
    <v>EXTRA SPACE STORAGE INC.</v>
    <v>130.83000000000001</v>
    <v>132.49</v>
    <v>131.13</v>
    <v>EXR</v>
    <v>EXTRA SPACE STORAGE INC. (XNYS:EXR)</v>
    <v>2004</v>
    <v>1129347</v>
    <v>1235868</v>
    <v>USD</v>
  </rv>
  <rv s="2">
    <v>1153</v>
  </rv>
  <rv s="3">
    <fb>128.96</fb>
    <v>6</v>
  </rv>
  <rv s="0">
    <v>https://www.bing.com/financeapi/forcetrigger?t=a1qyvh&amp;q=XNYS%3aDG&amp;form=skydnc</v>
    <v>Learn more on Bing</v>
  </rv>
  <rv s="1">
    <v>0</v>
    <v>1</v>
    <v>DOLLAR GENERAL CORPORATION (XNYS:DG)</v>
    <v>3</v>
    <v>4</v>
    <v>Finance</v>
    <v>19</v>
    <v>de-DE</v>
    <v>a1qyvh</v>
    <v>268435456</v>
    <v>1</v>
    <v>Unterstützt von Refinitiv</v>
    <v>158.22999999999999</v>
    <v>84.7</v>
    <v>-1.56</v>
    <v>-1.3139000000000001E-2</v>
    <v>220226300</v>
    <v>Die Dollar General Corporation ist ein Discount-Einzelhändler. Das Unternehmen bietet Waren an, darunter Verbrauchsartikel, saisonale Artikel, Haushaltsprodukte und Bekleidung. Zu den Merchandise-Produkten gehören Marken von Herstellern sowie eine eigene Auswahl privater Marken mit Rabatten für Marken. Die Kategorie Verbrauchsmaterialien umfasst Papier und Reinigungsmittel, verpackte Lebensmittel, verderbliche Waren, Snacks, Gesundheit und Schönheit, Haustier- und Tabakprodukte. Zu den saisonalen Produkten gehören Weihnachtsartikel, Spielzeug, Batterien, kleine Elektronik, Grußkarten, Schreibwaren, Prepaid-Telefone und Zubehör, Gartenzubehör, Hardware, Kfz- und Heimbüros. Zu den Haushaltsprodukten gehören Küchenutensilien, Kochgeschirr, Kleingeräte, Glühbirnen, Aufbewahrungsbehälter, Rahmen, Kerzen, Bastelbedarf und Küchen-, Bett- und Badartikel. Die Bekleidungsprodukte des Unternehmens umfassen Grundartikel für Kleinkinder, Mädchen, Jungen, Frauen und Männer, sowie Socken, Unterwäsche, Einwegwindeln, Schuhe und Accessoires.</v>
    <v>0.33960000000000001</v>
    <v>25803915571</v>
    <v>New York Stock Exchange</v>
    <v>XNYS</v>
    <v>XNYS</v>
    <v>100 Mission Ridge, GOODLETTSVILLE, TN, 37072-2171 US</v>
    <v>121.125</v>
    <v>Diversified Retail</v>
    <v>Aktie</v>
    <v>20.230599999999999</v>
    <v>1156</v>
    <v>46113.991807731247</v>
    <v>194000</v>
    <v>DOLLAR GENERAL CORPORATION</v>
    <v>117.12</v>
    <v>DOLLAR GENERAL CORPORATION</v>
    <v>120.42</v>
    <v>117.17</v>
    <v>118.73</v>
    <v>DG</v>
    <v>DOLLAR GENERAL CORPORATION (XNYS:DG)</v>
    <v>1998</v>
    <v>337</v>
    <v>3626243</v>
    <v>USD</v>
  </rv>
  <rv s="2">
    <v>1157</v>
  </rv>
  <rv s="3">
    <fb>117.16</fb>
    <v>6</v>
  </rv>
  <rv s="0">
    <v>https://www.bing.com/financeapi/forcetrigger?t=a23xz2&amp;q=XNYS%3aTAP&amp;form=skydnc</v>
    <v>Learn more on Bing</v>
  </rv>
  <rv s="5">
    <v>10</v>
    <v>11</v>
    <v>MOLSON COORS BEVERAGE COMPANY (XNYS:TAP)</v>
    <v>3</v>
    <v>12</v>
    <v>Finance</v>
    <v>19</v>
    <v>de-DE</v>
    <v>a23xz2</v>
    <v>268435456</v>
    <v>1</v>
    <v>Unterstützt von Refinitiv</v>
    <v>63.5</v>
    <v>41.04</v>
    <v>-0.16</v>
    <v>-3.7159999999999997E-3</v>
    <v>178202400</v>
    <v>Molson Coors Beverage Company ist eine Holdinggesellschaft. Das Unternehmen ist in zwei Segmenten tätig: Amerika und EMEA&amp;APAC. Das Americas segment umfasst die Produktion, den Import, das Marketing, den Vertrieb und den Verkauf von Eigen- und Partnermarken sowie von lizenzierten Marken in den Vereinigten Staaten, Kanada und verschiedenen Ländern Lateinamerikas. Es betreibt neun Primärbrauereien, drei Handwerksbrauereien und zwei Containerbetriebe. Es umfasst auch Partnerschaftsvereinbarungen für den Vertrieb von Bier in Ontario und den westlichen Provinzen Kanadas. Das EMEA&amp;APAC segment umfasst die Produktion, die Vermarktung und den Verkauf seiner Hauptmarken sowie anderer Eigen- und Lizenzmarken in Bulgarien, Kroatien, der Tschechischen Republik, Ungarn, Montenegro, der Republik Irland, Rumänien, Serbien, dem Vereinigten Königreich, verschiedenen anderen europäischen Ländern und bestimmten Ländern im Nahen Osten, Afrika und im asiatisch-pazifischen Raum. Das Unternehmen betreibt etwa 11 Primärbrauereien, vier Handwerksbrauereien und eine Cidre-Fabrik.</v>
    <v>0.499</v>
    <v>7644882960</v>
    <v>New York Stock Exchange</v>
    <v>XNYS</v>
    <v>XNYS</v>
    <v>P.O. Box 4030, Bc555, GOLDEN, CO, 80401 US</v>
    <v>43.13</v>
    <v>Beverages</v>
    <v>Aktie</v>
    <v>1160</v>
    <v>46113.993776006253</v>
    <v>16200</v>
    <v>MOLSON COORS BEVERAGE COMPANY</v>
    <v>42</v>
    <v>MOLSON COORS BEVERAGE COMPANY</v>
    <v>42.62</v>
    <v>42.9</v>
    <v>43.06</v>
    <v>TAP</v>
    <v>MOLSON COORS BEVERAGE COMPANY (XNYS:TAP)</v>
    <v>2003</v>
    <v>2618460</v>
    <v>2950024</v>
    <v>USD</v>
  </rv>
  <rv s="2">
    <v>1161</v>
  </rv>
  <rv s="3">
    <fb>43.4</fb>
    <v>6</v>
  </rv>
  <rv s="0">
    <v>https://www.bing.com/financeapi/forcetrigger?t=a1y2bh&amp;q=XNAS%3aMTCH&amp;form=skydnc</v>
    <v>Learn more on Bing</v>
  </rv>
  <rv s="1">
    <v>0</v>
    <v>1</v>
    <v>MATCH GROUP, INC. (XNAS:MTCH)</v>
    <v>3</v>
    <v>4</v>
    <v>Finance</v>
    <v>19</v>
    <v>de-DE</v>
    <v>a1y2bh</v>
    <v>268435456</v>
    <v>1</v>
    <v>Unterstützt von Refinitiv</v>
    <v>39.200000000000003</v>
    <v>26.39</v>
    <v>0.43</v>
    <v>1.4001999999999999E-2</v>
    <v>232644500</v>
    <v>Match Group, Inc. Ist über seine Portfoliounternehmen ein Anbieter digitaler Technologien, die Menschen dabei helfen sollen, Verbindungen herzustellen. Das globale Markenportfolio des Unternehmens umfasst Tinder, Scharnier, Match, Meetic, OkCupid, Paare, reichlich Fisch, Azar, BLK und mehr, jeder wurde entwickelt, um die Wahrscheinlichkeit zu erhöhen, dass die Benutzer mit anderen in Verbindung treten. Zu den Segmenten des Unternehmens gehören Tinder, Scharnier, Match Group Asia (MG Asia) und Evergreen &amp; Emerging (E&amp;E). Das Segment Tinder besteht aus der weltweiten Tätigkeit der Marke Tinder. Das Segment Scharnier besteht aus der weltweiten Tätigkeit der Marke Scharge. Das Segment MG Asia besteht aus der weltweiten Tätigkeit der Marken, die sich hauptsächlich auf Asien und den Nahen Osten konzentrieren, einschließlich Pairs und Azar. Das E&amp;E-Segment besteht aus weltweiten Aktivitäten, die hauptsächlich von den Marken Match, Meetic, OkCupid, Plenty of Fish und verschiedenen demographisch orientierten Marken geprägt sind. Die Dienstleistungen des Unternehmens stehen seinen Nutzern weltweit in über 40 Sprachen zur Verfügung.</v>
    <v>1.3027</v>
    <v>7244549730</v>
    <v>Nasdaq Stock Market</v>
    <v>XNAS</v>
    <v>XNAS</v>
    <v>8750 NORTH CENTRAL EXPRESSWAY, SUITE 1400, DALLAS, TX, 75231 US</v>
    <v>31.305</v>
    <v>Software &amp; IT Services</v>
    <v>Aktie</v>
    <v>13.0322</v>
    <v>1164</v>
    <v>46113.922059027347</v>
    <v>2200</v>
    <v>MATCH GROUP, INC.</v>
    <v>30.46</v>
    <v>MATCH GROUP, INC.</v>
    <v>30.885000000000002</v>
    <v>31.14</v>
    <v>30.71</v>
    <v>MTCH</v>
    <v>MATCH GROUP, INC. (XNAS:MTCH)</v>
    <v>1986</v>
    <v>1</v>
    <v>7048696</v>
    <v>USD</v>
  </rv>
  <rv s="2">
    <v>1165</v>
  </rv>
  <rv s="3">
    <fb>29.74</fb>
    <v>6</v>
  </rv>
  <rv s="0">
    <v>https://www.bing.com/financeapi/forcetrigger?t=a1u3rw&amp;q=XNAS%3aGOOGL&amp;form=skydnc</v>
    <v>Learn more on Bing</v>
  </rv>
  <rv s="1">
    <v>0</v>
    <v>1</v>
    <v>ALPHABET INC. (XNAS:GOOGL)</v>
    <v>3</v>
    <v>4</v>
    <v>Finance</v>
    <v>5</v>
    <v>de-DE</v>
    <v>a1u3rw</v>
    <v>268435456</v>
    <v>1</v>
    <v>Unterstützt von Refinitiv</v>
    <v>349</v>
    <v>140.53</v>
    <v>9.83</v>
    <v>3.4183999999999999E-2</v>
    <v>12097000000</v>
    <v>Alphabet Inc. Ist eine Holdinggesellschaft. Zu den Segmenten des Unternehmens gehören Google Services, Google Cloud und andere Wetten. Das Segment Google Services umfasst Produkte und Dienstleistungen wie Anzeigen, Android, Chrome, Geräte, Google Maps, Google Play, Suche und YouTube. Das Segment Google Cloud umfasst Infrastruktur- und Plattformdienste, Collaboration-Tools und andere Services für Unternehmenskunden. Das Segment Sonstige Wetten ist im Verkauf von Gesundheitsdienstleistungen und Internetdiensten tätig. Die Google Cloud bietet unternehmensfähige Cloud-Dienste, einschließlich Google Cloud Platform und Google Workspace. Die Google Cloud Platform bietet Zugriff auf Lösungen wie künstliche Intelligenz (KI), einschließlich KI-Infrastruktur, Vertex KI-Plattform und Gemini für Google Cloud, Cybersicherheit sowie Daten und Analysen. Google Workspace umfasst Cloud-basierte Kommunikations- und Collaboration-Tools für Unternehmen wie Kalender, Gmail, Docs, Drive, und treffen Sie sich.</v>
    <v>1.1285000000000001</v>
    <v>3597526830000</v>
    <v>Nasdaq Stock Market</v>
    <v>XNAS</v>
    <v>XNAS</v>
    <v>1600 Amphitheatre Parkway, MOUNTAIN VIEW, CA, 94043 US</v>
    <v>300.52</v>
    <v>Software &amp; IT Services</v>
    <v>Aktie</v>
    <v>27.5106</v>
    <v>1168</v>
    <v>46113.999866562503</v>
    <v>190820</v>
    <v>ALPHABET INC.</v>
    <v>290.41000000000003</v>
    <v>ALPHABET INC.</v>
    <v>290.83499999999998</v>
    <v>297.39</v>
    <v>287.56</v>
    <v>GOOGL</v>
    <v>ALPHABET INC. (XNAS:GOOGL)</v>
    <v>2015</v>
    <v>146804</v>
    <v>31282056</v>
    <v>USD</v>
  </rv>
  <rv s="2">
    <v>1169</v>
  </rv>
  <rv s="3">
    <fb>274.33999999999997</fb>
    <v>6</v>
  </rv>
  <rv s="0">
    <v>https://www.bing.com/financeapi/forcetrigger?t=a1vjbh&amp;q=XNAS%3aINCY&amp;form=skydnc</v>
    <v>Learn more on Bing</v>
  </rv>
  <rv s="1">
    <v>0</v>
    <v>1</v>
    <v>INCYTE CORPORATION (XNAS:INCY)</v>
    <v>3</v>
    <v>4</v>
    <v>Finance</v>
    <v>5</v>
    <v>de-DE</v>
    <v>a1vjbh</v>
    <v>268435456</v>
    <v>1</v>
    <v>Unterstützt von Refinitiv</v>
    <v>112.29</v>
    <v>53.56</v>
    <v>0.18</v>
    <v>1.9120000000000001E-3</v>
    <v>199014500</v>
    <v>Incyte Corporation ist ein biopharmazeutisches Unternehmen, das sich auf die Entdeckung, Entwicklung und Vermarktung von Therapeutika konzentriert. Das Unternehmen ist in zwei therapeutischen Bereichen tätig, ein therapeutischer Bereich ist Hämatologie/Onkologie, der aus myeloproliferativen Neubildungen und Graft-versus-Host-Erkrankungen sowie soliden Tumoren und hämatologischen Malignomen besteht. Sein anderer therapeutischer Bereich ist Entzündung und Autoimmunität, zu der auch die Dermatologie kommerzielle Franchise gehört. Seine Hämatologie- und Onkologie-Franchise umfasst vier Produkte: JAKAFI (Ruxolitinib), MONJUVI (Tafasitamab-cxix)/MINJUVI (Tafasitamab), PEMAZYRE (Pemigatinib), ICLUSIG (Ponatinib) und ZYNYZ (retifanlimab-dlwr). sowie zahlreiche klinische Entwicklungsprogramme. Die Pipeline des Unternehmens umfasst auch zwei erstklassige niedermolekulare Antagonisten, die den Mas-verwandten G-Protein-gekoppelten Rezeptor X2 (MRGPRX2) zur Behandlung verschiedener Mastzellstörungen und MRGPRX4 für cholestatischen Pruritus ansprechen.</v>
    <v>0.85740000000000005</v>
    <v>18767067350</v>
    <v>Nasdaq Stock Market</v>
    <v>XNAS</v>
    <v>XNAS</v>
    <v>1801 Augustine Cut-Off, WILMINGTON, DE, 19803 US</v>
    <v>95.555000000000007</v>
    <v>Pharmaceuticals</v>
    <v>Aktie</v>
    <v>14.723699999999999</v>
    <v>1172</v>
    <v>46113.998470080471</v>
    <v>2844</v>
    <v>INCYTE CORPORATION</v>
    <v>93.8</v>
    <v>INCYTE CORPORATION</v>
    <v>94.65</v>
    <v>94.3</v>
    <v>94.12</v>
    <v>INCY</v>
    <v>INCYTE CORPORATION (XNAS:INCY)</v>
    <v>1991</v>
    <v>1</v>
    <v>1718123</v>
    <v>USD</v>
  </rv>
  <rv s="2">
    <v>1173</v>
  </rv>
  <rv s="3">
    <fb>90.3</fb>
    <v>6</v>
  </rv>
  <rv s="0">
    <v>https://www.bing.com/financeapi/forcetrigger?t=a1q9c7&amp;q=XNYS%3aCPT&amp;form=skydnc</v>
    <v>Learn more on Bing</v>
  </rv>
  <rv s="12">
    <v>37</v>
    <v>38</v>
    <v>CAMDEN PROPERTY TRUST (XNYS:CPT)</v>
    <v>3</v>
    <v>39</v>
    <v>Finance</v>
    <v>19</v>
    <v>de-DE</v>
    <v>a1q9c7</v>
    <v>268435456</v>
    <v>1</v>
    <v>Unterstützt von Refinitiv</v>
    <v>123.30500000000001</v>
    <v>96.53</v>
    <v>0.61</v>
    <v>6.2460000000000007E-3</v>
    <v>104726500</v>
    <v>Camden Property Trust ist ein Real Estate Investment Trust (REIT). Das Unternehmen und seine Tochtergesellschaften sind in erster Linie in den Bereichen Eigentum, Management, Entwicklung, Neupositionierung, Neuentwicklung, Erwerb und Bau von Mehrfamilien-Wohngemeinschaften. Sie besitzt und betreibt etwa 175 Immobilien mit über 59.210 Wohnhäusern in den Vereinigten Staaten. Es hat auch vier Grundstücke in der Entwicklung. Die Grundstücke bestehen in der Regel aus mittelhohen Gebäuden oder zwei- und dreistöckigen Gebäuden in einer landschaftlich gestalteten Umgebung sowie Hochhäusern und bieten den Bewohnern eine Vielzahl von Annehmlichkeiten, die für Mehrfamilienhäuser üblich sind. Zu den Grundstücken des Unternehmens gehören Camden Chandler, Camden Copper Square, Camden Foothills, Camden Legacy, Camden Glendale, Camden Landmark, Camden Flatirons, Camden Ashburn Farm und andere. Die Anlage befindet sich in Arizona, Kalifornien, Colorado, Washington District of Columbia (DC) Metro, Florida und anderen.</v>
    <v>0.84750000000000003</v>
    <v>10291473155</v>
    <v>New York Stock Exchange</v>
    <v>XNYS</v>
    <v>XNYS</v>
    <v>2800 POST OAK BOULEVARD, SUITE 2700, HOUSTON, TX, 77056 US</v>
    <v>98.96</v>
    <v>Residential &amp; Commercial REIT</v>
    <v>Aktie</v>
    <v>27.7852</v>
    <v>1176</v>
    <v>46113.958333356248</v>
    <v>1640</v>
    <v>CAMDEN PROPERTY TRUST</v>
    <v>97.55</v>
    <v>CAMDEN PROPERTY TRUST</v>
    <v>98.31</v>
    <v>98.27</v>
    <v>97.66</v>
    <v>CPT</v>
    <v>CAMDEN PROPERTY TRUST (XNYS:CPT)</v>
    <v>1475653</v>
    <v>1085088</v>
    <v>USD</v>
  </rv>
  <rv s="2">
    <v>1177</v>
  </rv>
  <rv s="3">
    <fb>96.96</fb>
    <v>6</v>
  </rv>
  <rv s="0">
    <v>https://www.bing.com/financeapi/forcetrigger?t=a1tr1h&amp;q=XNYS%3aGE&amp;form=skydnc</v>
    <v>Learn more on Bing</v>
  </rv>
  <rv s="1">
    <v>0</v>
    <v>1</v>
    <v>GENERAL ELECTRIC COMPANY (XNYS:GE)</v>
    <v>3</v>
    <v>4</v>
    <v>Finance</v>
    <v>5</v>
    <v>de-DE</v>
    <v>a1tr1h</v>
    <v>268435456</v>
    <v>1</v>
    <v>Unterstützt von Refinitiv</v>
    <v>348.48</v>
    <v>159.36000000000001</v>
    <v>8.91</v>
    <v>3.1398999999999996E-2</v>
    <v>1044830000</v>
    <v>General Electric Company, die unter dem Namen GE Aerospace auftritt, ist ein weltweit tätiges Unternehmen für Luftfahrtantriebe, Dienstleistungen und Systeme. Das Unternehmen verfügt über eine installierte Basis von etwa 45.000 zivilen und 25.000 militärischen Flugzeugtriebwerken. Das Unternehmen ist in zwei Segmenten tätig: Commercial Engines &amp; Services und Defense &amp; Propulsion Technologies. Das Segment Commercial Engines &amp; Services entwirft, entwickelt, fertigt und wartet Düsentriebwerke für zivile Flugzeuge, für die Geschäftsluftfahrt und für abgeleitete Anwendungen. Zu den Dienstleistungen gehören die Wartung, Reparatur und Überholung von Triebwerken sowie der Verkauf von Ersatzteilen, die im Rahmen verschiedener Vereinbarungen angeboten werden. Das Segment Defense &amp; Propulsion Technologies bietet Verteidigungsmotoren und kritische Flugzeugsysteme an und besteht aus den Geschäftsbereichen Defense &amp; Systems und Propulsion &amp; Additive Technologies. Zu seinem Markenportfolio gehören Avio Aero, Unison, Dowty Propellers und Colibrium Additive.</v>
    <v>1.4474</v>
    <v>305800844400</v>
    <v>New York Stock Exchange</v>
    <v>XNYS</v>
    <v>XNYS</v>
    <v>1 Neumann Way, Evendale, OH, 45215 US</v>
    <v>295.5</v>
    <v>Aerospace &amp; Defense</v>
    <v>Aktie</v>
    <v>36.329599999999999</v>
    <v>1180</v>
    <v>46113.999658911722</v>
    <v>57000</v>
    <v>GENERAL ELECTRIC COMPANY</v>
    <v>289.99</v>
    <v>GENERAL ELECTRIC COMPANY</v>
    <v>290.20999999999998</v>
    <v>292.68</v>
    <v>283.77</v>
    <v>GE</v>
    <v>GENERAL ELECTRIC COMPANY (XNYS:GE)</v>
    <v>1892</v>
    <v>3062</v>
    <v>5668303</v>
    <v>USD</v>
  </rv>
  <rv s="2">
    <v>1181</v>
  </rv>
  <rv s="3">
    <fb>282.81</fb>
    <v>6</v>
  </rv>
  <rv s="0">
    <v>https://www.bing.com/financeapi/forcetrigger?t=a1wjz2&amp;q=XNYS%3aKMB&amp;form=skydnc</v>
    <v>Learn more on Bing</v>
  </rv>
  <rv s="1">
    <v>0</v>
    <v>1</v>
    <v>KIMBERLY-CLARK CORPORATION (XNAS:KMB)</v>
    <v>3</v>
    <v>4</v>
    <v>Finance</v>
    <v>19</v>
    <v>de-DE</v>
    <v>a1wjz2</v>
    <v>268435456</v>
    <v>1</v>
    <v>Unterstützt von Refinitiv</v>
    <v>147.12</v>
    <v>94.54</v>
    <v>1.1000000000000001</v>
    <v>1.1403000000000002E-2</v>
    <v>331925800</v>
    <v>Kimberly-Clark Corporation ist hauptsächlich in der Herstellung und Vermarktung einer Reihe von Produkten aus natürlichen oder synthetischen Fasern und Materialien tätig, die fortschrittliche Technologien für Fasern, Vliesstoffe und Saugfähigkeit verwenden. Das Unternehmen hat drei Segmente. Das Segment Körperpflege bietet Lösungen und Produkte wie Einwegwindeln, Trainings- und Jugendhosen, Badehosen, Wischtücher, Damenpflegeprodukte und Inkontinenzpflegeprodukte, wiederverwendbare Unterwäsche und andere verwandte Produkte. Produkte in diesem Segment werden unter den Huggies, Pull-ups, Little Schwimmer, GoodNites, DryNites, Sweety, Kotex, U von Kotex, Intimus, Thinx, Poise, Dependent und andere Markennamen. Das Segment Consumer Tissue bietet Gesichts- und Badetücher, Papiertücher, Servietten und verwandte Produkte an und wird unter den Marken Kleenex, Scott, Cottonelle, Andrex, Viva, Scottex und andere Markennamen. Das Segment K-C Professional bietet Wischtücher, Taschentücher, Handtücher, Seifen und Desinfektionsmittel unter den Markennamen Kleenex, Scott und WypAll an.</v>
    <v>0.2959</v>
    <v>32386000305</v>
    <v>Nasdaq Stock Market</v>
    <v>XNAS</v>
    <v>XNAS</v>
    <v>351 Phelps Dr, IRVING, TX, 75038 US</v>
    <v>98.02</v>
    <v>Personal &amp; Household Products &amp; Services</v>
    <v>Aktie</v>
    <v>19.972300000000001</v>
    <v>1184</v>
    <v>46113.99776023125</v>
    <v>36000</v>
    <v>KIMBERLY-CLARK CORPORATION</v>
    <v>95.8506</v>
    <v>KIMBERLY-CLARK CORPORATION</v>
    <v>96.18</v>
    <v>97.57</v>
    <v>96.47</v>
    <v>KMB</v>
    <v>KIMBERLY-CLARK CORPORATION (XNAS:KMB)</v>
    <v>1928</v>
    <v>36</v>
    <v>5064577</v>
    <v>USD</v>
  </rv>
  <rv s="2">
    <v>1185</v>
  </rv>
  <rv s="3">
    <fb>98.66</fb>
    <v>6</v>
  </rv>
  <rv s="0">
    <v>https://www.bing.com/financeapi/forcetrigger?t=a1vwxm&amp;q=XNYS%3aIVZ&amp;form=skydnc</v>
    <v>Learn more on Bing</v>
  </rv>
  <rv s="5">
    <v>10</v>
    <v>11</v>
    <v>INVESCO LTD (XNYS:IVZ)</v>
    <v>3</v>
    <v>12</v>
    <v>Finance</v>
    <v>19</v>
    <v>de-DE</v>
    <v>a1vwxm</v>
    <v>268435456</v>
    <v>1</v>
    <v>Unterstützt von Refinitiv</v>
    <v>29.61</v>
    <v>11.6</v>
    <v>0.03</v>
    <v>1.235E-3</v>
    <v>443673800</v>
    <v>Invesco Ltd. Ist eine unabhängige Investmentmanagementfirma. Es bedient die Einzelhandelsmärkte und institutionellen Märkte innerhalb der Investmentmanagementbranche in Amerika, Europa, dem Nahen Osten und Afrika sowie im asiatisch-pazifischen Raum in 120 Ländern. Es bietet eine Reihe von Anlagestrategien für Anlageklassen, Anlagetypen und Regionen. Zu den Anlageklassen gehören Eigenkapital, festverzinsliche, ausgewogene, Alternativen und Geldmarkt. Zu den verwalteten Privatkundenvermögen gehören börsengehandelte Fonds, getrennt verwaltete Konten, einzelne Sparkonten, Investmentgesellschaften mit variablem Kapital, Investmentfonds, offene Investmentfonds, Investmentfonds, Investmentfonds und variable Versicherungsfonds. Zu seinen institutionellen Vermögenswerten zählen institutionelle getrennte Konten, private Fonds, offene Investmentfonds und kollektive Treuhandfonds. Der Kundenstamm umfasst öffentliche und private Einrichtungen, Gewerkschaften, gemeinnützige Organisationen, Stiftungen, Stiftungen, Finanzinstituten und Staatsfonds.</v>
    <v>1.6338999999999999</v>
    <v>10790146816</v>
    <v>New York Stock Exchange</v>
    <v>XNYS</v>
    <v>XNYS</v>
    <v>1331 SPRING STREET NW, SUITE 2500, ATLANTA, GA, 30309 US</v>
    <v>24.79</v>
    <v>Investment Banking &amp; Investment Services</v>
    <v>Aktie</v>
    <v>1188</v>
    <v>46113.963129385935</v>
    <v>7499</v>
    <v>INVESCO LTD</v>
    <v>24.245000000000001</v>
    <v>INVESCO LTD</v>
    <v>24.5</v>
    <v>24.32</v>
    <v>24.29</v>
    <v>IVZ</v>
    <v>INVESCO LTD (XNYS:IVZ)</v>
    <v>2007</v>
    <v>4548771</v>
    <v>5070151</v>
    <v>USD</v>
  </rv>
  <rv s="2">
    <v>1189</v>
  </rv>
  <rv s="3">
    <fb>23.2</fb>
    <v>6</v>
  </rv>
  <rv s="0">
    <v>https://www.bing.com/financeapi/forcetrigger?t=a1waa2&amp;q=XNYS%3aJPM&amp;form=skydnc</v>
    <v>Learn more on Bing</v>
  </rv>
  <rv s="1">
    <v>0</v>
    <v>1</v>
    <v>JPMORGAN CHASE &amp; CO. (XNYS:JPM)</v>
    <v>3</v>
    <v>4</v>
    <v>Finance</v>
    <v>5</v>
    <v>de-DE</v>
    <v>a1waa2</v>
    <v>268435456</v>
    <v>1</v>
    <v>Unterstützt von Refinitiv</v>
    <v>337.25</v>
    <v>202.16</v>
    <v>1.22</v>
    <v>4.1470000000000005E-3</v>
    <v>2697032000</v>
    <v>JPMorgan Chase &amp; Co. Ist eine Finanzholdinggesellschaft. Das Unternehmen ist in den Bereichen Investment Banking, Finanzdienstleistungen für Verbraucher und kleine Unternehmen, Commercial Banking, Verarbeitung von Finanztransaktionen und Vermögensverwaltung tätig. Das Unternehmen ist in drei Segmenten tätig: Consumer &amp; Community Banking (CCB), Commercial &amp; Investment Bank (CIB) und Asset &amp; Wealth Management (AWM). Das CCB-Segment bietet Verbrauchern und kleinen Unternehmen Produkte und Dienstleistungen über Bankfilialen, Geldautomaten, Digital- und Telefonbanking an. Das CIB-Segment umfasst Banken und Zahlungen sowie Märkte und Wertpapierdienstleistungen und bietet eine Reihe von Investmentbanking, Kreditvergabe, Zahlungen, Market-Making, Finanzierung, Verwahrungs- und Wertpapierprodukte und -Dienstleistungen für eine globale Basis von Unternehmens- und institutionellen Kunden. Das AWM-Segment bietet Lösungen für die Investitions- und Vermögensverwaltung. Es bietet Lösungen für das Anlagemanagement mit mehreren Vermögenswerten, Produkte und Dienstleistungen für die Altersvorsorge, Maklervermittlung, Verwahrung, Nachlassplanung und vieles mehr.</v>
    <v>1.0427999999999999</v>
    <v>796649312160</v>
    <v>New York Stock Exchange</v>
    <v>XNYS</v>
    <v>XNYS</v>
    <v>270 Park Avenue, NEW YORK, NY, 10017 US</v>
    <v>298.72000000000003</v>
    <v>Banking Services</v>
    <v>Aktie</v>
    <v>14.760999999999999</v>
    <v>1192</v>
    <v>46113.99969384219</v>
    <v>318512</v>
    <v>JPMORGAN CHASE &amp; CO.</v>
    <v>292.91000000000003</v>
    <v>JPMORGAN CHASE &amp; CO.</v>
    <v>295.39</v>
    <v>295.38</v>
    <v>294.16000000000003</v>
    <v>JPM</v>
    <v>JPMORGAN CHASE &amp; CO. (XNYS:JPM)</v>
    <v>1968</v>
    <v>2839</v>
    <v>11114960</v>
    <v>USD</v>
  </rv>
  <rv s="2">
    <v>1193</v>
  </rv>
  <rv s="3">
    <fb>282.83999999999997</fb>
    <v>6</v>
  </rv>
  <rv s="0">
    <v>https://www.bing.com/financeapi/forcetrigger?t=a1u3p2&amp;q=XNAS%3aGOOG&amp;form=skydnc</v>
    <v>Learn more on Bing</v>
  </rv>
  <rv s="1">
    <v>0</v>
    <v>1</v>
    <v>ALPHABET INC. (XNAS:GOOG)</v>
    <v>3</v>
    <v>4</v>
    <v>Finance</v>
    <v>5</v>
    <v>de-DE</v>
    <v>a1u3p2</v>
    <v>268435456</v>
    <v>1</v>
    <v>Unterstützt von Refinitiv</v>
    <v>350.15</v>
    <v>142.66</v>
    <v>8.0399999999999991</v>
    <v>2.8028000000000001E-2</v>
    <v>12097000000</v>
    <v>Alphabet Inc. Ist eine Holdinggesellschaft. Zu den Segmenten des Unternehmens gehören Google Services, Google Cloud und andere Wetten. Das Segment Google Services umfasst Produkte und Dienstleistungen wie Anzeigen, Android, Chrome, Geräte, Google Maps, Google Play, Suche und YouTube. Das Segment Google Cloud umfasst Infrastruktur- und Plattformdienste, Collaboration-Tools und andere Services für Unternehmenskunden. Das Segment Sonstige Wetten ist im Verkauf von Gesundheitsdienstleistungen und Internetdiensten tätig. Die Google Cloud bietet unternehmensfähige Cloud-Dienste, einschließlich Google Cloud Platform und Google Workspace. Die Google Cloud Platform bietet Zugriff auf Lösungen wie künstliche Intelligenz (KI), einschließlich KI-Infrastruktur, Vertex KI-Plattform und Gemini für Google Cloud, Cybersicherheit sowie Daten und Analysen. Google Workspace umfasst Cloud-basierte Kommunikations- und Collaboration-Tools für Unternehmen wie Kalender, Gmail, Docs, Drive, und treffen Sie sich.</v>
    <v>1.1285000000000001</v>
    <v>3567405299999</v>
    <v>Nasdaq Stock Market</v>
    <v>XNAS</v>
    <v>XNAS</v>
    <v>1600 Amphitheatre Parkway, MOUNTAIN VIEW, CA, 94043 US</v>
    <v>297.98500000000001</v>
    <v>Software &amp; IT Services</v>
    <v>Aktie</v>
    <v>27.320900000000002</v>
    <v>1196</v>
    <v>46113.999977210158</v>
    <v>190820</v>
    <v>ALPHABET INC.</v>
    <v>289.47000000000003</v>
    <v>ALPHABET INC.</v>
    <v>289.98</v>
    <v>294.89999999999998</v>
    <v>286.86</v>
    <v>GOOG</v>
    <v>ALPHABET INC. (XNAS:GOOG)</v>
    <v>2015</v>
    <v>120526</v>
    <v>21315692</v>
    <v>USD</v>
  </rv>
  <rv s="2">
    <v>1197</v>
  </rv>
  <rv s="3">
    <fb>273.76</fb>
    <v>6</v>
  </rv>
  <rv s="0">
    <v>https://www.bing.com/financeapi/forcetrigger?t=a1nkm7&amp;q=XNYS%3aAOS&amp;form=skydnc</v>
    <v>Learn more on Bing</v>
  </rv>
  <rv s="1">
    <v>0</v>
    <v>1</v>
    <v>A. O. SMITH CORPORATION (XNYS:AOS)</v>
    <v>3</v>
    <v>4</v>
    <v>Finance</v>
    <v>5</v>
    <v>de-DE</v>
    <v>a1nkm7</v>
    <v>268435456</v>
    <v>1</v>
    <v>Unterstützt von Refinitiv</v>
    <v>81.864999999999995</v>
    <v>58.83</v>
    <v>-0.86</v>
    <v>-1.3042E-2</v>
    <v>138239800</v>
    <v>A. O. Smith Corporation wendet Technologien und Lösungen für Produkte an, die weltweit hergestellt und vermarktet werden. Das Unternehmen ist in zwei Segmenten tätig: Nordamerika und Rest der Welt. Beide Segmente produzieren und vermarkten ein umfassendes Sortiment an Gas- und Elektro-Wassererhitzern, Heizkesseln, Tanks und Wasseraufbereitungsprodukten für den privaten und gewerblichen Gebrauch. Das Segment Rest der Welt besteht hauptsächlich aus China, Europa und Indien. Das Segment Nordamerika beliefert private und gewerbliche Endkunden mit einer Reihe von Produkten, darunter Warmwasserbereiter, Heizkessel, Wasseraufbereitungsprodukte und andere. Das Unternehmen stellt außerdem Ausdehnungsgefäße, kommerzielle Solar-Wasserheizungssysteme, Schwimmbad- und Whirlpool-Heizungen sowie verwandte Produkte und Teile her. Die Marke Lochinvar ist in den Vereinigten Staaten eine Marke für Heizkessel für den privaten und gewerblichen Gebrauch. Zu den Markenprodukten für Wasserenthärter und Lösungen für problematisches Brunnenwasser gehören die Marken Hague, Water-Right, Master Water, Atlantic Filter, Impact und Water Tec.</v>
    <v>1.3464</v>
    <v>8996646184</v>
    <v>New York Stock Exchange</v>
    <v>XNYS</v>
    <v>XNYS</v>
    <v>11270 W Park Pl, MILWAUKEE, WI, 53224-3623 US</v>
    <v>66.63</v>
    <v>Machinery, Equipment &amp; Components</v>
    <v>Aktie</v>
    <v>16.915900000000001</v>
    <v>1200</v>
    <v>46113.983566666408</v>
    <v>11500</v>
    <v>A. O. SMITH CORPORATION</v>
    <v>65.010000000000005</v>
    <v>A. O. SMITH CORPORATION</v>
    <v>66.05</v>
    <v>65.08</v>
    <v>65.94</v>
    <v>AOS</v>
    <v>A. O. SMITH CORPORATION (XNYS:AOS)</v>
    <v>1986</v>
    <v>14</v>
    <v>1471983</v>
    <v>USD</v>
  </rv>
  <rv s="2">
    <v>1201</v>
  </rv>
  <rv s="3">
    <fb>64.42</fb>
    <v>6</v>
  </rv>
  <rv s="0">
    <v>https://www.bing.com/financeapi/forcetrigger?t=bp8fzr&amp;q=XNAS%3aFOX&amp;form=skydnc</v>
    <v>Learn more on Bing</v>
  </rv>
  <rv s="1">
    <v>0</v>
    <v>1</v>
    <v>FOX CORPORATION (XNAS:FOX)</v>
    <v>3</v>
    <v>4</v>
    <v>Finance</v>
    <v>5</v>
    <v>de-DE</v>
    <v>bp8fzr</v>
    <v>268435456</v>
    <v>1</v>
    <v>Unterstützt von Refinitiv</v>
    <v>68.174999999999997</v>
    <v>43.18</v>
    <v>-0.22</v>
    <v>-4.143E-3</v>
    <v>425396100</v>
    <v>Fox Corporation produziert und vertreibt Nachrichten-, Sport- und Unterhaltungsinhalte über seine wichtigsten inländischen Marken, darunter FOX News Media, FOX Sports, FOX Entertainment, FOX Television Stations und Tubi Media Group. Zu den Geschäftssegmenten gehören Cable Network Programming, Television, Credible und FOX Studio Lot. Cable Network Programming produziert und lizenziert Nachrichten- und Sportinhalte, die über herkömmliche Kabelfernsehsysteme, Satellitenbetreiber und Telekommunikationsunternehmen, virtuelle Mehrkanal-Videoprogrammierer und andere digitale Plattformen verteilt werden. Das Fernsehen produziert, erwirbt, vermarktet und vertreibt Programme über das FOX Broadcast-Netzwerk, das von Tubi unterstützte Video-on-Demand-Dienste, etwa 29 Fernsehsender mit voller Leistung, darunter 11 Duopole, und andere digitale Plattformen anbietet. Das FOX Studio Lot bietet Fernseh- und Filmproduktionsdienstleistungen an. Glaubwürdig ist ein US-amerikanischer Markt für Verbraucherfinanzierung.</v>
    <v>0.50509999999999999</v>
    <v>22494945768</v>
    <v>Nasdaq Stock Market</v>
    <v>XNAS</v>
    <v>XNAS</v>
    <v>1211 Avenue of the Americas, NEW YORK, NY, 10036-8701 US</v>
    <v>53.66</v>
    <v>Media &amp; Publishing</v>
    <v>Aktie</v>
    <v>0</v>
    <v>1204</v>
    <v>46113.934095358592</v>
    <v>10400</v>
    <v>FOX CORPORATION</v>
    <v>52.05</v>
    <v>FOX CORPORATION</v>
    <v>53.31</v>
    <v>52.88</v>
    <v>53.1</v>
    <v>FOX</v>
    <v>FOX CORPORATION (XNAS:FOX)</v>
    <v>2018</v>
    <v>1</v>
    <v>2184515</v>
    <v>USD</v>
  </rv>
  <rv s="2">
    <v>1205</v>
  </rv>
  <rv s="3">
    <fb>53.38</fb>
    <v>6</v>
  </rv>
  <rv s="0">
    <v>https://www.bing.com/financeapi/forcetrigger?t=a1x2ur&amp;q=XNYS%3aLOW&amp;form=skydnc</v>
    <v>Learn more on Bing</v>
  </rv>
  <rv s="1">
    <v>0</v>
    <v>1</v>
    <v>LOWE'S COMPANIES, INC. (XNYS:LOW)</v>
    <v>3</v>
    <v>4</v>
    <v>Finance</v>
    <v>5</v>
    <v>de-DE</v>
    <v>a1x2ur</v>
    <v>268435456</v>
    <v>1</v>
    <v>Unterstützt von Refinitiv</v>
    <v>293.06</v>
    <v>206.38499999999999</v>
    <v>-0.3</v>
    <v>-1.2700000000000001E-3</v>
    <v>560063400</v>
    <v>Lowe's Companies, Inc. Ist ein Unternehmen zur Verbesserung von Wohngebäuden. Das Unternehmen bietet ein komplettes Sortiment an Produkten für Bau, Wartung, Reparatur, Umbau und Dekoration. Es bietet Produkte zur Verbesserung des Wohnraums in verschiedenen Kategorien, darunter Geräte, saisonale und Outdoor-Wohnbereiche, Holz, Rasen und Garten, Küchen und Bad, Hardware, Baumaterialien, Mühlenarbeiten, Farben, raue Sanitär- und Sanitär-, Werkzeug- Elektrik, Fußboden und Einrichtung. Das Unternehmen konzentriert sich auf das Angebot einer breiten Auswahl an nationalen Markenartikeln, ergänzt durch seine Auswahl an privaten Marken. Zu den Dienstleistungen gehören Installed Sales und Lowe's Protection Plans and Repair Services. Das Unternehmen bietet Installationsdienstleistungen über unabhängige Auftragnehmer in vielen seiner Produktkategorien an. Es bietet erweiterte Schutzpläne für bestimmte Produkte in den Geräten, Küchen und Bad, Dekor, Mühlenarbeiten, rauen Sanitär-, Kategorien Elektrik, saisonales und Outdoor-Wohnen, Werkzeuge und Hardware. Es betreibt über 1.700 Baumärkte.</v>
    <v>0.96560000000000001</v>
    <v>132163761132</v>
    <v>New York Stock Exchange</v>
    <v>XNYS</v>
    <v>XNYS</v>
    <v>1000 Lowes Blvd, MOORESVILLE, NC, 28117-8520 US</v>
    <v>238.46</v>
    <v>Specialty Retailers</v>
    <v>Aktie</v>
    <v>19.9193</v>
    <v>1208</v>
    <v>46113.966358124999</v>
    <v>167000</v>
    <v>LOWE'S COMPANIES, INC.</v>
    <v>235.06</v>
    <v>LOWE'S COMPANIES, INC.</v>
    <v>236.76</v>
    <v>235.98</v>
    <v>236.28</v>
    <v>LOW</v>
    <v>LOWE'S COMPANIES, INC. (XNYS:LOW)</v>
    <v>1952</v>
    <v>400</v>
    <v>2879889</v>
    <v>USD</v>
  </rv>
  <rv s="2">
    <v>1209</v>
  </rv>
  <rv s="3">
    <fb>230.31</fb>
    <v>6</v>
  </rv>
  <rv s="0">
    <v>https://www.bing.com/financeapi/forcetrigger?t=a1xr1h&amp;q=XNYS%3aMMC&amp;form=skydnc</v>
    <v>Learn more on Bing</v>
  </rv>
  <rv s="1">
    <v>0</v>
    <v>1</v>
    <v>MARSH &amp; MCLENNAN COMPANIES, INC. (XNYS:MRSH)</v>
    <v>3</v>
    <v>4</v>
    <v>Finance</v>
    <v>19</v>
    <v>de-DE</v>
    <v>a1xr1h</v>
    <v>268435456</v>
    <v>1</v>
    <v>Unterstützt von Refinitiv</v>
    <v>248</v>
    <v>164.89</v>
    <v>-1.58</v>
    <v>-9.1090000000000008E-3</v>
    <v>484124200</v>
    <v>Marsh &amp; McLennan Companies, Inc. Ist ein professionelles Dienstleistungsunternehmen in den Bereichen Risiko, Strategie und Mitarbeiter. Das Unternehmen ist in zwei Segmenten tätig: Risk and Insurance Services und Consulting. Das Segment Risk and Insurance Services umfasst Risikomanagementaktivitäten (Risikoberatung, Risikotransfer und Lösungen zur Risikokontrolle und -Minderung) sowie Versicherungs- und Rückversicherungsvermittlung und -Dienstleistungen. Das Unternehmen betreibt Geschäfte in diesem Segment über Marsh und Guy Carpenter. Marsh ist Versicherungsmakler und Risikoberater und betreut Unternehmen, Institutionen und Einzelpersonen. Guy Carpenter ist ein Rückversicherungsvermittler und Berater. Das Beratungssegment umfasst Gesundheits-, Vermögens- und Karriereberatung, Lösungen und Produkte sowie spezialisierte Management-, strategische, wirtschaftliche und Markenberatung. Das Unternehmen betreibt Geschäfte in diesem Segment über Mercer und Oliver Wyman Group. Die Oliver Wyman Group ist ein wichtiger strategischer, wirtschaftlicher und Markenberater für Kunden aus dem privaten Sektor und der Regierung.</v>
    <v>0.74970000000000003</v>
    <v>83206426254</v>
    <v>New York Stock Exchange</v>
    <v>XNYS</v>
    <v>XNYS</v>
    <v>1166 Avenue of the Americas, NEW YORK, NY, 10036 US</v>
    <v>174.75</v>
    <v>Insurance</v>
    <v>Aktie</v>
    <v>20.410599999999999</v>
    <v>1212</v>
    <v>46113.994193865627</v>
    <v>95000</v>
    <v>MARSH &amp; MCLENNAN COMPANIES, INC.</v>
    <v>171.57749999999999</v>
    <v>MARSH &amp; MCLENNAN COMPANIES, INC.</v>
    <v>172.77</v>
    <v>171.87</v>
    <v>173.45</v>
    <v>MRSH</v>
    <v>MARSH &amp; MCLENNAN COMPANIES, INC. (XNYS:MRSH)</v>
    <v>1969</v>
    <v>2840134</v>
    <v>3218132</v>
    <v>USD</v>
  </rv>
  <rv s="2">
    <v>1213</v>
  </rv>
  <rv s="3">
    <fb>169.17</fb>
    <v>6</v>
  </rv>
  <rv s="0">
    <v>https://www.bing.com/financeapi/forcetrigger?t=a226jc&amp;q=XNYS%3aROK&amp;form=skydnc</v>
    <v>Learn more on Bing</v>
  </rv>
  <rv s="1">
    <v>0</v>
    <v>1</v>
    <v>ROCKWELL AUTOMATION, INC. (XNYS:ROK)</v>
    <v>3</v>
    <v>4</v>
    <v>Finance</v>
    <v>19</v>
    <v>de-DE</v>
    <v>a226jc</v>
    <v>268435456</v>
    <v>1</v>
    <v>Unterstützt von Refinitiv</v>
    <v>438.72</v>
    <v>215</v>
    <v>10.039999999999999</v>
    <v>2.7976000000000001E-2</v>
    <v>112357900</v>
    <v>Rockwell Automation, Inc. Beschäftigt sich mit der industriellen Automatisierung und digitalen Transformation. Das Unternehmen ist in drei Segmenten tätig: Intelligente Geräte, Software &amp; Steuerung und Lifecycle Services. Das umfassende Portfolio des Segments Intelligente Geräte umfasst Leistungssteuerung, Bewegungssteuerung, Sicherheit, Sensorik und industrielle Komponenten, und Mikrosteuerung und verteilter Eingang/Ausgang. Das Geschäftssegment Software &amp; Control umfasst ein umfassendes Portfolio an Plattformen für die Produktionsautomatisierung und den Produktionsbetrieb, einschließlich Hardware und Software. Dieses integrierte Portfolio vereint Informationstechnologie (IT) und Betriebstechnologie (OT) und bringt die Vorteile des vernetzten Unternehmens in das Produktionssystem. Das Segment Lifecycle Services umfasst Beratungsdienstleistungen, einschließlich Strategien für Cybersicherheit und digitale Transformation sowie Design- und professionelle Services, einschließlich globaler Automatisierungs- und Informationsprogramme sowie Projektmanagement- und -Bereitstellungsfunktionen.</v>
    <v>1.5412999999999999</v>
    <v>41451076468</v>
    <v>New York Stock Exchange</v>
    <v>XNYS</v>
    <v>XNYS</v>
    <v>1201 South 2Nd Street, MILWAUKEE, WI, 53204 US</v>
    <v>371.73</v>
    <v>Machinery, Equipment &amp; Components</v>
    <v>Aktie</v>
    <v>42.200600000000001</v>
    <v>1216</v>
    <v>46113.986608298437</v>
    <v>26000</v>
    <v>ROCKWELL AUTOMATION, INC.</v>
    <v>361.06</v>
    <v>ROCKWELL AUTOMATION, INC.</v>
    <v>363.33</v>
    <v>368.92</v>
    <v>358.88</v>
    <v>ROK</v>
    <v>ROCKWELL AUTOMATION, INC. (XNYS:ROK)</v>
    <v>1996</v>
    <v>949938</v>
    <v>1008497</v>
    <v>USD</v>
  </rv>
  <rv s="2">
    <v>1217</v>
  </rv>
  <rv s="3">
    <fb>351.5</fb>
    <v>6</v>
  </rv>
  <rv s="0">
    <v>https://www.bing.com/financeapi/forcetrigger?t=a1sifr&amp;q=XNAS%3aEXPE&amp;form=skydnc</v>
    <v>Learn more on Bing</v>
  </rv>
  <rv s="1">
    <v>0</v>
    <v>1</v>
    <v>EXPEDIA GROUP, INC. (XNAS:EXPE)</v>
    <v>3</v>
    <v>4</v>
    <v>Finance</v>
    <v>5</v>
    <v>de-DE</v>
    <v>a1sifr</v>
    <v>268435456</v>
    <v>1</v>
    <v>Unterstützt von Refinitiv</v>
    <v>303.8</v>
    <v>130.01</v>
    <v>-3.22</v>
    <v>-1.3946E-2</v>
    <v>122534900</v>
    <v>Expedia Group, Inc. ist ein Online-Reiseunternehmen. Zu den Geschäftsbereichen des Unternehmens gehören B2C, B2B und trivago. Das B2C-Segment bietet seinen weltweiten Kunden über eine Vielzahl von Verbrauchermarken eine breite Palette von Reise- und Werbedienstleistungen an, darunter: Expedia.com, Hotels.com, Vrbo, Orbitz, Travelocity, Wotif Group, ebookers, CheapTickets, Hotwire.com und CarRentals.com. Das B2B-Segment versorgt eine breite Palette von Reise- und Nicht-Reiseunternehmen, darunter Fluggesellschaften, Offline-Reisebüros, Online-Händler, Firmenreisemanagement und Finanzinstitute, die die Reisetechnologie nutzen und das vielfältige Angebot anzapfen, um ihr Angebot zu erweitern und die Preise und Verfügbarkeiten der Expedia-Gruppe an ihre Reisenden zu vermarkten. Das trivago-Segment generiert Werbeeinnahmen in erster Linie durch die Weiterleitung von Empfehlungen an Online-Reiseunternehmen und Reisedienstleister von seinen Hotel-Metasearch-Websites. trivago ist das mehrheitlich im Besitz der Expedia-Gruppe befindliche Hotel-Metasuchunternehmen mit Sitz in Düsseldorf, Deutschland.</v>
    <v>1.3326</v>
    <v>27897520683</v>
    <v>Nasdaq Stock Market</v>
    <v>XNAS</v>
    <v>XNAS</v>
    <v>1111 Expedia Group Way W, SEATTLE, WA, 98119-1111 US</v>
    <v>234.64</v>
    <v>Hotels &amp; Entertainment Services</v>
    <v>Aktie</v>
    <v>19.967500000000001</v>
    <v>1220</v>
    <v>46113.99078895781</v>
    <v>16000</v>
    <v>EXPEDIA GROUP, INC.</v>
    <v>220.67410000000001</v>
    <v>EXPEDIA GROUP, INC.</v>
    <v>232.66</v>
    <v>227.67</v>
    <v>230.89</v>
    <v>EXPE</v>
    <v>EXPEDIA GROUP, INC. (XNAS:EXPE)</v>
    <v>2005</v>
    <v>1</v>
    <v>2495614</v>
    <v>USD</v>
  </rv>
  <rv s="2">
    <v>1221</v>
  </rv>
  <rv s="3">
    <fb>225.81</fb>
    <v>6</v>
  </rv>
  <rv s="0">
    <v>https://www.bing.com/financeapi/forcetrigger?t=bp8fww&amp;q=XNAS%3aFOXA&amp;form=skydnc</v>
    <v>Learn more on Bing</v>
  </rv>
  <rv s="11">
    <v>33</v>
    <v>34</v>
    <v>FOX CORPORATION (XNAS:FOXA)</v>
    <v>3</v>
    <v>35</v>
    <v>Finance</v>
    <v>36</v>
    <v>de-DE</v>
    <v>bp8fww</v>
    <v>268435456</v>
    <v>1</v>
    <v>Unterstützt von Refinitiv</v>
    <v>76.39</v>
    <v>46.42</v>
    <v>0.06</v>
    <v>1.0269999999999999E-3</v>
    <v>425396100</v>
    <v>Fox Corporation produziert und vertreibt Nachrichten-, Sport- und Unterhaltungsinhalte über seine wichtigsten inländischen Marken, darunter FOX News Media, FOX Sports, FOX Entertainment, FOX Television Stations und Tubi Media Group. Zu den Geschäftssegmenten gehören Cable Network Programming, Television, Credible und FOX Studio Lot. Cable Network Programming produziert und lizenziert Nachrichten- und Sportinhalte, die über herkömmliche Kabelfernsehsysteme, Satellitenbetreiber und Telekommunikationsunternehmen, virtuelle Mehrkanal-Videoprogrammierer und andere digitale Plattformen verteilt werden. Das Fernsehen produziert, erwirbt, vermarktet und vertreibt Programme über das FOX Broadcast-Netzwerk, das von Tubi unterstützte Video-on-Demand-Dienste, etwa 29 Fernsehsender mit voller Leistung, darunter 11 Duopole, und andere digitale Plattformen anbietet. Das FOX Studio Lot bietet Fernseh- und Filmproduktionsdienstleistungen an. Glaubwürdig ist ein US-amerikanischer Markt für Verbraucherfinanzierung.</v>
    <v>0.50509999999999999</v>
    <v>24868656006</v>
    <v>Nasdaq Stock Market</v>
    <v>XNAS</v>
    <v>XNAS</v>
    <v>1211 Avenue of the Americas, NEW YORK, NY, 10036-8701 US</v>
    <v>59.18</v>
    <v>Media &amp; Publishing</v>
    <v>Aktie</v>
    <v>14.0807</v>
    <v>1224</v>
    <v>46113.979168089842</v>
    <v>10400</v>
    <v>FOX CORPORATION</v>
    <v>57.6</v>
    <v>FOX CORPORATION</v>
    <v>58.52</v>
    <v>58.46</v>
    <v>58.44</v>
    <v>58.4</v>
    <v>FOXA</v>
    <v>FOX CORPORATION (XNAS:FOXA)</v>
    <v>2018</v>
    <v>-0.02</v>
    <v>-3.4209999999999997E-4</v>
    <v>3917883</v>
    <v>4429195</v>
    <v>USD</v>
  </rv>
  <rv s="2">
    <v>1225</v>
  </rv>
  <rv s="3">
    <fb>59.11</fb>
    <v>6</v>
  </rv>
  <rv s="0">
    <v>http://commons.wikimedia.org/wiki/File:2006-06-07_840x1500_chicago_aon_building.jpg</v>
    <v>J. Crocker</v>
  </rv>
  <rv s="0">
    <v>http://es.wikipedia.org/wiki/Aon</v>
    <v>Wikipedia</v>
  </rv>
  <rv s="6">
    <v>1228</v>
    <v>1229</v>
  </rv>
  <rv s="7">
    <v>18</v>
    <v>https://www.bing.com/th?id=AMMS_7617e91f3c55e615e2b5e1f75761cfe5&amp;qlt=95</v>
    <v>1230</v>
    <v>0</v>
    <v>https://www.bing.com/images/search?form=xlimg&amp;q=aon+company</v>
    <v>Image of AON PUBLIC LIMITED COMPANY</v>
  </rv>
  <rv s="0">
    <v>https://www.bing.com/financeapi/forcetrigger?t=a1nkgh&amp;q=XNYS%3aAON&amp;form=skydnc</v>
    <v>Learn more on Bing</v>
  </rv>
  <rv s="13">
    <v>40</v>
    <v>41</v>
    <v>AON PUBLIC LIMITED COMPANY (XNYS:AON)</v>
    <v>16</v>
    <v>42</v>
    <v>Finance</v>
    <v>36</v>
    <v>de-DE</v>
    <v>a1nkgh</v>
    <v>268435456</v>
    <v>1</v>
    <v>Unterstützt von Refinitiv</v>
    <v>401.03280000000001</v>
    <v>304.58999999999997</v>
    <v>-1.44</v>
    <v>-4.4609999999999997E-3</v>
    <v>214254500</v>
    <v>Aon PLC ist ein weltweit tätiges Unternehmen für professionelle Dienstleistungen. Zu den Segmenten des Unternehmens gehören Risikokapital und Humankapital. Das Segment Risikokapital unterstützt Kunden durch seine Lösungen für kommerzielle Risiken und Rückversicherungslösungen. Kommerzielle Risiken umfassen Versicherungen und Spezialvermittlung, globale Risikoberatung, Management von Captives und Affinity-Programme. Rückversicherung umfasst vertragsrückversicherung, fakultative Rückversicherung, Strategie- und Technologiegruppe und Kapitalmärkte. Das Segment Human Capital unterstützt Kunden durch seine Health Solution. Gesundheit umfasst Beratung und Vermittlung, Lösungen für Verbrauchervorteile und Talentberatung. Sie bietet auch eine Altersberatung an. Die vertragliche Rückversicherung befasst sich mit den Versicherungs- und Kapitalzielen auf Portfolioebene und ermöglicht es ihren Kunden, die Kombination aus Prämienwachstum, Kapitalrendite und Zinsen von Ratingagenturen auf integrierter Basis zu steuern.</v>
    <v>0.82509999999999994</v>
    <v>1231</v>
    <v>68848541030</v>
    <v>New York Stock Exchange</v>
    <v>XNYS</v>
    <v>XNYS</v>
    <v>15 George's Quay, DUBLIN, DUBLIN, D02 VR98 IE</v>
    <v>325.39</v>
    <v>Insurance</v>
    <v>Aktie</v>
    <v>18.872900000000001</v>
    <v>1232</v>
    <v>46113.958333356248</v>
    <v>60000</v>
    <v>AON PUBLIC LIMITED COMPANY</v>
    <v>318</v>
    <v>AON PUBLIC LIMITED COMPANY</v>
    <v>321.88</v>
    <v>321.33999999999997</v>
    <v>321.33999999999997</v>
    <v>322.77999999999997</v>
    <v>AON</v>
    <v>AON PUBLIC LIMITED COMPANY (XNYS:AON)</v>
    <v>2017</v>
    <v>0</v>
    <v>0</v>
    <v>1081439</v>
    <v>1418981</v>
    <v>USD</v>
  </rv>
  <rv s="2">
    <v>1233</v>
  </rv>
  <rv s="3">
    <fb>313.66000000000003</fb>
    <v>6</v>
  </rv>
  <rv s="0">
    <v>https://www.bing.com/financeapi/forcetrigger?t=a23tw7&amp;q=XNYS%3aSWK&amp;form=skydnc</v>
    <v>Learn more on Bing</v>
  </rv>
  <rv s="1">
    <v>0</v>
    <v>1</v>
    <v>STANLEY BLACK &amp; DECKER, INC. (XNYS:SWK)</v>
    <v>3</v>
    <v>4</v>
    <v>Finance</v>
    <v>5</v>
    <v>de-DE</v>
    <v>a23tw7</v>
    <v>268435456</v>
    <v>1</v>
    <v>Unterstützt von Refinitiv</v>
    <v>93.37</v>
    <v>53.9101</v>
    <v>0.11</v>
    <v>1.5479999999999999E-3</v>
    <v>155286400</v>
    <v>Stanley Black &amp; Decker Inc. Ist ein globaler Anbieter von Handwerkzeugen, Elektrowerkzeugen, Outdoor-Produkten und dazugehörigem Zubehör sowie ein Anbieter von speziell entwickelten Befestigungslösungen. Die Segmente des Unternehmens umfassen Tools &amp; Outdoor und Engineered Fastening. Das Segment Tools &amp; Outdoor umfasst die Produktlinien Power Tools Group (PTG), Handwerkzeuge, Zubehör &amp; Lagerung (HTAS) und Outdoor Power Equipment (Outdoor). Die PTG-Produktlinie umfasst sowohl professionelle als auch Konsumgüter. Die HTAS-Produktlinie verkauft Handwerkzeuge, Zubehör für Elektrowerkzeuge und Aufbewahrungsprodukte. Die Outdoor-Produktlinie verkauft hauptsächlich kabelgebundene und kabellose elektrische Rasen- und Gartenprodukte. Das Segment Engineered Fastening verkauft hauptsächlich hochentwickelte Komponenten wie Befestigungselemente, Fittings und verschiedene technische Produkte, die für spezifische Anwendungen in mehreren vertikalen Branchen entwickelt wurden. Das Markenportfolio des Unternehmens umfasst DEWALT, CRAFTSMAN, STANLEY, BLACK+DECKER und Cub Cadet.</v>
    <v>1.2013</v>
    <v>11051733088</v>
    <v>New York Stock Exchange</v>
    <v>XNYS</v>
    <v>XNYS</v>
    <v>1000 Stanley Dr, PO Box 7000, NEW BRITAIN, CT, 06053-1675 US</v>
    <v>72.27</v>
    <v>Machinery, Equipment &amp; Components</v>
    <v>Aktie</v>
    <v>26.8993</v>
    <v>1236</v>
    <v>46113.978439015627</v>
    <v>43500</v>
    <v>STANLEY BLACK &amp; DECKER, INC.</v>
    <v>70.775000000000006</v>
    <v>STANLEY BLACK &amp; DECKER, INC.</v>
    <v>71.510000000000005</v>
    <v>71.17</v>
    <v>71.06</v>
    <v>SWK</v>
    <v>STANLEY BLACK &amp; DECKER, INC. (XNYS:SWK)</v>
    <v>1901</v>
    <v>1</v>
    <v>1750114</v>
    <v>USD</v>
  </rv>
  <rv s="2">
    <v>1237</v>
  </rv>
  <rv s="3">
    <fb>68.819999999999993</fb>
    <v>6</v>
  </rv>
  <rv s="0">
    <v>https://www.bing.com/financeapi/forcetrigger?t=a1ry3m&amp;q=XNYS%3aEMR&amp;form=skydnc</v>
    <v>Learn more on Bing</v>
  </rv>
  <rv s="1">
    <v>0</v>
    <v>1</v>
    <v>EMERSON ELECTRIC CO. (XNYS:EMR)</v>
    <v>3</v>
    <v>4</v>
    <v>Finance</v>
    <v>5</v>
    <v>de-DE</v>
    <v>a1ry3m</v>
    <v>268435456</v>
    <v>1</v>
    <v>Unterstützt von Refinitiv</v>
    <v>165.15</v>
    <v>90.055300000000003</v>
    <v>1.35</v>
    <v>1.0304000000000001E-2</v>
    <v>562000000</v>
    <v>Emerson Electric Co. Ist ein globales Technologie- und Softwareunternehmen, das Lösungen für Kunden in einer Vielzahl von Endmärkten weltweit anbietet. Das Unternehmen ist in sieben Segmenten in zwei Unternehmensgruppen tätig, darunter intelligente Geräte und Software und Steuerung. Der Geschäftsbereich Intelligente Geräte umfasst Endkontrolle, Messung und Analyse, diskrete Automatisierung sowie Sicherheit und Produktivität. Software- und Steuerungsgeschäft umfasst Steuerungssysteme und -Software, Test- und Messtechnik sowie AspenTech. Das Segment Final Control ist ein globaler Anbieter von Steuerventilen, Absperrventilen, Absperrventilen, Überdruckventilen, Drucksicherheitsventilen, Aktuatoren und Regler für die Prozess- und Hybridindustrie. Das Segment Measurement &amp; Analytical ist ein Anbieter intelligenter Messgeräte zur Messung der physikalischen Eigenschaften von Flüssigkeiten oder Gasen. Das Segment AspenTech bietet Software zur Anlagenoptimierung, mit der Industriehersteller ihre Betriebsabläufe entwickeln, betreiben und warten können.</v>
    <v>1.2785</v>
    <v>74391940000</v>
    <v>New York Stock Exchange</v>
    <v>XNYS</v>
    <v>XNYS</v>
    <v>8027 Forsyth Boulevard,, ST. LOUIS, MO, 63105 US</v>
    <v>134.4</v>
    <v>Machinery, Equipment &amp; Components</v>
    <v>Aktie</v>
    <v>32.455399999999997</v>
    <v>1240</v>
    <v>46113.997971978904</v>
    <v>71000</v>
    <v>EMERSON ELECTRIC CO.</v>
    <v>131.44</v>
    <v>EMERSON ELECTRIC CO.</v>
    <v>132.15</v>
    <v>132.37</v>
    <v>131.02000000000001</v>
    <v>EMR</v>
    <v>EMERSON ELECTRIC CO. (XNYS:EMR)</v>
    <v>1890</v>
    <v>60</v>
    <v>3020654</v>
    <v>USD</v>
  </rv>
  <rv s="2">
    <v>1241</v>
  </rv>
  <rv s="3">
    <fb>125.4</fb>
    <v>6</v>
  </rv>
  <rv s="0">
    <v>http://en.wikipedia.org/wiki/Progressive_Corporation</v>
    <v>Wikipedia</v>
  </rv>
  <rv s="6">
    <v>35</v>
    <v>1244</v>
  </rv>
  <rv s="7">
    <v>18</v>
    <v>https://www.bing.com/th?id=AMMS_1ae7fef605fb644f70b899c25b5ca660&amp;qlt=95</v>
    <v>1245</v>
    <v>0</v>
    <v>https://www.bing.com/images/search?form=xlimg&amp;q=progressive</v>
    <v>Image of THE PROGRESSIVE CORPORATION</v>
  </rv>
  <rv s="0">
    <v>https://www.bing.com/financeapi/forcetrigger?t=a1ztlh&amp;q=XNYS%3aPGR&amp;form=skydnc</v>
    <v>Learn more on Bing</v>
  </rv>
  <rv s="8">
    <v>13</v>
    <v>14</v>
    <v>THE PROGRESSIVE CORPORATION (XNYS:PGR)</v>
    <v>16</v>
    <v>17</v>
    <v>Finance</v>
    <v>5</v>
    <v>de-DE</v>
    <v>a1ztlh</v>
    <v>268435456</v>
    <v>1</v>
    <v>Unterstützt von Refinitiv</v>
    <v>289.95999999999998</v>
    <v>192.02</v>
    <v>-4.88</v>
    <v>-2.4617E-2</v>
    <v>584962800</v>
    <v>Die Progressive Corporation ist eine Versicherungsholdinggesellschaft, die über Tochtergesellschaften und Tochtergesellschaften aus Versicherungs- und Nichtversicherungsfragen verfügt. Zu den Segmenten des Unternehmens gehören persönliche Linien, kommerzielle Linien und andere Entschädigungen. Das Segment Personal Lines schließt Versicherungen für persönliche Autos und Spezialprodukte ab. Zu den besonderen Produktlinien gehören Freizeitfahrzeuge wie Motorräder, Wohnmobile und Wasserfahrzeuge. Die Produkte von Personal Lines werden sowohl über die Agentur als auch über Direktkanäle verkauft. Das Segment Commercial Lines vergibt eine Kfz-Haftpflicht- und Sachschäden-Versicherung, eine betriebliche allgemeine Haftpflicht- und gewerbliche Sachversicherung vorwiegend für kleine Unternehmen und eine Arbeitnehmerentschädigungsversicherung vor allem für die Transportbranche. Seine Rückversicherungstätigkeit umfasst sowohl regulierte als auch nicht regulierte Geschäfte. Es bietet Einkaufstools und -Services wie Name Your Price, Snapshot und HomeQuote Explorer.</v>
    <v>0.32769999999999999</v>
    <v>1246</v>
    <v>113108407008</v>
    <v>New York Stock Exchange</v>
    <v>XNYS</v>
    <v>XNYS</v>
    <v>300 North Commons Blvd., MAYFIELD VILLAGE, OH, 44143 US</v>
    <v>197.7</v>
    <v>Insurance</v>
    <v>Aktie</v>
    <v>10.048400000000001</v>
    <v>1247</v>
    <v>46113.986598171097</v>
    <v>70000</v>
    <v>THE PROGRESSIVE CORPORATION</v>
    <v>192.02</v>
    <v>THE PROGRESSIVE CORPORATION</v>
    <v>197.16</v>
    <v>193.36</v>
    <v>198.24</v>
    <v>PGR</v>
    <v>THE PROGRESSIVE CORPORATION (XNYS:PGR)</v>
    <v>1965</v>
    <v>9</v>
    <v>3165340</v>
    <v>USD</v>
  </rv>
  <rv s="2">
    <v>1248</v>
  </rv>
  <rv s="3">
    <fb>198.84</fb>
    <v>6</v>
  </rv>
  <rv s="0">
    <v>https://www.bing.com/financeapi/forcetrigger?t=a1ypc7&amp;q=XNYS%3aNRG&amp;form=skydnc</v>
    <v>Learn more on Bing</v>
  </rv>
  <rv s="1">
    <v>0</v>
    <v>1</v>
    <v>NRG ENERGY, INC. (XNYS:NRG)</v>
    <v>3</v>
    <v>4</v>
    <v>Finance</v>
    <v>5</v>
    <v>de-DE</v>
    <v>a1ypc7</v>
    <v>268435456</v>
    <v>1</v>
    <v>Unterstützt von Refinitiv</v>
    <v>189.96</v>
    <v>79.569999999999993</v>
    <v>3.76</v>
    <v>2.5729000000000002E-2</v>
    <v>212376200</v>
    <v>NRG Energy, Inc. ist ein Energie- und Dienstleistungsunternehmen für Privathaushalte. Die Geschäftsbereiche des Unternehmens umfassen den Verkauf von Strom und Erdgas an Privat-, Gewerbe-, Industrie- und Großhandelskunden, unterstützt durch die Stromerzeugung im Großhandel, sowie den Vertrieb von Smart-Home-Produkten und -Dienstleistungen. Das Unternehmen bietet in den USA und Kanada nachhaltige Lösungen an, vorwiegend unter Markennamen wie NRG, Reliant, Direct Energy, Green Mountain Energy und Vivint. Zu den Geschäftsbereichen gehören Texas, Ost, West/Dienstleistungen/Sonstiges, Vivint Smart Home und Unternehmensaktivitäten. Das Unternehmen vertreibt eine Vielzahl von Produkten an Privat- und kleine Gewerbekunden, darunter Strom- und Energiemanagement, Erdgas, Leitungs- und Überspannungsschutzprodukte, Hausschutzprodukte, Reparatur und Wartung sowie CO2-Kompensationen. Das Unternehmen besitzt und pachtet ein diversifiziertes Großhandelsportfolio mit rund 13 Gigawatt an fossilen Brennstoffen und erneuerbarer Energieerzeugungskapazität in 18 Kraftwerken.</v>
    <v>1.3384</v>
    <v>31835192380</v>
    <v>New York Stock Exchange</v>
    <v>XNYS</v>
    <v>XNYS</v>
    <v>910 Louisiana Street, HOUSTON, TX, 77002 US</v>
    <v>150.88</v>
    <v>Electrical Utilities &amp; IPPs</v>
    <v>Aktie</v>
    <v>38.006799999999998</v>
    <v>1251</v>
    <v>46113.966796839843</v>
    <v>16702</v>
    <v>NRG ENERGY, INC.</v>
    <v>146.38</v>
    <v>NRG ENERGY, INC.</v>
    <v>147.93</v>
    <v>149.9</v>
    <v>146.13999999999999</v>
    <v>NRG</v>
    <v>NRG ENERGY, INC. (XNYS:NRG)</v>
    <v>1992</v>
    <v>52</v>
    <v>3244925</v>
    <v>USD</v>
  </rv>
  <rv s="2">
    <v>1252</v>
  </rv>
  <rv s="3">
    <fb>147.74</fb>
    <v>6</v>
  </rv>
  <rv s="0">
    <v>https://www.bing.com/financeapi/forcetrigger?t=a25zz2&amp;q=XNYS%3aWRB&amp;form=skydnc</v>
    <v>Learn more on Bing</v>
  </rv>
  <rv s="1">
    <v>0</v>
    <v>1</v>
    <v>W. R. BERKLEY CORPORATION (XNYS:WRB)</v>
    <v>3</v>
    <v>4</v>
    <v>Finance</v>
    <v>19</v>
    <v>de-DE</v>
    <v>a25zz2</v>
    <v>268435456</v>
    <v>1</v>
    <v>Unterstützt von Refinitiv</v>
    <v>77.821100000000001</v>
    <v>61.308100000000003</v>
    <v>-1</v>
    <v>-1.5087999999999999E-2</v>
    <v>374490900</v>
    <v>Die W. R. Berkley Corporation ist eine Versicherungsholdinggesellschaft. Das Unternehmen ist in zwei Segmenten der Unfallversicherung tätig: Versicherungen und Rückversicherungen &amp; Monoline Excess. Seine Versicherungsgeschäfte unterzeichnen kommerzielles Versicherungsgeschäft, einschließlich Überschusslinien, zugelassene Linien und Spezialversicherungen in den Vereinigten Staaten sowie Versicherungsgeschäfte in Asien, Australien, Kanada, Kontinentaleuropa, Mexiko, Skandinavien, Südamerika und Großbritannien. Das Versicherungssegment besteht aus Geschäftseinheiten wie Acadia Insurance, Admiral Insurance, Berkley Incident and Health, Berkley Agribusiness und anderen. Über die Geschäftseinheit Berkley Edge bietet sie professionelle Haftpflicht- und Unfallversicherungen für kleine und mittlere Unternehmen an. Die Rückversicherung &amp; Monoline Excess bietet Rückversicherungsgeschäfte auf fakultativer und vertraglicher Basis in den Vereinigten Staaten, Großbritannien, Kontinentaleuropa, Australien, dem asiatisch-pazifischen Raum und Südafrika an.</v>
    <v>0.374</v>
    <v>24446765952</v>
    <v>New York Stock Exchange</v>
    <v>XNYS</v>
    <v>XNYS</v>
    <v>475 Steamboat Road, GREENWICH, CT, 06830 US</v>
    <v>65.91</v>
    <v>Insurance</v>
    <v>Aktie</v>
    <v>14.670299999999999</v>
    <v>1255</v>
    <v>46113.975021851562</v>
    <v>8804</v>
    <v>W. R. BERKLEY CORPORATION</v>
    <v>64.989999999999995</v>
    <v>W. R. BERKLEY CORPORATION</v>
    <v>65.37</v>
    <v>65.28</v>
    <v>66.28</v>
    <v>WRB</v>
    <v>W. R. BERKLEY CORPORATION (XNYS:WRB)</v>
    <v>1970</v>
    <v>1545095</v>
    <v>2335165</v>
    <v>USD</v>
  </rv>
  <rv s="2">
    <v>1256</v>
  </rv>
  <rv s="3">
    <fb>64.739999999999995</fb>
    <v>6</v>
  </rv>
  <rv s="0">
    <v>https://www.bing.com/financeapi/forcetrigger?t=a1yv52&amp;q=XNAS%3aNVDA&amp;form=skydnc</v>
    <v>Learn more on Bing</v>
  </rv>
  <rv s="1">
    <v>0</v>
    <v>1</v>
    <v>NVIDIA CORPORATION (XNAS:NVDA)</v>
    <v>3</v>
    <v>4</v>
    <v>Finance</v>
    <v>5</v>
    <v>de-DE</v>
    <v>a1yv52</v>
    <v>268435456</v>
    <v>1</v>
    <v>Unterstützt von Refinitiv</v>
    <v>212.18989999999999</v>
    <v>86.62</v>
    <v>1.35</v>
    <v>7.7410000000000005E-3</v>
    <v>24300000000</v>
    <v>Die NVIDIA Corporation ist ein Unternehmen für die komplette Computerinfrastruktur. Das Unternehmen beschäftigt sich mit beschleunigtem Computing, um die anspruchsvollen Computerprobleme zu lösen. Zu den Segmenten des Unternehmens gehören Compute &amp; Networking und Graphics. Das Segment Compute &amp; Networking umfasst seine Rechenzentrums-beschleunigten Computerplattformen sowie Lösungen und Software für künstliche Intelligenz (KI), Netzwerke, Automobilplattformen und Lösungen für autonome und Elektrofahrzeuge, Jetson für Robotik und andere Embedded-Plattformen sowie DGX Cloud Computing-Services. Das Grafiksegment umfasst GeForce GPUs für Spiele und PCs, den GeForce NOW Game Streaming Service und die zugehörige Infrastruktur sowie Lösungen für Gaming-Plattformen, Quadro/NVIDIA RTX GPUs für Enterprise-Workstations-Grafiken, virtuelle GPU-Software für Cloud-basiertes visuelles und virtuelles Computing, Automobilplattformen für Infotainment-Systeme und Omniverse Enterprise-Software für die Erstellung und den Betrieb dreidimensionaler Internetanwendungen.</v>
    <v>2.3347000000000002</v>
    <v>4270725000000</v>
    <v>Nasdaq Stock Market</v>
    <v>XNAS</v>
    <v>XNAS</v>
    <v>2788 San Tomas Expressway, SANTA CLARA, CA, 95051 US</v>
    <v>177.37</v>
    <v>Semiconductors &amp; Semiconductor Equipment</v>
    <v>Aktie</v>
    <v>35.854500000000002</v>
    <v>1259</v>
    <v>46113.999972060155</v>
    <v>42000</v>
    <v>NVIDIA CORPORATION</v>
    <v>174.75</v>
    <v>NVIDIA CORPORATION</v>
    <v>176</v>
    <v>175.75</v>
    <v>174.4</v>
    <v>NVDA</v>
    <v>NVIDIA CORPORATION (XNAS:NVDA)</v>
    <v>1998</v>
    <v>982245</v>
    <v>198009298</v>
    <v>USD</v>
  </rv>
  <rv s="2">
    <v>1260</v>
  </rv>
  <rv s="3">
    <fb>167.52</fb>
    <v>6</v>
  </rv>
  <rv s="0">
    <v>https://www.bing.com/financeapi/forcetrigger?t=a1nfvh&amp;q=XNYS%3aAMP&amp;form=skydnc</v>
    <v>Learn more on Bing</v>
  </rv>
  <rv s="1">
    <v>0</v>
    <v>1</v>
    <v>AMERIPRISE FINANCIAL, INC. (XNYS:AMP)</v>
    <v>3</v>
    <v>4</v>
    <v>Finance</v>
    <v>5</v>
    <v>de-DE</v>
    <v>a1nfvh</v>
    <v>268435456</v>
    <v>1</v>
    <v>Unterstützt von Refinitiv</v>
    <v>550.17999999999995</v>
    <v>396.14</v>
    <v>-7.73</v>
    <v>-1.7394E-2</v>
    <v>90689670</v>
    <v>Ameriprise Financial, Inc. ist ein diversifiziertes Finanzdienstleistungsunternehmen. Zu den Geschäftsbereichen des Unternehmens gehören Beratung &amp; Vermögensverwaltung, Vermögensverwaltung, Ruhestands- &amp; Absicherungslösungen sowie Unternehmen &amp; Sonstiges. Das Segment Advice &amp; Wealth Management bietet Finanzplanung und -beratung sowie Full-Service-Brokerage-Dienstleistungen, hauptsächlich für Privatkunden durch die Berater des Unternehmens. Das Segment Asset Management bietet unter der Marke Columbia Threadneedle Investments Anlageverwaltung, -beratung und -produkte für Privatkunden, vermögende Privatkunden und institutionelle Kunden auf globaler Ebene. Das Unternehmen bietet institutionelle Produkte und Dienstleistungen über seine institutionellen Vertriebsmitarbeiter an. Das Segment Retirement &amp; Protection Solutions umfasst Ruhestandslösungen (Variable Annuities und Payout Annuities) und Absicherungslösungen (Lebens- und Berufsunfähigkeitsversicherungen). Retirement Solutions bietet Einzelkunden variable Rentenprodukte von RiverSource Life-Unternehmen an.</v>
    <v>1.2661</v>
    <v>39601458198</v>
    <v>New York Stock Exchange</v>
    <v>XNYS</v>
    <v>XNYS</v>
    <v>1099 Ameriprise Financial Center, MINNEAPOLIS, MN, 55474 US</v>
    <v>449.58499999999998</v>
    <v>Investment Banking &amp; Investment Services</v>
    <v>Aktie</v>
    <v>12.0053</v>
    <v>1263</v>
    <v>46113.999612626561</v>
    <v>13600</v>
    <v>AMERIPRISE FINANCIAL, INC.</v>
    <v>427.15</v>
    <v>AMERIPRISE FINANCIAL, INC.</v>
    <v>448.49</v>
    <v>436.67</v>
    <v>444.4</v>
    <v>AMP</v>
    <v>AMERIPRISE FINANCIAL, INC. (XNYS:AMP)</v>
    <v>1983</v>
    <v>1</v>
    <v>693564</v>
    <v>USD</v>
  </rv>
  <rv s="2">
    <v>1264</v>
  </rv>
  <rv s="3">
    <fb>436.81</fb>
    <v>6</v>
  </rv>
  <rv s="0">
    <v>https://www.bing.com/financeapi/forcetrigger?t=a1zutc&amp;q=XNYS%3aPHM&amp;form=skydnc</v>
    <v>Learn more on Bing</v>
  </rv>
  <rv s="1">
    <v>0</v>
    <v>1</v>
    <v>PULTEGROUP, INC. (XNYS:PHM)</v>
    <v>3</v>
    <v>4</v>
    <v>Finance</v>
    <v>19</v>
    <v>de-DE</v>
    <v>a1zutc</v>
    <v>268435456</v>
    <v>1</v>
    <v>Unterstützt von Refinitiv</v>
    <v>144.495</v>
    <v>88.07</v>
    <v>-0.46</v>
    <v>-3.9110000000000004E-3</v>
    <v>191589200</v>
    <v>PulteGroup, Inc. Ist ein Homebuilder in den USA. Zu den Segmenten des Unternehmens gehören Homebuilding und Financial Services. Die Hausbautätigkeit umfasst den Erwerb und die Erschließung von Grundstücken, die hauptsächlich für Wohnzwecke in den Vereinigten Staaten bestimmt sind, sowie den Bau von Wohnungen auf solchen Grundstücken. Das Geschäftsfeld Finanzdienstleistungen umfasst Hypothekenbanken, Titel- und Versicherungsagenturen über Pulte Mortgage LLC (Pulte Mortgage) und andere Tochtergesellschaften. Pulte Mortgage organisiert Finanzierungen durch die Vergabe von Hypothekarkrediten hauptsächlich zugunsten der Eigenheimkäufer. Der Hausbau gliedert sich in sechs Segmente: Nordosten, Südosten, Florida, Mittleren Westen, Texas und West. Das Unternehmen bietet seinen Kundengruppen durch sein Markenportfolio, das Centex, Pulte Homes, Del Webb, DiVosta Homes, American West und John Wieland Homes und Quarties umfasst, eine Vielzahl von Wohndesigns mit unterschiedlichen Optionen und Annehmlichkeiten.</v>
    <v>1.3418000000000001</v>
    <v>22444674780</v>
    <v>New York Stock Exchange</v>
    <v>XNYS</v>
    <v>XNYS</v>
    <v>3350 Peachtree Road Northeast, Suite 1500, ATLANTA, GA, 30326 US</v>
    <v>118.82</v>
    <v>Homebuilding &amp; Construction Supplies</v>
    <v>Aktie</v>
    <v>10.538500000000001</v>
    <v>1267</v>
    <v>46113.958333344533</v>
    <v>6506</v>
    <v>PULTEGROUP, INC.</v>
    <v>116.65</v>
    <v>PULTEGROUP, INC.</v>
    <v>117.58</v>
    <v>117.15</v>
    <v>117.61</v>
    <v>PHM</v>
    <v>PULTEGROUP, INC. (XNYS:PHM)</v>
    <v>1987</v>
    <v>2084779</v>
    <v>1839245</v>
    <v>USD</v>
  </rv>
  <rv s="2">
    <v>1268</v>
  </rv>
  <rv s="3">
    <fb>114.63</fb>
    <v>6</v>
  </rv>
  <rv s="0">
    <v>https://www.bing.com/financeapi/forcetrigger?t=a1w6zr&amp;q=XNAS%3aJKHY&amp;form=skydnc</v>
    <v>Learn more on Bing</v>
  </rv>
  <rv s="1">
    <v>0</v>
    <v>1</v>
    <v>JACK HENRY &amp; ASSOCIATES, INC. (XNAS:JKHY)</v>
    <v>3</v>
    <v>4</v>
    <v>Finance</v>
    <v>19</v>
    <v>de-DE</v>
    <v>a1w6zr</v>
    <v>268435456</v>
    <v>1</v>
    <v>Unterstützt von Refinitiv</v>
    <v>193.39</v>
    <v>144.12</v>
    <v>-2.41</v>
    <v>-1.5248999999999999E-2</v>
    <v>72167370</v>
    <v>Jack Henry &amp; Associates, Inc. Ist ein Finanztechnologieunternehmen. Zu den Segmenten des Unternehmens gehören Core, Payments, Complement und Corporate and Other. Das Segment Core bietet Banken und Kreditgenossenschaften zentrale Informationsplattformen, die aus integrierten Anwendungen bestehen, die zur Verarbeitung von Einzahlungen, Krediten und Hauptbuchtransaktionen sowie zur Verwaltung zentralisierter Kunden-/Mitgliederinformationen erforderlich sind. Das Segment Payments bietet Tools und Services für die sichere Zahlungsverarbeitung, darunter automatisierte Kassenautomaten, Debit- und Kreditkartenverarbeitung, Online- und mobile Rechnungszahlungslösungen, automatisierte Erstellung von Clearingstellen und Remote-Erfassung von Einzahlungen sowie Produkte und Dienstleistungen für das Risikomanagement. Das ergänzende Segment bietet zusätzliche Software, gehostete Verarbeitungsplattformen und Dienstleistungen, darunter digitales/mobiles Banking, Treasury Services, Online-Kontoeröffnung, Betrugs-/Geldwäschebekämpfung und Kreditvergabe-/Einzahlungslösungen, die in die Kernlösungen integriert werden können.</v>
    <v>0.71860000000000002</v>
    <v>11231407793</v>
    <v>Nasdaq Stock Market</v>
    <v>XNAS</v>
    <v>XNAS</v>
    <v>PO BOX 807, 663 HWY 60, MONETT, MO, 65708-0807 US</v>
    <v>158.15</v>
    <v>Software &amp; IT Services</v>
    <v>Aktie</v>
    <v>22.341000000000001</v>
    <v>1271</v>
    <v>46113.986578032032</v>
    <v>7240</v>
    <v>JACK HENRY &amp; ASSOCIATES, INC.</v>
    <v>154.28</v>
    <v>JACK HENRY &amp; ASSOCIATES, INC.</v>
    <v>158.15</v>
    <v>155.63</v>
    <v>158.04</v>
    <v>JKHY</v>
    <v>JACK HENRY &amp; ASSOCIATES, INC. (XNAS:JKHY)</v>
    <v>1985</v>
    <v>997918</v>
    <v>987911</v>
    <v>USD</v>
  </rv>
  <rv s="2">
    <v>1272</v>
  </rv>
  <rv s="3">
    <fb>153.31</fb>
    <v>6</v>
  </rv>
  <rv s="0">
    <v>https://www.bing.com/financeapi/forcetrigger?t=aythxm&amp;q=XNYS%3aVICI&amp;form=skydnc</v>
    <v>Learn more on Bing</v>
  </rv>
  <rv s="1">
    <v>0</v>
    <v>1</v>
    <v>VICI PROPERTIES INC. (XNYS:VICI)</v>
    <v>3</v>
    <v>4</v>
    <v>Finance</v>
    <v>5</v>
    <v>de-DE</v>
    <v>aythxm</v>
    <v>268435456</v>
    <v>1</v>
    <v>Unterstützt von Refinitiv</v>
    <v>34.01</v>
    <v>26.55</v>
    <v>0.14000000000000001</v>
    <v>5.1240000000000001E-3</v>
    <v>1068989000</v>
    <v>VICI Properties Inc. Ist ein Real Estate Investment Trust (REIT). Das Unternehmen ist im Besitz und Erwerb von Glücksspiel-, Gastgewerbe-, Wellness-, Unterhaltungs- und Freizeitzielen tätig, die langfristigen dreifachen Netto-Leasingverträgen unterliegen. Das Unternehmen besitzt 93 Erfahrungswerte in einem geografisch vielfältigen Portfolio, bestehend aus 54 Spielehäusern und 39 weiteren Erlebnisobjekten in den Vereinigten Staaten und Kanada, einschließlich Caesars Palace Las Vegas, MGM Grand und dem Venetian Resort Las Vegas (The Venetian Resort). Das Portfolio umfasst über 127 Millionen Quadratmeter und umfasst rund 60.300 Hotelzimmer sowie über 500 Restaurants, Bars, Nachtclubs und Sportwetten. Seine Immobilien werden von Glücksspiel-, Freizeit- und Gaststättenbetreibern im Rahmen langfristiger, dreifacher Leasingverträge besetzt. Das Unternehmen besitzt außerdem vier Meisterschaftsgolfplätze und rund 33 Hektar unbebautes und unterentwickeltes Land neben dem Las Vegas Strip.</v>
    <v>0.72840000000000005</v>
    <v>29354437940</v>
    <v>New York Stock Exchange</v>
    <v>XNYS</v>
    <v>XNYS</v>
    <v>535 Madison Avenue, 28Th Floor, NEW YORK, NY, 10022 US</v>
    <v>27.53</v>
    <v>Residential &amp; Commercial REIT</v>
    <v>Aktie</v>
    <v>10.5129</v>
    <v>1275</v>
    <v>46113.999285046091</v>
    <v>28</v>
    <v>VICI PROPERTIES INC.</v>
    <v>27.19</v>
    <v>VICI PROPERTIES INC.</v>
    <v>27.32</v>
    <v>27.46</v>
    <v>27.32</v>
    <v>VICI</v>
    <v>VICI PROPERTIES INC. (XNYS:VICI)</v>
    <v>2017</v>
    <v>999</v>
    <v>10127977</v>
    <v>USD</v>
  </rv>
  <rv s="2">
    <v>1276</v>
  </rv>
  <rv s="3">
    <fb>26.61</fb>
    <v>6</v>
  </rv>
  <rv s="0">
    <v>https://www.bing.com/financeapi/forcetrigger?t=a1mptc&amp;q=XNYS%3aABC&amp;form=skydnc</v>
    <v>Learn more on Bing</v>
  </rv>
  <rv s="1">
    <v>0</v>
    <v>1</v>
    <v>CENCORA, INC. (XNYS:COR)</v>
    <v>3</v>
    <v>4</v>
    <v>Finance</v>
    <v>5</v>
    <v>de-DE</v>
    <v>a1mptc</v>
    <v>268435456</v>
    <v>1</v>
    <v>Unterstützt von Refinitiv</v>
    <v>377.54</v>
    <v>267.39890000000003</v>
    <v>3.52</v>
    <v>1.1205E-2</v>
    <v>194530700</v>
    <v>Cencora, Inc. Ist ein weltweit tätiges Unternehmen für pharmazeutische Beschaffung und Vertrieb. Das Unternehmen hilft sowohl Gesundheitsdienstleistern als auch Pharma- und Biotech-Herstellern, den Zugang zu Produkten für Patienten zu verbessern und die Patientenversorgung zu verbessern. Das Unternehmen ist in zwei Segmenten tätig: U.S. Healthcare Solutions und International Healthcare Solutions. Das Segment U.S. Healthcare Solutions vertreibt ein umfassendes Angebot an Markennamen, Spezialmarkennamen und generischen Arzneimitteln, frei verkäuflichen Gesundheitsprodukten, Haushaltsgeräten und -Geräten sowie zugehörigen Dienstleistungen an eine Vielzahl von Gesundheitsdienstleistern, darunter Akutkrankenhäuser und Gesundheitssysteme, unabhängige und Kettenapotheken, Apotheken für Langzeitpflege und alternative Standorte sowie andere Kunden. Das Segment International Healthcare Solutions besteht aus Unternehmen, die sich auf den internationalen pharmazeutischen Großhandel und damit zusammenhängende Dienstleistungen sowie globale Vermarktungsdienstleistungen konzentrieren.</v>
    <v>0.71819999999999995</v>
    <v>61794622162</v>
    <v>New York Stock Exchange</v>
    <v>XNYS</v>
    <v>XNYS</v>
    <v>1 West First Avenue, CONSHOHOCKEN, PA, 19428 US</v>
    <v>319.86500000000001</v>
    <v>Healthcare Equipment &amp; Supplies</v>
    <v>Aktie</v>
    <v>38.208100000000002</v>
    <v>1279</v>
    <v>46113.958333356248</v>
    <v>51000</v>
    <v>CENCORA, INC.</v>
    <v>313.22000000000003</v>
    <v>CENCORA, INC.</v>
    <v>313.7</v>
    <v>317.66000000000003</v>
    <v>314.14</v>
    <v>COR</v>
    <v>CENCORA, INC. (XNYS:COR)</v>
    <v>2001</v>
    <v>21</v>
    <v>1454799</v>
    <v>USD</v>
  </rv>
  <rv s="2">
    <v>1280</v>
  </rv>
  <rv s="3">
    <fb>312.45</fb>
    <v>6</v>
  </rv>
  <rv s="0">
    <v>https://www.bing.com/financeapi/forcetrigger?t=a1nllh&amp;q=XNYS%3aAPH&amp;form=skydnc</v>
    <v>Learn more on Bing</v>
  </rv>
  <rv s="1">
    <v>0</v>
    <v>1</v>
    <v>AMPHENOL CORPORATION (XNYS:APH)</v>
    <v>3</v>
    <v>4</v>
    <v>Finance</v>
    <v>5</v>
    <v>de-DE</v>
    <v>a1nllh</v>
    <v>268435456</v>
    <v>1</v>
    <v>Unterstützt von Refinitiv</v>
    <v>167.04</v>
    <v>56.45</v>
    <v>1.35</v>
    <v>1.0685E-2</v>
    <v>1229215000</v>
    <v>Amphenol Corporation ist ein Entwickler, Hersteller und Vermarkter von elektrischen, elektronischen und faseroptischen Steckverbindern und Verbindungssystemen, Antennen, Sensoren und sensorgestützten Produkten sowie Koaxial- und Hochgeschwindigkeits-Spezialkabeln. Das Unternehmen ist in drei Segmenten tätig. Das Harsh Environment Solutions segment (Lösungen für raue Umgebungen) entwickelt, fertigt und vermarktet eine Reihe von robusten Verbindungsprodukten und anderen Produkten für den Einsatz in der Industrie, im Verteidigungsbereich, in der kommerziellen Luft- und Raumfahrt, in der Automobilindustrie, in mobilen Netzwerken, in der Medizin und in anderen Märkten. Das Communications Solutions segment entwickelt, produziert und vermarktet eine Reihe von Steckverbindern und Verbindungssystemen für den Einsatz in den Bereichen Informationstechnologie und Datenkommunikation, mobile Geräte, Industrie, mobile Netzwerke, Breitbandkommunikation, Automobilbau, kommerzielle Luft- und Raumfahrt und Verteidigung. Das Interconnect and Sensor Systems segment entwickelt, produziert und vermarktet eine Reihe von Sensoren, sensorbasierten Systemen, Steckverbindern und wertsteigernden Verbindungssystemen.</v>
    <v>1.2602</v>
    <v>156970755500</v>
    <v>New York Stock Exchange</v>
    <v>XNYS</v>
    <v>XNYS</v>
    <v>358 HALL AVE, WALLINGFORD, CT, 06492 US</v>
    <v>129.72999999999999</v>
    <v>Electronic Equipment &amp; Parts</v>
    <v>Aktie</v>
    <v>38.2027</v>
    <v>1283</v>
    <v>46113.999630693746</v>
    <v>170000</v>
    <v>AMPHENOL CORPORATION</v>
    <v>127.16</v>
    <v>AMPHENOL CORPORATION</v>
    <v>127.17</v>
    <v>127.7</v>
    <v>126.35</v>
    <v>APH</v>
    <v>AMPHENOL CORPORATION (XNYS:APH)</v>
    <v>1986</v>
    <v>194</v>
    <v>9919938</v>
    <v>USD</v>
  </rv>
  <rv s="2">
    <v>1284</v>
  </rv>
  <rv s="3">
    <fb>123.62</fb>
    <v>6</v>
  </rv>
  <rv s="0">
    <v>http://zh.wikipedia.org/wiki/OMX</v>
    <v>Wikipedia</v>
  </rv>
  <rv s="6">
    <v>35</v>
    <v>1287</v>
  </rv>
  <rv s="7">
    <v>18</v>
    <v>https://www.bing.com/th?id=AMMS_ca29f5ea4bb769bc6f9c17b9fef790ab&amp;qlt=95</v>
    <v>1288</v>
    <v>0</v>
    <v>https://www.bing.com/images/search?form=xlimg&amp;q=nasdaq+omx+group</v>
    <v>Image of NASDAQ, INC.</v>
  </rv>
  <rv s="0">
    <v>https://www.bing.com/financeapi/forcetrigger?t=a1ydc7&amp;q=XNAS%3aNDAQ&amp;form=skydnc</v>
    <v>Learn more on Bing</v>
  </rv>
  <rv s="8">
    <v>13</v>
    <v>14</v>
    <v>NASDAQ, INC. (XNAS:NDAQ)</v>
    <v>16</v>
    <v>17</v>
    <v>Finance</v>
    <v>19</v>
    <v>de-DE</v>
    <v>a1ydc7</v>
    <v>268435456</v>
    <v>1</v>
    <v>Unterstützt von Refinitiv</v>
    <v>101.785</v>
    <v>64.84</v>
    <v>0.26</v>
    <v>3.0630000000000002E-3</v>
    <v>568443800</v>
    <v>NASDAQ, Inc. Ist ein globales Technologieunternehmen, das Unternehmenskunden, Anlagemanagern, Banken, Brokern und Börsenbetreibern bei der Navigation und Interaktion mit den globalen Kapitalmärkten und dem Finanzsystem im weiteren Sinne zur Seite steht. Das Unternehmen verwaltet, betreibt und bietet seine Produkte und Dienstleistungen in drei Geschäftssegmenten an: Capital Access Platforms, Financial Technology und Market Services. Das Segment Capital Access Platforms umfasst Data &amp; Listing Services, Index sowie Workflow &amp; Insights. Das Segment Financial Technology umfasst die Geschäftsbereiche Financial Crime Management Technology, Regulatory Technology und Capital Markets Technology. Das Marktdienstleistungssegment umfasst den Handel und das Clearing von Aktienderivaten, den Handel mit Baraktien, den Handel mit festverzinslichen Wertpapieren, den Währungs- und Rohstoffhandel. Es betreibt über 19 Börsen in verschiedenen Anlageklassen, darunter Derivate, Rohstoffe, Barkapital, Schulden, strukturierte Produkte und börsengehandelte Produkte (ETP).</v>
    <v>1.0241</v>
    <v>1289</v>
    <v>48402989570</v>
    <v>Nasdaq Stock Market</v>
    <v>XNAS</v>
    <v>XNAS</v>
    <v>151 W. 42Nd Street, NEW YORK, NY, 10036 US</v>
    <v>85.88</v>
    <v>Investment Banking &amp; Investment Services</v>
    <v>Aktie</v>
    <v>27.5486</v>
    <v>1290</v>
    <v>46113.997209571091</v>
    <v>9525</v>
    <v>NASDAQ, INC.</v>
    <v>84.18</v>
    <v>NASDAQ, INC.</v>
    <v>85.6</v>
    <v>85.15</v>
    <v>84.89</v>
    <v>NDAQ</v>
    <v>NASDAQ, INC. (XNAS:NDAQ)</v>
    <v>1979</v>
    <v>547</v>
    <v>3690995</v>
    <v>USD</v>
  </rv>
  <rv s="2">
    <v>1291</v>
  </rv>
  <rv s="3">
    <fb>81.48</fb>
    <v>6</v>
  </rv>
  <rv s="0">
    <v>https://www.bing.com/financeapi/forcetrigger?t=a22ydm&amp;q=XNYS%3aSIG&amp;form=skydnc</v>
    <v>Learn more on Bing</v>
  </rv>
  <rv s="11">
    <v>33</v>
    <v>34</v>
    <v>Signet Jewelers Limited (XNYS:SIG)</v>
    <v>3</v>
    <v>35</v>
    <v>Finance</v>
    <v>36</v>
    <v>de-DE</v>
    <v>a22ydm</v>
    <v>268435456</v>
    <v>1</v>
    <v>Unterstützt von Refinitiv</v>
    <v>110.2</v>
    <v>49.99</v>
    <v>2.84</v>
    <v>3.3554E-2</v>
    <v>40067770</v>
    <v>Signet Jewelers Ltd ist eine Holdinggesellschaft mit Sitz auf den Bermudas. Sie ist ein Einzelhandelsunternehmen für Diamantschmuck. Das Unternehmen ist über seine 100%igen Tochtergesellschaften tätig und verkauft hauptsächlich in den Vereinigten Staaten (USA), im Vereinigten Königreich (UK) und in Kanada. Das Unternehmen führt seine Geschäfte über drei berichtspflichtige Segmente: North America, International, and Other. Das North America segment ist in den Vereinigten Staaten und Kanada tätig. Die Geschäfte in den Vereinigten Staaten werden landesweit in Einkaufszentren und außerhalb von Einkaufszentren sowie online betrieben, hauptsächlich als Kay (Kay Jewelers und Kay Outlet), Zales (Zales Jewelers und Zales Outlet), Jared (Jared Jewelers und Jared Vault), Diamonds Direct, Banter by Piercing Pagoda, Rocksbox und die digitalen Marken James Allen und Blue Nile. Die kanadischen Geschäfte firmieren unter dem Namen Peoples Jewelers. Das International segment betreibt Geschäfte im Vereinigten Königreich und in der Republik Irland sowie ein Online-Geschäft. Das Other segment besteht aus Tochtergesellschaften, die sich mit dem Ankauf und der Umwandlung von Rohdiamanten in geschliffene Steine befassen.</v>
    <v>1.2502</v>
    <v>3505128519</v>
    <v>New York Stock Exchange</v>
    <v>XNYS</v>
    <v>XNYS</v>
    <v>Clarendon House, 2 Church Street, HAMILTON, HM 11 BM</v>
    <v>87.68</v>
    <v>Specialty Retailers</v>
    <v>Aktie</v>
    <v>26.026299999999999</v>
    <v>1294</v>
    <v>46113.958333344533</v>
    <v>27097</v>
    <v>Signet Jewelers Limited</v>
    <v>83.34</v>
    <v>Signet Jewelers Limited</v>
    <v>84.42</v>
    <v>87.48</v>
    <v>86.92</v>
    <v>84.64</v>
    <v>SIG</v>
    <v>Signet Jewelers Limited (XNYS:SIG)</v>
    <v>2008</v>
    <v>-0.56000000000000005</v>
    <v>-6.4010000000000004E-3</v>
    <v>774496</v>
    <v>1192447</v>
    <v>USD</v>
  </rv>
  <rv s="2">
    <v>1295</v>
  </rv>
  <rv s="3">
    <fb>84.04</fb>
    <v>6</v>
  </rv>
  <rv s="0">
    <v>https://www.bing.com/financeapi/forcetrigger?t=bqejrw&amp;q=XNYS%3aAMCR&amp;form=skydnc</v>
    <v>Learn more on Bing</v>
  </rv>
  <rv s="1">
    <v>0</v>
    <v>1</v>
    <v>AMCOR PLC (XNYS:AMCR)</v>
    <v>3</v>
    <v>4</v>
    <v>Finance</v>
    <v>5</v>
    <v>de-DE</v>
    <v>bqejrw</v>
    <v>268435456</v>
    <v>1</v>
    <v>Unterstützt von Refinitiv</v>
    <v>50.94</v>
    <v>37.945</v>
    <v>0.95</v>
    <v>2.3899E-2</v>
    <v>462045700</v>
    <v>Amcor plc beschäftigt sich mit Verpackungslösungen für Verbraucher- und Gesundheitsprodukte. Das Unternehmen entwickelt nachhaltige Verpackungen in flexiblen und starren Formaten für verschiedene Materialien. Das Unternehmen ist in zwei Segmenten tätig: Flexible und starre Verpackungen. Das Segment Flexibles besteht aus Unternehmen, die flexible Verpackungen und Folienverpackungen in den Bereichen Lebensmittel und Getränke, Medizin und Pharmazie, Frischwaren, Snacks, Körperpflege, und anderen Branchen. Das Segment starre Verpackungen besteht aus Betrieben, die starre Behälter für eine breite Palette vorwiegend Getränke- und Lebensmittelprodukte herstellen, darunter kohlensäurehaltige Erfrischungsgetränke, Wasser, Säfte, Sportgetränke, Getränke auf Milchbasis, Spirituosen und Wein, Soßen, Dressings, Aufstriche und Körperpflegeartikel sowie Kunststoffkappen für eine Vielzahl von Anwendungen. Zu den Tochtergesellschaften des Unternehmens gehören Berry Global Group Inc., Amcor Flexibles North America, Inc., Amcor UK Finance plc, Amcor Finance (USA), Inc. Und andere.</v>
    <v>0.70820000000000005</v>
    <v>18805259990</v>
    <v>New York Stock Exchange</v>
    <v>XNYS</v>
    <v>XNYS</v>
    <v>Thurgauerstrasse 34, ZUERICH, ZUERICH, CH-8050 CH</v>
    <v>40.935000000000002</v>
    <v>Containers &amp; Packaging</v>
    <v>Aktie</v>
    <v>26.615600000000001</v>
    <v>1298</v>
    <v>46113.99970836797</v>
    <v>42000</v>
    <v>AMCOR PLC</v>
    <v>40</v>
    <v>AMCOR PLC</v>
    <v>40</v>
    <v>40.700000000000003</v>
    <v>39.75</v>
    <v>AMCR</v>
    <v>AMCOR PLC (XNYS:AMCR)</v>
    <v>2018</v>
    <v>1</v>
    <v>7087868</v>
    <v>USD</v>
  </rv>
  <rv s="2">
    <v>1299</v>
  </rv>
  <rv s="3">
    <fb>38.619999999999997</fb>
    <v>6</v>
  </rv>
  <rv s="0">
    <v>https://www.bing.com/financeapi/forcetrigger?t=a2627w&amp;q=XNYS%3aWSM&amp;form=skydnc</v>
    <v>Learn more on Bing</v>
  </rv>
  <rv s="1">
    <v>0</v>
    <v>1</v>
    <v>WILLIAMS-SONOMA, INC. (XNYS:WSM)</v>
    <v>3</v>
    <v>4</v>
    <v>Finance</v>
    <v>5</v>
    <v>de-DE</v>
    <v>a2627w</v>
    <v>268435456</v>
    <v>1</v>
    <v>Unterstützt von Refinitiv</v>
    <v>222</v>
    <v>130.07</v>
    <v>-1.96</v>
    <v>-1.0749999999999999E-2</v>
    <v>119016100</v>
    <v>Williams-Sonoma, Inc. Ist ein kanalübergreifender Spezialhändler für Produkte für den Haushalt. Seine Produkte repräsentieren unterschiedliche Warenstrategien wie Williams Sonoma, Pottery Barn, Pottery Barn Kids, Pottery Barn Teen, West Elm, Williams Sonoma Home, Rejuvenation, Mark and Graham und GreenRow werden über E-Commerce-Websites, Einzelhandelsgeschäfte und Direct-Mail-Kataloge vermarktet. Diese Marken sind auch Teil des Key Rewards, des Treueprogramms und Kreditkartenprogramms, das Mitgliedern Vorteile für die Williams-Sonoma-Markenfamilie bietet. Williams Sonoma Produkte bieten alles zum Kochen, Essen und Unterhaltung, einschließlich Kochgeschirr, Werkzeuge, Elektrik, Besteck, Tischplatte und Bar, Outdoor, Möbel und eine große Bibliothek mit Kochbüchern. Das Unternehmen ist in den USA, Puerto Rico, Kanada, Australien und Großbritannien tätig, bietet internationalen Versand an Kunden weltweit an und hat nicht verbundene Franchisenehmer, die Filialen im Nahen Osten, auf den Philippinen, Mexiko, Südkorea und Indien betreiben.</v>
    <v>1.5779000000000001</v>
    <v>21466933957</v>
    <v>New York Stock Exchange</v>
    <v>XNYS</v>
    <v>XNYS</v>
    <v>3250 Van Ness Avenue, SAN FRANCISCO, CA, 94109 US</v>
    <v>182.76</v>
    <v>Specialty Retailers</v>
    <v>Aktie</v>
    <v>19.8856</v>
    <v>1302</v>
    <v>46113.958333333336</v>
    <v>19800</v>
    <v>WILLIAMS-SONOMA, INC.</v>
    <v>177.79</v>
    <v>WILLIAMS-SONOMA, INC.</v>
    <v>179.95</v>
    <v>180.37</v>
    <v>182.33</v>
    <v>WSM</v>
    <v>WILLIAMS-SONOMA, INC. (XNYS:WSM)</v>
    <v>2011</v>
    <v>1</v>
    <v>1440889</v>
    <v>USD</v>
  </rv>
  <rv s="2">
    <v>1303</v>
  </rv>
  <rv s="3">
    <fb>175.29</fb>
    <v>6</v>
  </rv>
  <rv s="0">
    <v>https://www.bing.com/financeapi/forcetrigger?t=a1x8z2&amp;q=XNYS%3aMAA&amp;form=skydnc</v>
    <v>Learn more on Bing</v>
  </rv>
  <rv s="1">
    <v>0</v>
    <v>1</v>
    <v>MID-AMERICA APARTMENT COMMUNITIES, INC. (XNYS:MAA)</v>
    <v>3</v>
    <v>4</v>
    <v>Finance</v>
    <v>5</v>
    <v>de-DE</v>
    <v>a1x8z2</v>
    <v>268435456</v>
    <v>1</v>
    <v>Unterstützt von Refinitiv</v>
    <v>169.02</v>
    <v>120.3</v>
    <v>0.43</v>
    <v>3.5210000000000003E-3</v>
    <v>116901000</v>
    <v>Mid-America Apartment Communities, Inc. ist ein auf Mehrfamilienhäuser ausgerichteter, selbstverwalteter und selbstgeführter Real Estate Investment Trust. Das Unternehmen besitzt, betreibt, erwirbt und entwickelt selektiv Apartmentgemeinschaften, die hauptsächlich im Südosten, Südwesten und in den mittelatlantischen Regionen der Vereinigten Staaten liegen. Zu den Segmenten gehören Same Store, Non-Same Store und Sonstige. Das Segment Same Store umfasst diejenigen Wohnanlagen, die sich zum ersten Tag des Kalenderjahres seit mindestens 12 Monaten im Besitz des Unternehmens befinden und stabilisiert sind. Das Segment Non-Same-Store und Sonstiges umfasst kürzlich erworbene Wohnanlagen, Wohnanlagen, die sich in der Entwicklung oder im Vermietungsprozess befinden, Wohnanlagen, die veräußert wurden oder für eine Veräußerung vorgesehen sind, und andere. Das Segment Non-Same Store und Sonstiges umfasst auch Aktivitäten außerhalb des Mehrfamilienhauses und Aufwendungen im Zusammenhang mit Unwetterereignissen. Das Unternehmen besitzt Eigentumsanteile an Wohneinheiten, einschließlich in der Entwicklung befindlicher Wohnanlagen, in 16 Bundesstaaten und dem District of Columbia.</v>
    <v>0.78979999999999995</v>
    <v>14326217550</v>
    <v>New York Stock Exchange</v>
    <v>XNYS</v>
    <v>XNYS</v>
    <v>6815 Poplar Avenue, Suite 500, GERMANTOWN, TN, 38138 US</v>
    <v>123.23</v>
    <v>Residential &amp; Commercial REIT</v>
    <v>Aktie</v>
    <v>32.373800000000003</v>
    <v>1306</v>
    <v>46113.958333344533</v>
    <v>2507</v>
    <v>MID-AMERICA APARTMENT COMMUNITIES, INC.</v>
    <v>121.6</v>
    <v>MID-AMERICA APARTMENT COMMUNITIES, INC.</v>
    <v>121.6</v>
    <v>122.55</v>
    <v>122.12</v>
    <v>MAA</v>
    <v>MID-AMERICA APARTMENT COMMUNITIES, INC. (XNYS:MAA)</v>
    <v>1993</v>
    <v>1151269</v>
    <v>947378</v>
    <v>USD</v>
  </rv>
  <rv s="2">
    <v>1307</v>
  </rv>
  <rv s="3">
    <fb>120.57</fb>
    <v>6</v>
  </rv>
  <rv s="0">
    <v>https://www.bing.com/financeapi/forcetrigger?t=a1xp2w&amp;q=XNYS%3aMLM&amp;form=skydnc</v>
    <v>Learn more on Bing</v>
  </rv>
  <rv s="1">
    <v>0</v>
    <v>1</v>
    <v>MARTIN MARIETTA MATERIALS, INC. (XNYS:MLM)</v>
    <v>3</v>
    <v>4</v>
    <v>Finance</v>
    <v>5</v>
    <v>de-DE</v>
    <v>a1xp2w</v>
    <v>268435456</v>
    <v>1</v>
    <v>Unterstützt von Refinitiv</v>
    <v>710.97</v>
    <v>441.94499999999999</v>
    <v>10.24</v>
    <v>1.7395000000000001E-2</v>
    <v>60312050</v>
    <v>Martin Marietta Materials, Inc. Ist ein auf natürlichen Ressourcen basierendes Baustoffunternehmen. Das Unternehmen liefert Zuschlagstoffe (zerkleinerter Stein, Sand und Kies) über sein Netz von rund 390 Steinbrüchen, Minen und Verteilungswerften in 28 bundesstaaten, Kanada und den Bahamas. Darüber hinaus bietet sie Zement und nachgelagerte Produkte an, nämlich Fertigbeton, Asphalt und Pflasterdienstleistungen auf den Zielmärkten. Das Unternehmen betreibt sein Baustoffgeschäft in zwei Segmenten, die nach Geografie geordnet sind: East Group und West Group. Die Ostgruppe liefert Zuschlagstoffe und Asphaltprodukte. Die West-Gruppe bietet Zuschlagstoffe, Zement, nachgelagerte Produkte und Pflasterdienstleistungen an. Der Geschäftsbereich Magnesia Specialties des Unternehmens bietet ein umfassendes Sortiment an Magnesiumoxid, Magnesiumhydroxid und dolomitischen Kalkprodukten. Die auf Magnesia basierenden chemischen Produkte werden in Industrie, Landwirtschaft und Umwelt eingesetzt. Außerdem wird dolomitischer Kalk hergestellt, der an Kunden für die Stahlproduktion und Bodenstabilisierung verkauft wird.</v>
    <v>1.1880999999999999</v>
    <v>36122092986</v>
    <v>New York Stock Exchange</v>
    <v>XNYS</v>
    <v>XNYS</v>
    <v>4123 PARKLAKE AVE, RALEIGH, NC, 27612 US</v>
    <v>606.53</v>
    <v>Construction Materials</v>
    <v>Aktie</v>
    <v>34.914700000000003</v>
    <v>1310</v>
    <v>46113.958333344533</v>
    <v>9600</v>
    <v>MARTIN MARIETTA MATERIALS, INC.</v>
    <v>592.28</v>
    <v>MARTIN MARIETTA MATERIALS, INC.</v>
    <v>593.57000000000005</v>
    <v>598.91999999999996</v>
    <v>588.67999999999995</v>
    <v>MLM</v>
    <v>MARTIN MARIETTA MATERIALS, INC. (XNYS:MLM)</v>
    <v>1993</v>
    <v>57</v>
    <v>600436</v>
    <v>USD</v>
  </rv>
  <rv s="2">
    <v>1311</v>
  </rv>
  <rv s="3">
    <fb>570.94000000000005</fb>
    <v>6</v>
  </rv>
  <rv s="0">
    <v>https://www.bing.com/financeapi/forcetrigger?t=a23vdm&amp;q=XNYS%3aSYK&amp;form=skydnc</v>
    <v>Learn more on Bing</v>
  </rv>
  <rv s="11">
    <v>33</v>
    <v>34</v>
    <v>STRYKER CORPORATION (XNYS:SYK)</v>
    <v>3</v>
    <v>35</v>
    <v>Finance</v>
    <v>36</v>
    <v>de-DE</v>
    <v>a23vdm</v>
    <v>268435456</v>
    <v>1</v>
    <v>Unterstützt von Refinitiv</v>
    <v>404.87</v>
    <v>319.32</v>
    <v>0.81</v>
    <v>2.4650000000000002E-3</v>
    <v>382984300</v>
    <v>Stryker Corporation (Stryker) ist ein Medizintechnikunternehmen. Es bietet Produkte und Dienstleistungen in den Bereichen Medizin und Chirurgie, Neurotechnologie, Orthopädie und Wirbelsäule, die helfen, die Ergebnisse von Patienten und Gesundheit zu verbessern. Sie umfasst zwei Segmente: MedSurg und Neurotechnologie sowie Orthopädie und Wirbelsäule. Zu den Produkten gehören chirurgische Geräte und chirurgische Navigationssysteme, endoskopische und Kommunikationssysteme, Patientenhandhabung, medizinische Notfallausrüstung und Einwegprodukte für die Intensivmedizin, Lösungen für die klinische Kommunikation und den Arbeitsablauf, neurochirurgische und neurovaskuläre Geräte, Implantate für Gelenkersatz und Traumaoperationen, Mako Robotic-Arm-Assisted-Technologie, Wirbelsäulengeräte sowie andere Produkte. Es entwickelt auch neurointerventionelle Geräte zur Behandlung intrakranieller Aneurysmen. Es bietet Fortress, ein modulares Wandsystem für Krankenhäuser und ambulante Chirurgische Zentren. Das Unternehmen ist auf Produkte zur Weichgewebsfixierung spezialisiert und bietet KI-gestützte virtuelle Behandlungsabläufe.</v>
    <v>0.92620000000000002</v>
    <v>126155028419</v>
    <v>New York Stock Exchange</v>
    <v>XNYS</v>
    <v>XNYS</v>
    <v>1941 STRYKER WAY, PORTAGE, MI, 49002 US</v>
    <v>331.57</v>
    <v>Healthcare Equipment &amp; Supplies</v>
    <v>Aktie</v>
    <v>39.222099999999998</v>
    <v>1314</v>
    <v>46113.968979027341</v>
    <v>56000</v>
    <v>STRYKER CORPORATION</v>
    <v>326.55</v>
    <v>STRYKER CORPORATION</v>
    <v>329.28</v>
    <v>329.4</v>
    <v>330.05</v>
    <v>328.59</v>
    <v>SYK</v>
    <v>STRYKER CORPORATION (XNYS:SYK)</v>
    <v>1946</v>
    <v>0.65</v>
    <v>1.9729999999999999E-3</v>
    <v>1657168</v>
    <v>2150875</v>
    <v>USD</v>
  </rv>
  <rv s="2">
    <v>1315</v>
  </rv>
  <rv s="3">
    <fb>327.44</fb>
    <v>6</v>
  </rv>
  <rv s="0">
    <v>https://www.bing.com/financeapi/forcetrigger?t=a1wi77&amp;q=XNAS%3aKHC&amp;form=skydnc</v>
    <v>Learn more on Bing</v>
  </rv>
  <rv s="1">
    <v>0</v>
    <v>1</v>
    <v>THE KRAFT HEINZ COMPANY (XNAS:KHC)</v>
    <v>3</v>
    <v>4</v>
    <v>Finance</v>
    <v>5</v>
    <v>de-DE</v>
    <v>a1wi77</v>
    <v>268435456</v>
    <v>1</v>
    <v>Unterstützt von Refinitiv</v>
    <v>31.15</v>
    <v>21.035</v>
    <v>-0.22</v>
    <v>-9.781999999999999E-3</v>
    <v>1183745000</v>
    <v>Das Unternehmen Kraft Heinz produziert und vermarktet Lebensmittel- und Getränkeprodukte auf der ganzen Welt über seine acht kundenorientierten Produktplattformen: Taste Elevation, Easy Ready Meals, umfangreiches Snack, Desserts, Hydration, Käse, Kaffee und Aufschnitt. Das Unternehmen verfügt über zwei berichtspflichtige Segmente, die nach geografischen Regionen definiert sind: Nordamerika und International Developed Markets. Seine anderen Segmente, bestehend aus West and East Emerging Markets (WEEM) und Asia Emerging Markets (AEM), werden zusammengefasst und als Emerging Markets ausgewiesen. Sie stellt ihre Produkte aus einer Vielzahl von Rohstoffen her. Zu den Marken zählen Kraft, Oscar Mayer, Heinz, Philadelphia, Lunchables, Velveeta, Ore-Ida, Capri Sun, Maxwell Apartment, Kool-Aid, Jell-O, Heinz, Golden Circle, Wattie's, Plasmon, Heinz, ABC, Meister, Quero, Kraft, und Pudliszki, unter anderem. Die Produkte des Unternehmens werden über eigene Vertriebsorganisationen und unabhängige Makler, Agenten und Distributoren verkauft.</v>
    <v>5.1400000000000001E-2</v>
    <v>26362001150</v>
    <v>Nasdaq Stock Market</v>
    <v>XNAS</v>
    <v>XNAS</v>
    <v>One Ppg Place, PITTSBURGH, PA, 15222 US</v>
    <v>22.39</v>
    <v>Food &amp; Tobacco</v>
    <v>Aktie</v>
    <v>0</v>
    <v>1318</v>
    <v>46113.999380671092</v>
    <v>35000</v>
    <v>THE KRAFT HEINZ COMPANY</v>
    <v>21.95</v>
    <v>THE KRAFT HEINZ COMPANY</v>
    <v>22.33</v>
    <v>22.27</v>
    <v>22.49</v>
    <v>KHC</v>
    <v>THE KRAFT HEINZ COMPANY (XNAS:KHC)</v>
    <v>2013</v>
    <v>2788</v>
    <v>17148797</v>
    <v>USD</v>
  </rv>
  <rv s="2">
    <v>1319</v>
  </rv>
  <rv s="3">
    <fb>22.04</fb>
    <v>6</v>
  </rv>
  <rv s="0">
    <v>https://www.bing.com/financeapi/forcetrigger?t=a1xg3m&amp;q=XNYS%3aMDT&amp;form=skydnc</v>
    <v>Learn more on Bing</v>
  </rv>
  <rv s="1">
    <v>0</v>
    <v>1</v>
    <v>MEDTRONIC PUBLIC LIMITED COMPANY (XNYS:MDT)</v>
    <v>3</v>
    <v>4</v>
    <v>Finance</v>
    <v>5</v>
    <v>de-DE</v>
    <v>a1xg3m</v>
    <v>268435456</v>
    <v>1</v>
    <v>Unterstützt von Refinitiv</v>
    <v>106.33</v>
    <v>79.55</v>
    <v>-0.59</v>
    <v>-6.8089999999999991E-3</v>
    <v>1283885000</v>
    <v>Medtronic Public Limited Company ist ein irisches Unternehmen, das Technologielösungen für das Gesundheitswesen anbietet. Die Produktkategorie des Unternehmens umfasst fortschrittliche Chirurgentechnologie, Herzrhythmus, Herz-Kreislauf, Verdauung und Magen-Darm-Trakt, Ohr, Nase &amp; Hals; Allgemeine Chirurgie; Gynäkologie; Neurologisch; Mund- Und Kiefer- Und Gesichtschirurgie; Patientenüberwachung, Nierenversorgung, Atmung, Wirbelsäulen- und Orthopädie, chirurgische Navigation und Bildgebung, Urologie, Produkthandbücher, Produktbestellung und -Anfragen sowie Produktleistung und -Empfehlungen. Zu den Produkten gehören die Stabilisierung implantierbarer elektronischer Geräte (CIED), Produkte für Aortenstenttransplantate, CareLink Personal Therapy Management Software und CareLink Pro Therapy Management Software. Zu den Dienstleistungen und Lösungen gehören Ressourcen für ambulante Chirurgie, Care Management Services, Unterstützung für digitale Konnektivität Informationstechnologie (IT), Geräte-Services und -Support, Innovation Lab, Medtronic Healthcare Consulting und die niedergelassene Sinuschirurgie.</v>
    <v>0.7641</v>
    <v>110491143100</v>
    <v>New York Stock Exchange</v>
    <v>XNYS</v>
    <v>XNYS</v>
    <v>Building Two Parkmore Business Park West, GALWAY, CONNACHT, H91 4K49 IE</v>
    <v>86.96</v>
    <v>Healthcare Equipment &amp; Supplies</v>
    <v>Aktie</v>
    <v>24.031199999999998</v>
    <v>1322</v>
    <v>46113.992880566409</v>
    <v>95000</v>
    <v>MEDTRONIC PUBLIC LIMITED COMPANY</v>
    <v>85.4</v>
    <v>MEDTRONIC PUBLIC LIMITED COMPANY</v>
    <v>86.58</v>
    <v>86.06</v>
    <v>86.65</v>
    <v>MDT</v>
    <v>MEDTRONIC PUBLIC LIMITED COMPANY (XNYS:MDT)</v>
    <v>2014</v>
    <v>232</v>
    <v>8315593</v>
    <v>USD</v>
  </rv>
  <rv s="2">
    <v>1323</v>
  </rv>
  <rv s="3">
    <fb>87.14</fb>
    <v>6</v>
  </rv>
  <rv s="0">
    <v>https://www.bing.com/financeapi/forcetrigger?t=c4xjc7&amp;q=XNAS%3aCEG&amp;form=skydnc</v>
    <v>Learn more on Bing</v>
  </rv>
  <rv s="1">
    <v>0</v>
    <v>1</v>
    <v>CONSTELLATION ENERGY CORPORATION. (XNAS:CEG)</v>
    <v>3</v>
    <v>4</v>
    <v>Finance</v>
    <v>5</v>
    <v>de-DE</v>
    <v>c4xjc7</v>
    <v>268435456</v>
    <v>1</v>
    <v>Unterstützt von Refinitiv</v>
    <v>412.7</v>
    <v>161.35</v>
    <v>0.21</v>
    <v>7.5200000000000006E-4</v>
    <v>362294700</v>
    <v>Constellation Energy Corporation ist ein Produzent emissionsfreier Energie und ein Energieversorger für Unternehmen, Privathaushalte und Kunden des öffentlichen Sektors im ganzen Land. Die Kernenergie-, Wasserkraft-, Wind- und Solarstromerzeugungsanlagen des Unternehmens verfügen über die Kapazitäten, um 16 Millionen Haushalte zu versorgen, was etwa 10 % der sauberen Energie des Landes in den Vereinigten Staaten liefert. Zu den Segmenten zählen der mittlere Atlantik, der mittlere Westen, New York, ERCOT und andere Energieregionen. Im Rahmen seiner integrierten Geschäftstätigkeit verkauft es Strom, Erdgas und andere energieverbrauchsrelevante Produkte und nachhaltige Lösungen an verschiedene Arten von Kunden, darunter Versorgungsunternehmen, Gemeinden, Genossenschaften und gewerbliche, Kunden aus Industrie, öffentlichem Sektor und Privathaushalten auf Märkten in verschiedenen geografischen Regionen. Seine Kernkraftflotte hat eine Erzeugungskapazität von etwa 22 Gigawatt (GWS). Sie betreibt etwa 10 GWS Erdgas-, Öl-, Wasserkraft-, Wind- und Solaranlagen.</v>
    <v>1.1872</v>
    <v>101246876862</v>
    <v>Nasdaq Stock Market</v>
    <v>XNAS</v>
    <v>XNAS</v>
    <v>1310 Point Street, BALTIMORE, MD, 21231 US</v>
    <v>286.7</v>
    <v>Electrical Utilities &amp; IPPs</v>
    <v>Aktie</v>
    <v>37.7913</v>
    <v>1326</v>
    <v>46113.998083159378</v>
    <v>15291</v>
    <v>CONSTELLATION ENERGY CORPORATION.</v>
    <v>277.3</v>
    <v>CONSTELLATION ENERGY CORPORATION.</v>
    <v>282.43799999999999</v>
    <v>279.45999999999998</v>
    <v>279.25</v>
    <v>CEG</v>
    <v>CONSTELLATION ENERGY CORPORATION. (XNAS:CEG)</v>
    <v>2021</v>
    <v>3445</v>
    <v>3225819</v>
    <v>USD</v>
  </rv>
  <rv s="2">
    <v>1327</v>
  </rv>
  <rv s="3">
    <fb>301.49</fb>
    <v>6</v>
  </rv>
  <rv s="0">
    <v>https://www.bing.com/financeapi/forcetrigger?t=a1y2ec&amp;q=XNYS%3aMTD&amp;form=skydnc</v>
    <v>Learn more on Bing</v>
  </rv>
  <rv s="11">
    <v>33</v>
    <v>34</v>
    <v>METTLER-TOLEDO INTERNATIONAL INC. (XNYS:MTD)</v>
    <v>3</v>
    <v>35</v>
    <v>Finance</v>
    <v>36</v>
    <v>de-DE</v>
    <v>a1y2ec</v>
    <v>268435456</v>
    <v>1</v>
    <v>Unterstützt von Refinitiv</v>
    <v>1525.17</v>
    <v>946.69</v>
    <v>12.85</v>
    <v>1.0188999999999998E-2</v>
    <v>20248510</v>
    <v>Mettler-Toledo International Inc. ist ein Anbieter von Präzisionsinstrumenten und Dienstleistungen. Das Unternehmen stellt eine Vielzahl von Präzisionsinstrumenten her und bietet seinen Kunden Mehrwertdienste an. Zu den wichtigsten Produkten und Dienstleistungen gehören Laborinstrumente, Industrieinstrumente und Wägelösungen für den Einzelhandel. Das Unternehmen stellt eine Vielzahl von Präzisionslaborinstrumenten für die Probenvorbereitung, Synthese, analytische Tischgeräte, Materialcharakterisierung und Inline-Messungen her. Das Portfolio umfasst Laborwaagen, Lösungen zum Pipettieren von Flüssigkeiten, automatisierte Laborreaktoren einschließlich Echtzeit-Analytik, Titratoren, pH-Meter und andere analytische Instrumente. Das Unternehmen stellt zahlreiche Industriewaagen und zugehörige Terminals her und bietet Softwarelösungen für die Pharma-, Chemie-, Lebensmittel-, diskrete Fertigungs- und andere Industrien an. Das Unternehmen bietet Wäge- und Softwarelösungen an, die Schalter-, Selbstbedienungs-, Hinterzimmer- und Kassenfunktionen integrieren können.</v>
    <v>1.4355</v>
    <v>25797614165</v>
    <v>New York Stock Exchange</v>
    <v>XNYS</v>
    <v>XNYS</v>
    <v>1900 Polaris Pkwy, COLUMBUS, OH, 43240 US</v>
    <v>1292.75</v>
    <v>Office Equipment</v>
    <v>Aktie</v>
    <v>30.250499999999999</v>
    <v>1330</v>
    <v>46113.958333344533</v>
    <v>16600</v>
    <v>METTLER-TOLEDO INTERNATIONAL INC.</v>
    <v>1257.405</v>
    <v>METTLER-TOLEDO INTERNATIONAL INC.</v>
    <v>1269.8900000000001</v>
    <v>1274.05</v>
    <v>1274.05</v>
    <v>1261.2</v>
    <v>MTD</v>
    <v>METTLER-TOLEDO INTERNATIONAL INC. (XNYS:MTD)</v>
    <v>1991</v>
    <v>0</v>
    <v>0</v>
    <v>173820</v>
    <v>181908</v>
    <v>USD</v>
  </rv>
  <rv s="2">
    <v>1331</v>
  </rv>
  <rv s="3">
    <fb>1232.04</fb>
    <v>6</v>
  </rv>
  <rv s="0">
    <v>https://www.bing.com/financeapi/forcetrigger?t=a1vn8m&amp;q=XNYS%3aINVH&amp;form=skydnc</v>
    <v>Learn more on Bing</v>
  </rv>
  <rv s="11">
    <v>33</v>
    <v>34</v>
    <v>INVITATION HOMES INC. (XNYS:INVH)</v>
    <v>3</v>
    <v>35</v>
    <v>Finance</v>
    <v>36</v>
    <v>de-DE</v>
    <v>a1vn8m</v>
    <v>268435456</v>
    <v>1</v>
    <v>Unterstützt von Refinitiv</v>
    <v>35.798999999999999</v>
    <v>24.25</v>
    <v>0</v>
    <v>0</v>
    <v>599446000</v>
    <v>Invitation Homes Inc. ist ein Immobilieninvestmentfonds (REIT), der seine Geschäftstätigkeit über die Invitation Homes Operating Partnership LP (INVH LP) abwickelt. INVH LP ist im Besitz, der Renovierung, der Vermietung und dem Betrieb von Einfamilienhäusern tätig. Über THR Property Management L.P., eine Tochtergesellschaft von INVH LP, und deren hundertprozentige Tochtergesellschaften (zusammen der Manager) erbringt das Unternehmen sämtliche Management- und sonstigen Verwaltungsdienstleistungen. Der Manager bietet Portfoliobesitzern von Einfamilienhäusern zur Miete professionelle Immobilien- und Vermögensverwaltungsdienstleistungen an. Das Unternehmen verfügt über eine vertikal integrierte Betriebsplattform, die es dem Unternehmen ermöglicht, sowohl die eigenen als auch die im Auftrag Dritter verwalteten Häuser zu erwerben, zu renovieren, zu vermieten, zu warten und zu verwalten. Die Geschäftstätigkeit umfasst Immobilienbetrieb, Marketing und Vermietung, digitale Marketinginitiativen und Branding, Bewohnerbetreuung und Immobilieninstandhaltung sowie Investment- und Vermögensverwaltung. Das Unternehmen vermietet rund 85.138 Häuser.</v>
    <v>0.81659999999999999</v>
    <v>14896233100</v>
    <v>New York Stock Exchange</v>
    <v>XNYS</v>
    <v>XNYS</v>
    <v>5420 Lbj Freeway, Suite 600, DALLAS, TX, 75240 US</v>
    <v>25.125</v>
    <v>Residential &amp; Commercial REIT</v>
    <v>Aktie</v>
    <v>25.961099999999998</v>
    <v>1334</v>
    <v>46113.970394628908</v>
    <v>1725</v>
    <v>INVITATION HOMES INC.</v>
    <v>24.78</v>
    <v>INVITATION HOMES INC.</v>
    <v>24.844999999999999</v>
    <v>24.85</v>
    <v>25.105799999999999</v>
    <v>24.85</v>
    <v>INVH</v>
    <v>INVITATION HOMES INC. (XNYS:INVH)</v>
    <v>2017</v>
    <v>0.25580000000000003</v>
    <v>1.0294000000000001E-2</v>
    <v>4856488</v>
    <v>7372529</v>
    <v>USD</v>
  </rv>
  <rv s="2">
    <v>1335</v>
  </rv>
  <rv s="3">
    <fb>24.47</fb>
    <v>6</v>
  </rv>
  <rv s="0">
    <v>https://www.bing.com/financeapi/forcetrigger?t=a21rw7&amp;q=XNYS%3aRCL&amp;form=skydnc</v>
    <v>Learn more on Bing</v>
  </rv>
  <rv s="1">
    <v>0</v>
    <v>1</v>
    <v>ROYAL CARIBBEAN CRUISES LTD. (XNYS:RCL)</v>
    <v>3</v>
    <v>4</v>
    <v>Finance</v>
    <v>5</v>
    <v>de-DE</v>
    <v>a21rw7</v>
    <v>268435456</v>
    <v>1</v>
    <v>Unterstützt von Refinitiv</v>
    <v>366.5</v>
    <v>164.01</v>
    <v>6.88</v>
    <v>2.5002E-2</v>
    <v>270528300</v>
    <v>Royal Caribbean Cruises Ltd. Ist ein Kreuzfahrtunternehmen. Das Unternehmen besitzt und betreibt drei globale Kreuzfahrtmarken: Royal Caribbean International, Celebrity Cruises und Silversea Cruises. Außerdem ist das Unternehmen an der TUI Cruises GmbH beteiligt, die die deutschen Marken TUI Cruises und Hapag-Lloyd Cruises betreibt. Die Schiffe des Unternehmens bieten eine Auswahl an weltweiten Reiserouten an, die rund 1.000 Ziele auf allen sieben Kontinenten anfliegen. Royal Caribbean International bietet Kreuzfahrten und Landziele, die in der Regel ein ungezwungenes Ambiente bieten, sowie eine Vielzahl von Aktivitäten und Unterhaltungsmöglichkeiten. Celebrity Cruises bietet eine Reihe von Reiserouten zu Zielen wie Alaska, Asien, Australien, Bermuda, Kanada, die Karibik, Europa, die Galapagos-Inseln, Hawaii, Neuseeland, der Panamakanal und Südamerika mit Kreuzfahrtlängen von drei bis 18 Nächten. Es bietet auch eine Reihe landbasierter Urlaubserlebnisse durch Perfect Day at CocoCay und Royal Beach Club Kollektion.</v>
    <v>1.9409000000000001</v>
    <v>76305212298</v>
    <v>New York Stock Exchange</v>
    <v>XNYS</v>
    <v>XNYS</v>
    <v>1050 Caribbean Way, MIAMI, FL, 33132 US</v>
    <v>285.5</v>
    <v>Hotels &amp; Entertainment Services</v>
    <v>Aktie</v>
    <v>18.042200000000001</v>
    <v>1338</v>
    <v>46113.999378726563</v>
    <v>107950</v>
    <v>ROYAL CARIBBEAN CRUISES LTD.</v>
    <v>278</v>
    <v>ROYAL CARIBBEAN CRUISES LTD.</v>
    <v>282.85000000000002</v>
    <v>282.06</v>
    <v>275.18</v>
    <v>RCL</v>
    <v>ROYAL CARIBBEAN CRUISES LTD. (XNYS:RCL)</v>
    <v>1985</v>
    <v>669</v>
    <v>2711151</v>
    <v>USD</v>
  </rv>
  <rv s="2">
    <v>1339</v>
  </rv>
  <rv s="3">
    <fb>261.8</fb>
    <v>6</v>
  </rv>
  <rv s="0">
    <v>https://www.bing.com/financeapi/forcetrigger?t=a1ugim&amp;q=XNAS%3aHBAN&amp;form=skydnc</v>
    <v>Learn more on Bing</v>
  </rv>
  <rv s="1">
    <v>0</v>
    <v>1</v>
    <v>HUNTINGTON BANCSHARES INCORPORATED (XNAS:HBAN)</v>
    <v>3</v>
    <v>4</v>
    <v>Finance</v>
    <v>5</v>
    <v>de-DE</v>
    <v>a1ugim</v>
    <v>268435456</v>
    <v>1</v>
    <v>Unterstützt von Refinitiv</v>
    <v>19.454999999999998</v>
    <v>11.914999999999999</v>
    <v>0.23</v>
    <v>1.4696000000000001E-2</v>
    <v>2037120000</v>
    <v>Huntington Bancshares Incorporated ist eine regionale Bank Holding. Das Unternehmen bietet über seine Banktochter Huntington National Bank und seine Tochtergesellschaften Verbrauchern, kleinen und mittleren Unternehmen, Unternehmen, Kommunen und anderen Organisationen eine umfassende Palette an Produkten und Dienstleistungen für Banking, Zahlungen, Vermögensverwaltung und Risikomanagement. Es betreibt mehr als 1.000 Niederlassungen in 14 bundesstaaten, wobei bestimmte Unternehmen in erweiterten Regionen tätig sind. Das Segment Consumer &amp; Regional Banking bietet Privatkunden und Geschäftskunden Finanzprodukte und -Dienstleistungen an, darunter Einlagen, Kredite, Zahlungen, Hypothekenbanken, Händlerfinanzierung, Anlagemanagement und andere Finanzprodukte und -Dienstleistungen. Das Geschäftssegment Commercial Banking bietet Fachwissen über Banken, Funktionen und digitale Kanäle, die ein umfassendes Produktangebot umfassen. Die Zielkunden reichen von mittelständischen Unternehmen bis hin zu großen Unternehmen mit landesweiter Präsenz.</v>
    <v>0.97419999999999995</v>
    <v>32349465600</v>
    <v>Nasdaq Stock Market</v>
    <v>XNAS</v>
    <v>XNAS</v>
    <v>41 South High Street, COLUMBUS, OH, 43287 US</v>
    <v>16.035</v>
    <v>Banking Services</v>
    <v>Aktie</v>
    <v>11.4071</v>
    <v>1342</v>
    <v>46113.998793807812</v>
    <v>20242</v>
    <v>HUNTINGTON BANCSHARES INCORPORATED</v>
    <v>15.744999999999999</v>
    <v>HUNTINGTON BANCSHARES INCORPORATED</v>
    <v>15.81</v>
    <v>15.88</v>
    <v>15.65</v>
    <v>HBAN</v>
    <v>HUNTINGTON BANCSHARES INCORPORATED (XNAS:HBAN)</v>
    <v>1966</v>
    <v>235</v>
    <v>28718464</v>
    <v>USD</v>
  </rv>
  <rv s="2">
    <v>1343</v>
  </rv>
  <rv s="3">
    <fb>15.08</fb>
    <v>6</v>
  </rv>
  <rv s="0">
    <v>https://www.bing.com/financeapi/forcetrigger?t=a1wyu2&amp;q=XNYS%3aLLY&amp;form=skydnc</v>
    <v>Learn more on Bing</v>
  </rv>
  <rv s="1">
    <v>0</v>
    <v>1</v>
    <v>ELI LILLY AND COMPANY (XNYS:LLY)</v>
    <v>3</v>
    <v>4</v>
    <v>Finance</v>
    <v>5</v>
    <v>de-DE</v>
    <v>a1wyu2</v>
    <v>268435456</v>
    <v>1</v>
    <v>Unterstützt von Refinitiv</v>
    <v>1133.95</v>
    <v>623.78</v>
    <v>34.75</v>
    <v>3.7780999999999995E-2</v>
    <v>944818900</v>
    <v>Eli Lilly and Company ist ein Medizinunternehmen, das Produkte im Segment Human-Pharma-Produkte entdeckt, entwickelt, herstellt und vermarktet. Zu den kardiometabolischen Gesundheitsprodukten gehören Basaglar; Humalog, Humalog Mix 75/25, Humalog U-100, Humalog U-200, Humalog Mix 50/50, Insulin lispro und andere; Humulin, Humulin 70/30, und andere; Jardiance; Mounjaro; Trulicity; Zepbound; VERVE-102; VERVE-201 UND VERVE-301. Zu den onkologischen Produkten zählen Cyramza, Erbitux, Tyvyt und Verzenio. Zu den Immunologieprodukten gehören Ebglyss, Olumiant, Omvoh und Taltz. Zu den neurowissenschaftlichen Produkten gehören Emgality und Kisunla. Das Unternehmen ist über seine Tochtergesellschaft POINT Biopharma Global Inc. In der Erforschung, Entwicklung und Herstellung von radioaktiven Arzneimitteln sowie in der Entwicklung klinischer und präklinischer Radioligand-Therapien für die Krebsbehandlung tätig. Es entwickelt auch einen oralen niedermolekularen Inhibitor von a4b7 Integrin für entzündliche Darmerkrankungen (IBD).</v>
    <v>0.50380000000000003</v>
    <v>901848536428</v>
    <v>New York Stock Exchange</v>
    <v>XNYS</v>
    <v>XNYS</v>
    <v>Lilly Corporate Ctr, Drop Code 1094, INDIANAPOLIS, IN, 46285 US</v>
    <v>976.67989999999998</v>
    <v>Pharmaceuticals</v>
    <v>Aktie</v>
    <v>41.5794</v>
    <v>1346</v>
    <v>46113.999870416403</v>
    <v>50000</v>
    <v>ELI LILLY AND COMPANY</v>
    <v>925.99</v>
    <v>ELI LILLY AND COMPANY</v>
    <v>926.88</v>
    <v>954.52</v>
    <v>919.77</v>
    <v>LLY</v>
    <v>ELI LILLY AND COMPANY (XNYS:LLY)</v>
    <v>1901</v>
    <v>5600</v>
    <v>2863838</v>
    <v>USD</v>
  </rv>
  <rv s="2">
    <v>1347</v>
  </rv>
  <rv s="3">
    <fb>878.24</fb>
    <v>6</v>
  </rv>
  <rv s="0">
    <v>https://www.bing.com/financeapi/forcetrigger?t=a1nyw7&amp;q=XNYS%3aAVB&amp;form=skydnc</v>
    <v>Learn more on Bing</v>
  </rv>
  <rv s="11">
    <v>33</v>
    <v>34</v>
    <v>AVALONBAY COMMUNITIES, INC. (XNYS:AVB)</v>
    <v>3</v>
    <v>35</v>
    <v>Finance</v>
    <v>36</v>
    <v>de-DE</v>
    <v>a1nyw7</v>
    <v>268435456</v>
    <v>1</v>
    <v>Unterstützt von Refinitiv</v>
    <v>216.47</v>
    <v>160.095</v>
    <v>1.55</v>
    <v>9.4889999999999992E-3</v>
    <v>140083500</v>
    <v>AvalonBay Communities, Inc. Ist ein Real Estate Investment Trust (REIT). Das Unternehmen entwickelt, reentwickelt, erwirbt und verwaltet Wohngemeinschaften in Ballungsgebieten in New England, der New York/New Jersey Metro Area, im Mittleren Atlantik, im Pazifischen Nordwesten sowie in Nord- und Südkalifornien sowie in den Expansionsregionen Raleigh-Durham und Charlotte, North Carolina, Südosten Floridas, Dallas und Austin, Texas. und Denver, Colorado. Das Unternehmen konzentriert sich auf Ballungsgebiete in diesen Regionen. Zu den Segmenten des Unternehmens gehören Same Store, Sonstiges stabilisiert und Entwicklung/Neuentwicklung. Das Unternehmen besitzt oder hält eine direkte oder indirekte Beteiligung am Betrieb von Wohngemeinden mit Wohnhäusern in 11 bundesstaaten und im District of Columbia. Das Unternehmen unterhält vier Kernmarken, darunter Avalon, AVA, EAVES by Avalon und Kanso. Die Kernmarke Avalon konzentriert sich auf gehobene Wohnverhältnisse und hochwertige Annehmlichkeiten und Services.</v>
    <v>0.76290000000000002</v>
    <v>23099769150</v>
    <v>New York Stock Exchange</v>
    <v>XNYS</v>
    <v>XNYS</v>
    <v>4040 Wilson Boulevard, Ste 1000, ARLINGTON, VA, 22203 US</v>
    <v>165.84989999999999</v>
    <v>Residential &amp; Commercial REIT</v>
    <v>Aktie</v>
    <v>22.398900000000001</v>
    <v>1350</v>
    <v>46113.958333356248</v>
    <v>3011</v>
    <v>AVALONBAY COMMUNITIES, INC.</v>
    <v>162.79</v>
    <v>AVALONBAY COMMUNITIES, INC.</v>
    <v>162.9</v>
    <v>164.9</v>
    <v>164.9</v>
    <v>163.35</v>
    <v>AVB</v>
    <v>AVALONBAY COMMUNITIES, INC. (XNYS:AVB)</v>
    <v>1995</v>
    <v>0</v>
    <v>0</v>
    <v>1385808</v>
    <v>1090520</v>
    <v>USD</v>
  </rv>
  <rv s="2">
    <v>1351</v>
  </rv>
  <rv s="3">
    <fb>160.81</fb>
    <v>6</v>
  </rv>
  <rv s="0">
    <v>https://www.bing.com/financeapi/forcetrigger?t=a1o4sm&amp;q=XNYS%3aBAC&amp;form=skydnc</v>
    <v>Learn more on Bing</v>
  </rv>
  <rv s="1">
    <v>0</v>
    <v>1</v>
    <v>BANK OF AMERICA CORPORATION (XNYS:BAC)</v>
    <v>3</v>
    <v>4</v>
    <v>Finance</v>
    <v>5</v>
    <v>de-DE</v>
    <v>a1o4sm</v>
    <v>268435456</v>
    <v>1</v>
    <v>Unterstützt von Refinitiv</v>
    <v>57.55</v>
    <v>33.064999999999998</v>
    <v>0.52</v>
    <v>1.0666999999999999E-2</v>
    <v>7145709000</v>
    <v>Die Bank of America Corporation ist eine Bank Holding und eine Finanzholdinggesellschaft. Zu den Segmenten zählen Consumer Banking, Global Wealth &amp; Investment Management (GWIM), Global Banking und Global Markets. Das Segment Consumer Banking bietet Verbrauchern und kleinen Unternehmen eine Reihe von Kredit-, Bank- und Anlageprodukten und -Dienstleistungen an. Die GWIM umfasst zwei Geschäftsbereiche: Merrill Wealth Management, die maßgeschneiderte Lösungen für die Bedürfnisse der Kunden durch eine umfassende Palette von Produkten für Anlagemanagement, Maklerwesen, Banken und Altersvorsorge bietet, und Bank of America Private Bank, die umfassende Lösungen für das Vermögensmanagement bereitstellt. Das Segment Global Banking bietet eine Reihe von Produkten und Dienstleistungen im Zusammenhang mit der Kreditvergabe, integrierte Lösungen für das Betriebskapitalmanagement und Treasury sowie Underwriting- und Beratungsdienstleistungen. Das Segment Global Markets bietet Vertriebs- und Handelsdienstleistungen sowie Forschungsdienstleistungen für institutionelle Kunden in den Bereichen Festverzinsung, Kredit, Währung, Rohstoffe und Aktien.</v>
    <v>1.2373000000000001</v>
    <v>352069082430</v>
    <v>New York Stock Exchange</v>
    <v>XNYS</v>
    <v>XNYS</v>
    <v>Bank Of America Corporate Center, 100 N Tryon St, CHARLOTTE, NC, 28255 US</v>
    <v>50.05</v>
    <v>Banking Services</v>
    <v>Aktie</v>
    <v>13.024900000000001</v>
    <v>1354</v>
    <v>46113.999703310154</v>
    <v>213207</v>
    <v>BANK OF AMERICA CORPORATION</v>
    <v>48.774999999999999</v>
    <v>BANK OF AMERICA CORPORATION</v>
    <v>49.7</v>
    <v>49.27</v>
    <v>48.75</v>
    <v>BAC</v>
    <v>BANK OF AMERICA CORPORATION (XNYS:BAC)</v>
    <v>1998</v>
    <v>7304</v>
    <v>45797606</v>
    <v>USD</v>
  </rv>
  <rv s="2">
    <v>1355</v>
  </rv>
  <rv s="3">
    <fb>46.97</fb>
    <v>6</v>
  </rv>
  <rv s="0">
    <v>https://www.bing.com/financeapi/forcetrigger?t=a1qlnm&amp;q=XNYS%3aCVS&amp;form=skydnc</v>
    <v>Learn more on Bing</v>
  </rv>
  <rv s="1">
    <v>0</v>
    <v>1</v>
    <v>CVS HEALTH CORPORATION (XNYS:CVS)</v>
    <v>3</v>
    <v>4</v>
    <v>Finance</v>
    <v>5</v>
    <v>de-DE</v>
    <v>a1qlnm</v>
    <v>268435456</v>
    <v>1</v>
    <v>Unterstützt von Refinitiv</v>
    <v>85.15</v>
    <v>58.35</v>
    <v>0.67</v>
    <v>9.3289999999999988E-3</v>
    <v>1272211000</v>
    <v>CVS Health Corporation ist ein Anbieter von Gesundheitslösungen. Die Unternehmenssegmente umfassen Krankenversicherungsleistungen, Gesundheitsdienste, Apotheken- und Verbrauchergesundheit sowie Unternehmen/Sonstiges. Das Segment Krankenversicherungsleistungen bietet eine Reihe von traditionellen, freiwilligen und verbraucherorientierten Krankenversicherungsprodukten und damit verbundenen Dienstleistungen an, darunter Kranken-, Apotheken-, Zahn- und Psychotherapiepläne, medizinisches Management, PDPs und Medicaid-Gesundheitsmanagementdienste. Das Segment Gesundheitsdienste bietet ein umfassendes Spektrum an PBM-Lösungen, erbringt Gesundheitsdienstleistungen in seinen medizinischen Kliniken, virtuell und zu Hause und bietet Lösungen zur Leistungserbringung. Das Segment Apotheken- und Verbrauchergesundheit gibt Rezepte in seinen Apotheken und über seine Infusionsbetriebe aus, bietet ergänzende Apothekendienstleistungen an, darunter Apotheken-Patientenversorgungsprogramme, diagnostische Tests und Impfverabreichung, und vertreibt eine Auswahl an Gesundheits- und Wellnessprodukten sowie Handelswaren.</v>
    <v>0.50490000000000002</v>
    <v>92222575390</v>
    <v>New York Stock Exchange</v>
    <v>XNYS</v>
    <v>XNYS</v>
    <v>One Cvs Dr., WOONSOCKET, RI, 02895 US</v>
    <v>72.75</v>
    <v>Healthcare Providers &amp; Services</v>
    <v>Aktie</v>
    <v>53.009900000000002</v>
    <v>1358</v>
    <v>46113.999520705467</v>
    <v>300000</v>
    <v>CVS HEALTH CORPORATION</v>
    <v>71.819999999999993</v>
    <v>CVS HEALTH CORPORATION</v>
    <v>72.06</v>
    <v>72.489999999999995</v>
    <v>71.819999999999993</v>
    <v>CVS</v>
    <v>CVS HEALTH CORPORATION (XNYS:CVS)</v>
    <v>1996</v>
    <v>46</v>
    <v>7997857</v>
    <v>USD</v>
  </rv>
  <rv s="2">
    <v>1359</v>
  </rv>
  <rv s="3">
    <fb>70.08</fb>
    <v>6</v>
  </rv>
  <rv s="0">
    <v>https://www.bing.com/financeapi/forcetrigger?t=a25l52&amp;q=XNYS%3aVST&amp;form=skydnc</v>
    <v>Learn more on Bing</v>
  </rv>
  <rv s="1">
    <v>0</v>
    <v>1</v>
    <v>VISTRA CORP. (XNYS:VST)</v>
    <v>3</v>
    <v>4</v>
    <v>Finance</v>
    <v>5</v>
    <v>de-DE</v>
    <v>a25l52</v>
    <v>268435456</v>
    <v>1</v>
    <v>Unterstützt von Refinitiv</v>
    <v>219.82</v>
    <v>90.51</v>
    <v>3.63</v>
    <v>2.4146999999999998E-2</v>
    <v>338549300</v>
    <v>Vistra Corp. Ist ein integriertes Stromversorgungs- und Stromerzeugungsunternehmen, das wichtige Ressourcen für Kunden, Unternehmen und Gemeinden von Kalifornien bis Maine bereitstellt. Das Unternehmen betreibt eine zuverlässige Stromerzeugungsflotte aus Erdgas-, Kernenergie-, Kohle-, Solar- und Batteriespeichern und verfolgt dabei einen innovativen, kundenorientierten Ansatz für sein Einzelhandelsgeschäft. Zu den Segmenten zählen Einzelhandel, Texas, Ost, West und Anlagenschließung. Das Segment Einzelhandel ist im Einzelhandel mit Strom und Erdgas an Privat-, Gewerbe- und Industriekunden tätig. Die Segmente Texas und East sind in den Bereichen Stromerzeugung, Energiegroßhandel und -Käufe, Rohstoffrisikomanagement, Kraftstoffbeschaffung und Logistikmanagement tätig. Das Segment West repräsentiert Ergebnisse aus dem CAISO-Markt, einschließlich der Batterie-ESS-Projekte am Standort des Kraftwerks Moss Landing. Das Segment Anlagenschließung befasst sich mit der Stilllegung und Rückgewinnung stillgelegter Anlagen und Bergwerke.</v>
    <v>1.4982</v>
    <v>52123050228</v>
    <v>New York Stock Exchange</v>
    <v>XNYS</v>
    <v>XNYS</v>
    <v>6555 Sierra Drive, IRVING, TX, 75039 US</v>
    <v>156.34</v>
    <v>Electrical Utilities &amp; IPPs</v>
    <v>Aktie</v>
    <v>70.305499999999995</v>
    <v>1362</v>
    <v>46113.999767210153</v>
    <v>6390</v>
    <v>VISTRA CORP.</v>
    <v>151.4</v>
    <v>VISTRA CORP.</v>
    <v>151.47</v>
    <v>153.96</v>
    <v>150.33000000000001</v>
    <v>VST</v>
    <v>VISTRA CORP. (XNYS:VST)</v>
    <v>2016</v>
    <v>5538</v>
    <v>4875608</v>
    <v>USD</v>
  </rv>
  <rv s="2">
    <v>1363</v>
  </rv>
  <rv s="3">
    <fb>155.47999999999999</fb>
    <v>6</v>
  </rv>
  <rv s="0">
    <v>http://fr.wikipedia.org/wiki/TE_Connectivity</v>
    <v>Wikipedia</v>
  </rv>
  <rv s="6">
    <v>35</v>
    <v>1366</v>
  </rv>
  <rv s="7">
    <v>18</v>
    <v>https://www.bing.com/th?id=AMMS_e83e68f97f5001b753ff93f8a5154da3&amp;qlt=95</v>
    <v>1367</v>
    <v>0</v>
    <v>https://www.bing.com/images/search?form=xlimg&amp;q=te+connectivity</v>
    <v>Image of TE CONNECTIVITY PUBLIC LIMITED COMPANY</v>
  </rv>
  <rv s="0">
    <v>https://www.bing.com/financeapi/forcetrigger?t=a244dm&amp;q=XNYS%3aTEL&amp;form=skydnc</v>
    <v>Learn more on Bing</v>
  </rv>
  <rv s="8">
    <v>13</v>
    <v>14</v>
    <v>TE CONNECTIVITY PUBLIC LIMITED COMPANY (XNYS:TEL)</v>
    <v>16</v>
    <v>17</v>
    <v>Finance</v>
    <v>5</v>
    <v>de-DE</v>
    <v>a244dm</v>
    <v>268435456</v>
    <v>1</v>
    <v>Unterstützt von Refinitiv</v>
    <v>250.67</v>
    <v>116.3018</v>
    <v>2.65</v>
    <v>1.2678E-2</v>
    <v>293434300</v>
    <v>TE Connectivity plc ist ein weltweit tätiges Unternehmen für Industrietechnologie. Das Angebot an Konnektivitäts- und Sensorlösungen des Unternehmens ermöglicht die Verteilung von Strom, Signal und Daten, um den Transport der nächsten Generation, erneuerbare Energien, automatisierte Fabriken, Rechenzentren, Medizintechnik, und vieles mehr. Das Unternehmen ist in zwei Segmenten tätig: Transportlösungen und Industrielösungen. Das Segment Transport Solutions umfasst die Geschäftsbereiche Automobil, gewerblicher Transport und Sensoren. Das Segment Industrial Solutions umfasst die Bereiche Luft- und Raumfahrt, Verteidigung und Marine, Medizin, Energie, digitale Datennetzwerke, Automatisierung und vernetzte Wohnbereiche. Zu den Dienstleistungen und Schulungen gehören 3D-Druck für die Produktion (3D4P), Backshells Prototyping – BIT Workx, Schulungen zur Elektroinstallation, HarnWare Software, Werkzeugmaschinenservice und -Reparatur, Services für das Design medizinischer Geräte, Microfluidic Devices und DIE ACADEMY – Automotive Webinare.</v>
    <v>1.2594000000000001</v>
    <v>1368</v>
    <v>62111238281</v>
    <v>New York Stock Exchange</v>
    <v>XNYS</v>
    <v>XNYS</v>
    <v>Parkmore Business Park West, Parkmore, Ballybrit, Galway, H91VN2T IE</v>
    <v>213.83</v>
    <v>Electronic Equipment &amp; Parts</v>
    <v>Aktie</v>
    <v>30.507300000000001</v>
    <v>1369</v>
    <v>46113.981161863281</v>
    <v>90000</v>
    <v>TE CONNECTIVITY PUBLIC LIMITED COMPANY</v>
    <v>207.9</v>
    <v>TE CONNECTIVITY PUBLIC LIMITED COMPANY</v>
    <v>207.9</v>
    <v>211.67</v>
    <v>209.02</v>
    <v>TEL</v>
    <v>TE CONNECTIVITY PUBLIC LIMITED COMPANY (XNYS:TEL)</v>
    <v>2015</v>
    <v>404</v>
    <v>2381218</v>
    <v>USD</v>
  </rv>
  <rv s="2">
    <v>1370</v>
  </rv>
  <rv s="3">
    <fb>202.14</fb>
    <v>6</v>
  </rv>
  <rv s="0">
    <v>https://www.bing.com/financeapi/forcetrigger?t=a1xam7&amp;q=XNYS%3aMAS&amp;form=skydnc</v>
    <v>Learn more on Bing</v>
  </rv>
  <rv s="11">
    <v>33</v>
    <v>34</v>
    <v>MASCO CORPORATION (XNYS:MAS)</v>
    <v>3</v>
    <v>35</v>
    <v>Finance</v>
    <v>36</v>
    <v>de-DE</v>
    <v>a1xam7</v>
    <v>268435456</v>
    <v>1</v>
    <v>Unterstützt von Refinitiv</v>
    <v>79.19</v>
    <v>56.55</v>
    <v>0.32</v>
    <v>5.3010000000000002E-3</v>
    <v>203607100</v>
    <v>Masco Corporation beschäftigt sich mit der Entwicklung, der Herstellung und dem Vertrieb von Markenprodukten im Bereich Heimwerken und Bauen. Zum Markenportfolio des Unternehmens gehören Behr-Farben, Delta- und Hansgrohe-Armaturen, Bad- und Duscharmaturen, dekorative und funktionelle Beschläge der Marke Liberty sowie HotSpring-Whirlpools. Zu den Segmenten gehören Sanitärprodukte und dekorative Architekturprodukte. Das Segment Plumbing Products umfasst hauptsächlich Armaturen, Komponenten und Ventile für Sanitärsysteme, Duschköpfe und Handbrausen, Badarmaturen und -zubehör, Wasserfiltersysteme, Spülbecken, Küchenzubehör, Whirlpools, Sportbecken, Aquafitnesssysteme und Saunen. Das Segment Dekorative Bauprodukte umfasst in erster Linie Bautenanstrichmittel, einschließlich Farben, Grundierungen, Spezialbeschichtungen, Beizen und Abdichtungsprodukte, sowie Farbauftragsgeräte und Zubehör. Die Produkte werden in erster Linie für Reparatur- und Renovierungsarbeiten und in geringerem Maße für den Bau neuer Häuser verkauft.</v>
    <v>1.2914000000000001</v>
    <v>12356914899</v>
    <v>New York Stock Exchange</v>
    <v>XNYS</v>
    <v>XNYS</v>
    <v>17450 College Parkway, LIVONIA, MI, 48152 US</v>
    <v>61.305</v>
    <v>Homebuilding &amp; Construction Supplies</v>
    <v>Aktie</v>
    <v>15.7462</v>
    <v>1373</v>
    <v>46113.958333344533</v>
    <v>18000</v>
    <v>MASCO CORPORATION</v>
    <v>60.01</v>
    <v>MASCO CORPORATION</v>
    <v>60.62</v>
    <v>60.69</v>
    <v>60.69</v>
    <v>60.37</v>
    <v>MAS</v>
    <v>MASCO CORPORATION (XNYS:MAS)</v>
    <v>1962</v>
    <v>0</v>
    <v>0</v>
    <v>2099324</v>
    <v>2530404</v>
    <v>USD</v>
  </rv>
  <rv s="2">
    <v>1374</v>
  </rv>
  <rv s="3">
    <fb>59.5</fb>
    <v>6</v>
  </rv>
  <rv s="0">
    <v>https://www.bing.com/financeapi/forcetrigger?t=a1o3tc&amp;q=XNYS%3aAZO&amp;form=skydnc</v>
    <v>Learn more on Bing</v>
  </rv>
  <rv s="1">
    <v>0</v>
    <v>1</v>
    <v>AUTOZONE, INC. (XNYS:AZO)</v>
    <v>3</v>
    <v>4</v>
    <v>Finance</v>
    <v>5</v>
    <v>de-DE</v>
    <v>a1o3tc</v>
    <v>268435456</v>
    <v>1</v>
    <v>Unterstützt von Refinitiv</v>
    <v>4388.1099999999997</v>
    <v>3210.72</v>
    <v>48.69</v>
    <v>1.4415000000000001E-2</v>
    <v>16476820</v>
    <v>AutoZone, Inc. Ist ein Händler und Distributor von Autoersatzteilen und -Zubehör in Amerika. Das Segment Auto Parts Stores ist ein Händler und Distributor von Autoteilen und Zubehör über seine rund 7.353 Filialen in den USA, Mexiko und Brasilien. Jedes Geschäft verfügt über eine umfangreiche Produktpalette für Autos, Nutzfahrzeuge für den Sport, Transporter und leichte Nutzfahrzeuge, einschließlich neuer und überholter Kfz-Hartteile, Wartungsartikel, Zubehör und nicht-Kfz-Produkte. Das Unternehmen verkauft auch Kfz-Hardteile, Wartungsartikel, Zubehör und nicht-Kfz-Produkte über www.autozone.com, und seine gewerblichen Kunden können über www.autozonepro.com Einkäufe tätigen. Darüber hinaus vertreibt das Unternehmen die Marke ALLDATA für Diagnose-, Reparatur-, Kollisions- und Werkstattmanagementsoftware bis www.alldata.com. Darüber hinaus stellt das Unternehmen Produktinformationen zu den Produkten der Marke Duralast auf www.duralastparts.com zur Verfügung.</v>
    <v>0.40660000000000002</v>
    <v>56457329425</v>
    <v>New York Stock Exchange</v>
    <v>XNYS</v>
    <v>XNYS</v>
    <v>123 South Front St, Dept 8074, MEMPHIS, TN, 38103 US</v>
    <v>3444.22</v>
    <v>Specialty Retailers</v>
    <v>Aktie</v>
    <v>23.897300000000001</v>
    <v>1377</v>
    <v>46113.997195115626</v>
    <v>78000</v>
    <v>AUTOZONE, INC.</v>
    <v>3376.6750000000002</v>
    <v>AUTOZONE, INC.</v>
    <v>3384.72</v>
    <v>3426.47</v>
    <v>3377.78</v>
    <v>AZO</v>
    <v>AUTOZONE, INC. (XNYS:AZO)</v>
    <v>1991</v>
    <v>5</v>
    <v>152096</v>
    <v>USD</v>
  </rv>
  <rv s="2">
    <v>1378</v>
  </rv>
  <rv s="3">
    <fb>3316.71</fb>
    <v>6</v>
  </rv>
  <rv s="0">
    <v>https://www.bing.com/financeapi/forcetrigger?t=a25tgh&amp;q=XNYS%3aWFC&amp;form=skydnc</v>
    <v>Learn more on Bing</v>
  </rv>
  <rv s="1">
    <v>0</v>
    <v>1</v>
    <v>WELLS FARGO &amp; COMPANY (XNYS:WFC)</v>
    <v>3</v>
    <v>4</v>
    <v>Finance</v>
    <v>5</v>
    <v>de-DE</v>
    <v>a25tgh</v>
    <v>268435456</v>
    <v>1</v>
    <v>Unterstützt von Refinitiv</v>
    <v>97.76</v>
    <v>58.42</v>
    <v>0.96</v>
    <v>1.2059E-2</v>
    <v>3074934000</v>
    <v>Wells Fargo &amp; Company ist ein Finanzdienstleistungsunternehmen. Das Unternehmen bietet Privatpersonen, Unternehmen und Institutionen ein breites Spektrum an Bank-, Anlage- und Hypothekenprodukten sowie Verbraucher- und Firmenkundenfinanzierungen an. Das Unternehmen ist in vier Segmenten tätig: Privatkundengeschäft und Kreditvergabe, Firmenkundengeschäft, Firmenkunden- und Investmentbanking sowie Vermögens- und Anlageverwaltung. Das Unternehmen bietet Verbrauchern Finanzprodukte und -dienstleistungen an, darunter Giro- und Sparkonten, Kredit- und Debitkarten sowie Auto-, Hypotheken- und Kleinunternehmenskredite. Darüber hinaus bietet das Unternehmen Finanzplanung, Private Banking, Anlageverwaltung und Treuhanddienste an. Darüber hinaus bietet es Unternehmen Finanzlösungen durch Produkte und Dienstleistungen wie traditionelle Geschäftskredite und Kreditlinien, Akkreditive, Asset-Based Lending und Leasing, Handelsfinanzierung, Treasury Management und Investmentbanking-Dienstleistungen.</v>
    <v>1.056</v>
    <v>247747432379</v>
    <v>New York Stock Exchange</v>
    <v>XNYS</v>
    <v>XNYS</v>
    <v>420 Montgomery Street, SAN FRANCISCO, CA, 94104 US</v>
    <v>81.7</v>
    <v>Banking Services</v>
    <v>Aktie</v>
    <v>12.851699999999999</v>
    <v>1381</v>
    <v>46113.996404941405</v>
    <v>205000</v>
    <v>WELLS FARGO &amp; COMPANY</v>
    <v>80.174999999999997</v>
    <v>WELLS FARGO &amp; COMPANY</v>
    <v>81.19</v>
    <v>80.569999999999993</v>
    <v>79.61</v>
    <v>WFC</v>
    <v>WELLS FARGO &amp; COMPANY (XNYS:WFC)</v>
    <v>1929</v>
    <v>258</v>
    <v>19390612</v>
    <v>USD</v>
  </rv>
  <rv s="2">
    <v>1382</v>
  </rv>
  <rv s="3">
    <fb>77.19</fb>
    <v>6</v>
  </rv>
  <rv s="0">
    <v>https://www.bing.com/financeapi/forcetrigger?t=a1nhlh&amp;q=XNAS%3aAMZN&amp;form=skydnc</v>
    <v>Learn more on Bing</v>
  </rv>
  <rv s="1">
    <v>0</v>
    <v>1</v>
    <v>AMAZON.COM, INC. (XNAS:AMZN)</v>
    <v>3</v>
    <v>4</v>
    <v>Finance</v>
    <v>5</v>
    <v>de-DE</v>
    <v>a1nhlh</v>
    <v>268435456</v>
    <v>1</v>
    <v>Unterstützt von Refinitiv</v>
    <v>258.60000000000002</v>
    <v>161.38</v>
    <v>2.2999999999999998</v>
    <v>1.1043000000000001E-2</v>
    <v>10734920000</v>
    <v>Amazon.com, Inc. bietet eine Reihe von Produkten und Dienstleistungen für Kunden an. Die in den Geschäften des Unternehmens angebotenen Produkte umfassen Waren und Inhalte, die das Unternehmen zum Wiederverkauf erworben hat, sowie Produkte, die von Drittanbietern angeboten werden. Zu den Segmenten des Unternehmens gehören Nordamerika, International und Amazon Web Services (AWS). Das Unternehmen bedient seine Kunden über seine Online- und Ladengeschäfte und konzentriert sich dabei auf Auswahl, Preis und Komfort. Die Kunden greifen auf die Angebote des Unternehmens über seine Websites, mobile Apps, Alexa, Geräte, Streaming und physische Besuche in seinen Geschäften zu. Darüber hinaus produziert und vertreibt das Unternehmen elektronische Geräte, darunter Kindle, Fire Tablet, Fire TV, Echo, Ring, Blink und eero, und entwickelt und produziert Medieninhalte. AWS bietet Entwicklern und Unternehmen aller Größenordnungen, einschließlich Start-ups, Behörden und akademischen Einrichtungen, eine Reihe von On-Demand-Technologiediensten an, darunter Rechen-, Speicher-, Datenbank-, Analyse- und maschinelles Lernen-Dienste sowie andere Dienste.</v>
    <v>1.3834</v>
    <v>2260452104400</v>
    <v>Nasdaq Stock Market</v>
    <v>XNAS</v>
    <v>XNAS</v>
    <v>410 Terry Avenue North, SEATTLE, WA, 98109 US</v>
    <v>213.58</v>
    <v>Diversified Retail</v>
    <v>Aktie</v>
    <v>29.359000000000002</v>
    <v>1385</v>
    <v>46113.999999895314</v>
    <v>1576000</v>
    <v>AMAZON.COM, INC.</v>
    <v>208.19</v>
    <v>AMAZON.COM, INC.</v>
    <v>210.435</v>
    <v>210.57</v>
    <v>208.27</v>
    <v>AMZN</v>
    <v>AMAZON.COM, INC. (XNAS:AMZN)</v>
    <v>1996</v>
    <v>80212</v>
    <v>46234005</v>
    <v>USD</v>
  </rv>
  <rv s="2">
    <v>1386</v>
  </rv>
  <rv s="3">
    <fb>199.34</fb>
    <v>6</v>
  </rv>
  <rv s="0">
    <v>https://www.bing.com/financeapi/forcetrigger?t=a1nihw&amp;q=XNYS%3aANET&amp;form=skydnc</v>
    <v>Learn more on Bing</v>
  </rv>
  <rv s="1">
    <v>0</v>
    <v>1</v>
    <v>ARISTA NETWORKS, INC. (XNYS:ANET)</v>
    <v>3</v>
    <v>4</v>
    <v>Finance</v>
    <v>5</v>
    <v>de-DE</v>
    <v>a1nihw</v>
    <v>268435456</v>
    <v>1</v>
    <v>Unterstützt von Refinitiv</v>
    <v>164.94</v>
    <v>59.43</v>
    <v>2.0699999999999998</v>
    <v>1.6858999999999999E-2</v>
    <v>1256538000</v>
    <v>Arista Networks, Inc. Ist ein Anbieter datengesteuerter Client-to-Cloud-Netzwerke für große KI-Umgebungen, Rechenzentren, Campus- und Routing-Umgebungen. Seine Plattformen bieten Verfügbarkeit, Agilität, Automatisierung, Analyse und Sicherheit über einen erweiterten Netzwerkbetriebsstapel. Seine Plattform ist das Extensible Operating System (EOS), ein modernisiertes Publish-Subscribe-State-Sharing-Netzwerkbetriebssystem. Sein Portfolio an Produkten, Services und Technologien ist in verschiedene Kategorien unterteilt: Core (Rechenzentrum, Cloud und KI-Netzwerke), Cognitive Adjacences (Campus und Routing) und Cognitive Network (Software und Services). Es bietet Produktportfolios an datengesteuerten, schnellen, Cloud- und Rechenzentrums-Ethernet-Switches. Zu den kognitiven Adjakanzen gehören Cognitive Campus Switching, Cloud-Grade Routing und WAN Routing. Die Software und Services basieren auf abonnementbasierten Modellen und umfassen verschiedene Angebote: CloudVision, Arista A-Care Services, CloudEOS und andere.</v>
    <v>1.4752000000000001</v>
    <v>156878769300</v>
    <v>New York Stock Exchange</v>
    <v>XNYS</v>
    <v>XNYS</v>
    <v>5453 Great America Pkwy, SANTA CLARA, CA, 95054 US</v>
    <v>127.25</v>
    <v>Communications &amp; Networking</v>
    <v>Aktie</v>
    <v>45.354199999999999</v>
    <v>1389</v>
    <v>46113.999632024999</v>
    <v>5115</v>
    <v>ARISTA NETWORKS, INC.</v>
    <v>124.66</v>
    <v>ARISTA NETWORKS, INC.</v>
    <v>126.06</v>
    <v>124.85</v>
    <v>122.78</v>
    <v>ANET</v>
    <v>ARISTA NETWORKS, INC. (XNYS:ANET)</v>
    <v>2011</v>
    <v>9858</v>
    <v>6725150</v>
    <v>USD</v>
  </rv>
  <rv s="2">
    <v>1390</v>
  </rv>
  <rv s="3">
    <fb>120.77</fb>
    <v>6</v>
  </rv>
  <rv s="0">
    <v>https://www.bing.com/financeapi/forcetrigger?t=a256cw&amp;q=XNYS%3aV&amp;form=skydnc</v>
    <v>Learn more on Bing</v>
  </rv>
  <rv s="1">
    <v>0</v>
    <v>1</v>
    <v>VISA INC. (XNYS:V)</v>
    <v>3</v>
    <v>4</v>
    <v>Finance</v>
    <v>5</v>
    <v>de-DE</v>
    <v>a256cw</v>
    <v>268435456</v>
    <v>1</v>
    <v>Unterstützt von Refinitiv</v>
    <v>375.51</v>
    <v>293.89</v>
    <v>-3.73</v>
    <v>-1.2341E-2</v>
    <v>1906009000</v>
    <v>Visa Inc. Ist ein globales Zahlungstechnologie-Unternehmen. Es erleichtert den globalen Handel und den Geldverkehr in mehr als 200 Ländern und Gebieten zwischen einer globalen Gruppe von Verbrauchern, Händlern, Finanzinstituten und Regierungsbehörden mithilfe von Technologien. Sie wird über das Segment Zahlungsdienste betrieben. Das Unternehmen bietet seinen Finanzinstituten und Händlern über VisaNet, sein proprietäres Netzwerk für die erweiterte Transaktionsverarbeitung, Dienstleistungen zur Transaktionsverarbeitung (in erster Linie Autorisierung, Clearing und Abrechnung) an. Es bietet eine Reihe von Visa-Produkten, die seine Kunden, darunter fast 14.500 Finanzinstitute, nutzen, um Zahlungslösungen oder -Dienstleistungen zu entwickeln und anzubieten, einschließlich Kredit-, Debit-, Prepaid- und Bargeldzugangsprogramme für Inhaber von Einzelkonten, Unternehmen und Behörden. Darüber hinaus bietet das Unternehmen seinen Kunden Mehrwertdienstleistungen an, darunter Ausgabelösungen, Akzeptanzlösungen, Risiko- und Identitätslösungen, offene Banking-Lösungen und Beratungsdienste.</v>
    <v>0.79900000000000004</v>
    <v>568962746590</v>
    <v>New York Stock Exchange</v>
    <v>XNYS</v>
    <v>XNYS</v>
    <v>P.O. Box 8999, SAN FRANCISCO, CA, 94128-8999 US</v>
    <v>305.05</v>
    <v>Professional &amp; Commercial Services</v>
    <v>Aktie</v>
    <v>28.0108</v>
    <v>1393</v>
    <v>46113.999948101562</v>
    <v>34100</v>
    <v>VISA INC.</v>
    <v>293.89</v>
    <v>VISA INC.</v>
    <v>305.05</v>
    <v>298.51</v>
    <v>302.24</v>
    <v>V</v>
    <v>VISA INC. (XNYS:V)</v>
    <v>2007</v>
    <v>1129</v>
    <v>7665112</v>
    <v>USD</v>
  </rv>
  <rv s="2">
    <v>1394</v>
  </rv>
  <rv s="3">
    <fb>295.52</fb>
    <v>6</v>
  </rv>
  <rv s="0">
    <v>https://www.bing.com/financeapi/forcetrigger?t=a21zf2&amp;q=XNYS%3aRHI&amp;form=skydnc</v>
    <v>Learn more on Bing</v>
  </rv>
  <rv s="1">
    <v>0</v>
    <v>1</v>
    <v>ROBERT HALF INC. (XNYS:RHI)</v>
    <v>3</v>
    <v>4</v>
    <v>Finance</v>
    <v>5</v>
    <v>de-DE</v>
    <v>a21zf2</v>
    <v>268435456</v>
    <v>1</v>
    <v>Unterstützt von Refinitiv</v>
    <v>55.24</v>
    <v>21.83</v>
    <v>-0.73</v>
    <v>-2.8740000000000002E-2</v>
    <v>101143600</v>
    <v>Robert Half Inc. bietet unter den Firmennamen Robert Half und Protiviti spezialisierte Talentlösungen und Unternehmensberatungsdienste an. Das Unternehmen ist in drei Segmenten tätig: Contract Talent Solutions, Permanent Placement Talent Solutions und Protiviti. Die Segmente Contract Talent Solutions und Permanent Placement Talent Solutions bieten Fachkräfte für die Bereiche Finanzen und Buchhaltung, Technologie, Marketing und Kreativität, Recht und Verwaltung sowie Kundensupport an. Das Segment Protiviti bietet Beratungslösungen in den Bereichen Innenrevision, Risiko, Wirtschaft und Technologie an. Das Unternehmen und seine Tochtergesellschaften sind Inhaber verschiedener Marken und Dienstleistungsmarken, darunter Robert Half Finance &amp; Accounting, Accountemps, OfficeTeam, Robert Half Technology, Robert Half Management Resources, Robert Half Legal und The Creative Group. Das Unternehmen ist in Nordamerika, Südamerika, Europa, Asien und Australien tätig.</v>
    <v>0.8407</v>
    <v>2495212612</v>
    <v>New York Stock Exchange</v>
    <v>XNYS</v>
    <v>XNYS</v>
    <v>2884 Sand Hill Rd, Ste 200, MENLO PARK, CA, 94025 US</v>
    <v>25.77</v>
    <v>Professional &amp; Commercial Services</v>
    <v>Aktie</v>
    <v>18.6082</v>
    <v>1397</v>
    <v>46113.961508078122</v>
    <v>14500</v>
    <v>ROBERT HALF INC.</v>
    <v>23.82</v>
    <v>ROBERT HALF INC.</v>
    <v>25.77</v>
    <v>24.67</v>
    <v>25.4</v>
    <v>RHI</v>
    <v>ROBERT HALF INC. (XNYS:RHI)</v>
    <v>1979</v>
    <v>1135</v>
    <v>3478152</v>
    <v>USD</v>
  </rv>
  <rv s="2">
    <v>1398</v>
  </rv>
  <rv s="3">
    <fb>24.84</fb>
    <v>6</v>
  </rv>
  <rv s="0">
    <v>https://www.bing.com/financeapi/forcetrigger?t=a1x8w7&amp;q=XNYS%3aMA&amp;form=skydnc</v>
    <v>Learn more on Bing</v>
  </rv>
  <rv s="1">
    <v>0</v>
    <v>1</v>
    <v>MASTERCARD INCORPORATED. (XNYS:MA)</v>
    <v>3</v>
    <v>4</v>
    <v>Finance</v>
    <v>5</v>
    <v>de-DE</v>
    <v>a1x8w7</v>
    <v>268435456</v>
    <v>1</v>
    <v>Unterstützt von Refinitiv</v>
    <v>601.77</v>
    <v>465.59</v>
    <v>-8.01</v>
    <v>-1.6031E-2</v>
    <v>891812300</v>
    <v>Mastercard Incorporated ist ein Technologieunternehmen in der globalen Zahlungsverkehrsbranche. Das Unternehmen verbindet Verbraucher, Finanzinstitute, Händler, Regierungen, digitale Partner, Unternehmen und andere Organisationen weltweit, indem sie elektronische Zahlungen ermöglichen und diese Zahlungsvorgänge sicher, einfach, intelligent und zugänglich machen. Es bietet eine Reihe von Zahlungslösungen und -Dienstleistungen unter Verwendung seiner Marken, darunter Mastercard, Maestro und Cirrus. Das Unternehmen betreibt ein Zahlungsnetz, das Verbrauchern, Händlern und Kunden Wahlmöglichkeiten und Flexibilität bietet. Über sein proprietäres globales Zahlungsnetzwerk wechselt (autorisiert, genehmigt und abrechnet) Zahlungsvorgänge. Zu den zusätzlichen Zahlungsfunktionen gehören automatisierte Clearingstellen (Ach)-Transaktionen (sowohl Batch- als auch Echtzeit-kontobasierte Zahlungen). Es bietet Sicherheitslösungen, Kundenakquise und -Bindung, Geschäfts- und Markteinblicke, Gateway, Verarbeitung und Open Banking sowie weitere Services und Lösungen.</v>
    <v>0.83089999999999997</v>
    <v>438459517295</v>
    <v>New York Stock Exchange</v>
    <v>XNYS</v>
    <v>XNYS</v>
    <v>2000 Purchase St, PURCHASE, NY, 10577 US</v>
    <v>503</v>
    <v>Software &amp; IT Services</v>
    <v>Aktie</v>
    <v>29.750900000000001</v>
    <v>1401</v>
    <v>46113.9969709375</v>
    <v>39800</v>
    <v>MASTERCARD INCORPORATED.</v>
    <v>485.65</v>
    <v>MASTERCARD INCORPORATED.</v>
    <v>502.23</v>
    <v>491.65</v>
    <v>499.66</v>
    <v>MA</v>
    <v>MASTERCARD INCORPORATED. (XNYS:MA)</v>
    <v>2001</v>
    <v>601</v>
    <v>3568802</v>
    <v>USD</v>
  </rv>
  <rv s="2">
    <v>1402</v>
  </rv>
  <rv s="3">
    <fb>484.24</fb>
    <v>6</v>
  </rv>
  <rv s="0">
    <v>https://www.bing.com/financeapi/forcetrigger?t=a25f6h&amp;q=XNYS%3aVMC&amp;form=skydnc</v>
    <v>Learn more on Bing</v>
  </rv>
  <rv s="1">
    <v>0</v>
    <v>1</v>
    <v>VULCAN MATERIALS COMPANY (XNYS:VMC)</v>
    <v>3</v>
    <v>4</v>
    <v>Finance</v>
    <v>5</v>
    <v>de-DE</v>
    <v>a25f6h</v>
    <v>268435456</v>
    <v>1</v>
    <v>Unterstützt von Refinitiv</v>
    <v>331.09</v>
    <v>218.87</v>
    <v>7.83</v>
    <v>2.8755000000000003E-2</v>
    <v>130462200</v>
    <v>Vulcan Materials Company ist ein Lieferant von Bauzuschlagstoffen und Hersteller von Baustoffen auf Zuschlagstoffbasis. Zu den Segmenten des Unternehmens gehören Zuschlagstoffe, Asphalt und Beton. Das Segment Aggregate produziert und verkauft Zuschlagstoffe, wie zerkleinerte Steine, Sand und Kies, Sand und andere Zuschlagstoffe sowie zugehörige Produkte und Dienstleistungen. Dieses Segment umfasst auch eine Produktionsphase und einen gemieteten Kalziumbetrieb in Brooksville, Florida. Dieser Kalksteinbruch stellt eine Ergänzung für Endprodukte wie Futtermittel und Kunststoffe her. Das Segment Asphalt produziert und verkauft Asphaltmischungen in Alabama, Arizona, Kalifornien, New Mexico, Tennessee und Texas und bietet Asphaltbauarbeiten in Alabama, Tennessee und Texas an. Das Segment Beton produziert und verkauft Fertigbeton in Kalifornien, Maryland und Virginia. Das Unternehmen stellt die Grundmaterialien für die Infrastruktur bereit, die von Lkw, Schiffen, Binnenschiffen und Zügen geliefert wird.</v>
    <v>1.0954999999999999</v>
    <v>36546376086</v>
    <v>New York Stock Exchange</v>
    <v>XNYS</v>
    <v>XNYS</v>
    <v>1200 Urban Center Drive, BIRMINGHAM, AL, 35242 US</v>
    <v>282.33</v>
    <v>Construction Materials</v>
    <v>Aktie</v>
    <v>34.387799999999999</v>
    <v>1405</v>
    <v>46113.984117800785</v>
    <v>11172</v>
    <v>VULCAN MATERIALS COMPANY</v>
    <v>273.54000000000002</v>
    <v>VULCAN MATERIALS COMPANY</v>
    <v>273.60000000000002</v>
    <v>280.13</v>
    <v>272.3</v>
    <v>VMC</v>
    <v>VULCAN MATERIALS COMPANY (XNYS:VMC)</v>
    <v>2007</v>
    <v>46</v>
    <v>1522116</v>
    <v>USD</v>
  </rv>
  <rv s="2">
    <v>1406</v>
  </rv>
  <rv s="3">
    <fb>261.45999999999998</fb>
    <v>6</v>
  </rv>
  <rv s="0">
    <v>https://www.bing.com/financeapi/forcetrigger?t=a26hyc&amp;q=XNYS%3aZTS&amp;form=skydnc</v>
    <v>Learn more on Bing</v>
  </rv>
  <rv s="1">
    <v>0</v>
    <v>1</v>
    <v>ZOETIS INC. (XNYS:ZTS)</v>
    <v>3</v>
    <v>4</v>
    <v>Finance</v>
    <v>19</v>
    <v>de-DE</v>
    <v>a26hyc</v>
    <v>268435456</v>
    <v>1</v>
    <v>Unterstützt von Refinitiv</v>
    <v>172.23</v>
    <v>113.29</v>
    <v>-0.92</v>
    <v>-7.783E-3</v>
    <v>422127700</v>
    <v>Zoetis Inc. Ist ein weltweit tätiges Unternehmen für Tiergesundheit. Das Unternehmen konzentriert sich auf die Entdeckung, Entwicklung, Herstellung und Vermarktung von Medikamenten, Impfstoffen, Diagnostika und Dienstleistungen, Bioprodukten, Gentests und Präzisionstiergesundheit. Das Unternehmen ist in zwei Segmenten tätig: In den USA und in den USA. In jedem dieser Geschäftssegmente bietet das Unternehmen ein diversifiziertes Produktportfolio, darunter Parasitizide, Impfstoffe, Dermatologie, Antiinfektiva, Schmerzen und Sedierung, andere pharmazeutische und tiergesundheitliche Diagnostik, sowohl für Kunden von Haustieren als auch für Nutztiere. Das Unternehmen vertreibt seine Produkte direkt in etwa 45 Ländern in Nordamerika, Europa, Afrika, Asien, Australien und Südamerika. Das Unternehmen vermarktet Produkte für acht Kernarten: Hunde, Katzen und Pferde (zusammen als Begleittiere bezeichnet) sowie Rinder, Geflügel, Schweine, Fische und Schafe (zusammen als Nutztiere bezeichnet).</v>
    <v>0.97409999999999997</v>
    <v>49511357933</v>
    <v>New York Stock Exchange</v>
    <v>XNYS</v>
    <v>XNYS</v>
    <v>10 Sylvan Way, PARSIPPANY, NJ, 07054 US</v>
    <v>118.89</v>
    <v>Pharmaceuticals</v>
    <v>Aktie</v>
    <v>19.477</v>
    <v>1409</v>
    <v>46113.988799617968</v>
    <v>14500</v>
    <v>ZOETIS INC.</v>
    <v>116.76</v>
    <v>ZOETIS INC.</v>
    <v>118.2</v>
    <v>117.29</v>
    <v>118.21</v>
    <v>ZTS</v>
    <v>ZOETIS INC. (XNYS:ZTS)</v>
    <v>2012</v>
    <v>2211613</v>
    <v>4196320</v>
    <v>USD</v>
  </rv>
  <rv s="2">
    <v>1410</v>
  </rv>
  <rv s="3">
    <fb>113.35</fb>
    <v>6</v>
  </rv>
  <rv s="0">
    <v>https://www.bing.com/financeapi/forcetrigger?t=a226rw&amp;q=XNYS%3aROL&amp;form=skydnc</v>
    <v>Learn more on Bing</v>
  </rv>
  <rv s="1">
    <v>0</v>
    <v>1</v>
    <v>ROLLINS, INC. (XNYS:ROL)</v>
    <v>3</v>
    <v>4</v>
    <v>Finance</v>
    <v>5</v>
    <v>de-DE</v>
    <v>a226rw</v>
    <v>268435456</v>
    <v>1</v>
    <v>Unterstützt von Refinitiv</v>
    <v>66.14</v>
    <v>49.728000000000002</v>
    <v>0.08</v>
    <v>1.498E-3</v>
    <v>481988800</v>
    <v>Rollins, Inc. ist ein globales Dienstleistungsunternehmen für Verbraucher und Unternehmen. Das Unternehmen bietet über seine Tochtergesellschaften und unabhängigen Franchisenehmer in über 70 Ländern, darunter in den Vereinigten Staaten, Kanada, Australien, Europa und Asien, sowie über internationale Franchisenehmer in Kanada, Mittel- und Südamerika und anderen Ländern, wichtige Dienstleistungen zur Schädlings- und Wildtierbekämpfung und zum Schutz vor Termitenschäden, Nagetieren und Insekten für private und gewerbliche Kunden an. Das Unternehmen ist in einem Segment tätig, das seine drei Dienstleistungsangebote umfasst: Die Dienstleistungen für Privathaushalte umfassen Schädlingsbekämpfungsdienste zum Schutz von Wohnimmobilien vor häufigen Schädlingen wie Nagetieren, Insekten und Wildtieren; die gewerblichen Dienstleistungen umfassen Lösungen zur Schädlingsbekämpfung am Arbeitsplatz für Kunden in verschiedenen Endmärkten, wie z. B. im Gesundheitswesen, in der Lebensmittelindustrie und in der Logistik, und die Termiten- und Zusatzdienstleistungen bieten Termitenschutzdienste und Zusatzdienstleistungen für private und gewerbliche Kunden.</v>
    <v>0.84030000000000005</v>
    <v>25781580912</v>
    <v>New York Stock Exchange</v>
    <v>XNYS</v>
    <v>XNYS</v>
    <v>2170 PIEDMONT RD NE, ATLANTA, GA, 30324 US</v>
    <v>54.1</v>
    <v>Professional &amp; Commercial Services</v>
    <v>Aktie</v>
    <v>49.168100000000003</v>
    <v>1413</v>
    <v>46113.987365960158</v>
    <v>21946</v>
    <v>ROLLINS, INC.</v>
    <v>53.33</v>
    <v>ROLLINS, INC.</v>
    <v>53.34</v>
    <v>53.49</v>
    <v>53.41</v>
    <v>ROL</v>
    <v>ROLLINS, INC. (XNYS:ROL)</v>
    <v>1948</v>
    <v>1402</v>
    <v>3031887</v>
    <v>USD</v>
  </rv>
  <rv s="2">
    <v>1414</v>
  </rv>
  <rv s="3">
    <fb>52.46</fb>
    <v>6</v>
  </rv>
  <rv s="0">
    <v>https://www.bing.com/financeapi/forcetrigger?t=a1xroc&amp;q=XNYS%3aMMM&amp;form=skydnc</v>
    <v>Learn more on Bing</v>
  </rv>
  <rv s="1">
    <v>0</v>
    <v>1</v>
    <v>3M COMPANY (XNYS:MMM)</v>
    <v>3</v>
    <v>4</v>
    <v>Finance</v>
    <v>5</v>
    <v>de-DE</v>
    <v>a1xroc</v>
    <v>268435456</v>
    <v>1</v>
    <v>Unterstützt von Refinitiv</v>
    <v>177.41</v>
    <v>121.97709999999999</v>
    <v>0.02</v>
    <v>1.3769999999999999E-4</v>
    <v>522396200</v>
    <v>3M Company ist ein diversifiziertes Technologieunternehmen. Das Unternehmen ist Hersteller und Vermarkter einer Vielzahl von Produkten und Dienstleistungen. Zu den Geschäftsbereichen des Unternehmens gehören Sicherheit und Industrie, Transport und Elektronik sowie Verbraucher. Das Segment Sicherheit und Industrie umfasst industrielle Schleifmittel und Finishing-Produkte für die Metallbearbeitung, Lösungen für die Karosseriereparatur, industrielle Spezialprodukte wie Körperpflegeprodukte, Abdeck- und Verpackungsmaterialien und andere. Das Segment Transport und Elektronik umfasst fortschrittliche keramische Lösungen, Befestigungs- und Klebeprodukte, Folien, Schall- und Temperaturmanagement für Transportfahrzeuge sowie hochwertige großformatige Grafikfolien für Werbung und Flottenbeschilderung. Das Verbrauchersegment umfasst Haushaltsreinigungsprodukte, Produkte zur Verbesserung der Luftqualität und Zubehör zum Aufhängen von Bildern. Zu den Marken gehören 3M Cubitron II Schleifmittel, Scotch-Brite, Filtrete, Command, Scotchgard, Meguiar's, Nexcare, Post-it und andere.</v>
    <v>1.0789</v>
    <v>75878048050</v>
    <v>New York Stock Exchange</v>
    <v>XNYS</v>
    <v>XNYS</v>
    <v>3M Center, Bldg. 220-9E-02, SAINT PAUL, MN, 55144-1000 US</v>
    <v>147.28</v>
    <v>Consumer Goods Conglomerates</v>
    <v>Aktie</v>
    <v>24.226099999999999</v>
    <v>1417</v>
    <v>46113.99983340234</v>
    <v>60500</v>
    <v>3M COMPANY</v>
    <v>145.16999999999999</v>
    <v>3M COMPANY</v>
    <v>146.02000000000001</v>
    <v>145.25</v>
    <v>145.22999999999999</v>
    <v>MMM</v>
    <v>3M COMPANY (XNYS:MMM)</v>
    <v>1929</v>
    <v>625</v>
    <v>4232950</v>
    <v>USD</v>
  </rv>
  <rv s="2">
    <v>1418</v>
  </rv>
  <rv s="3">
    <fb>143.04</fb>
    <v>6</v>
  </rv>
  <rv s="4">
    <v>7</v>
    <v>8</v>
    <v>GE HealthCare Technologies Inc. (XNAS:GEHC)</v>
    <v>9</v>
    <v>4</v>
    <v>Finance</v>
    <v>5</v>
    <v>de-DE</v>
    <v>c8bc4c</v>
    <v>268435456</v>
    <v>1</v>
    <v>Unterstützt von Refinitiv</v>
    <v>89.77</v>
    <v>57.65</v>
    <v>0.8</v>
    <v>1.1238999999999999E-2</v>
    <v>456290100</v>
    <v>GE Healthcare Technologies Inc. Ist ein Unternehmen für Medizintechnik, pharmazeutische Diagnostik und digitale Lösungen. Das Unternehmen bietet integrierte Lösungen, Services und Datenanalysen. Zu den Segmenten zählen Bildgebung, Ultraschall, Patient Care Solutions (PCS) und Pharmaceutical Diagnostics (PDX). Das Segment Bildgebung bietet ein umfassendes Portfolio an Scangeräten, klinischen Anwendungen, Servicefunktionen und digitalen Lösungen. Das Segment Ultraschall umfasst medizinische Ultraschallgeräte und -Lösungen mit einem Portfolio an Versorgungskontinuität, einschließlich Screening, Diagnose, Behandlung und Überwachung bestimmter Krankheiten. Das Segment umfasst auch das Softwaregeschäft für klinische künstliche Intelligenz (KI). Das Portfolio des PCS-Segments umfasst Patientenüberwachung, Anästhesie- und Atemversorgung, diagnostische Kardiologie, Versorgung von Müttern und Kleinkindern sowie Verbrauchsmaterialien und Dienstleistungen. Das PDX-Segment besteht aus zwei Geschäftsbereichen: Kontrastmittel und molekulare Bildgebung.</v>
    <v>1.37</v>
    <v>32843761398</v>
    <v>Nasdaq Stock Market</v>
    <v>XNAS</v>
    <v>XNAS</v>
    <v>500 West Monroe Street, CHICAGO, IL, 60661 US</v>
    <v>72.14</v>
    <v>Healthcare Equipment &amp; Supplies</v>
    <v>Aktie</v>
    <v>15.8056</v>
    <v>46113.998686666404</v>
    <v>54000</v>
    <v>GE HealthCare Technologies Inc.</v>
    <v>71.02</v>
    <v>GE HealthCare Technologies Inc.</v>
    <v>71.02</v>
    <v>71.98</v>
    <v>71.180000000000007</v>
    <v>GEHC</v>
    <v>GE HealthCare Technologies Inc. (XNAS:GEHC)</v>
    <v>2022</v>
    <v>21</v>
    <v>3707626</v>
    <v>USD</v>
  </rv>
  <rv s="2">
    <v>1421</v>
  </rv>
  <rv s="3">
    <fb>69.23</fb>
    <v>6</v>
  </rv>
  <rv s="0">
    <v>https://www.bing.com/financeapi/forcetrigger?t=a218k2&amp;q=XNYS%3aPRU&amp;form=skydnc</v>
    <v>Learn more on Bing</v>
  </rv>
  <rv s="11">
    <v>33</v>
    <v>34</v>
    <v>PRUDENTIAL FINANCIAL, INC. (XNYS:PRU)</v>
    <v>3</v>
    <v>35</v>
    <v>Finance</v>
    <v>36</v>
    <v>de-DE</v>
    <v>a218k2</v>
    <v>268435456</v>
    <v>1</v>
    <v>Unterstützt von Refinitiv</v>
    <v>119.76</v>
    <v>90.38</v>
    <v>0.28999999999999998</v>
    <v>2.9689999999999999E-3</v>
    <v>347818700</v>
    <v>Prudential Financial, Inc. ist ein Finanzdienstleister und globaler Vermögensverwalter. Das Unternehmen bietet eine Reihe von Finanzprodukten und -dienstleistungen an, darunter Lebensversicherungen, Rentenversicherungen, Produkte und Dienstleistungen für die Altersvorsorge, Investmentfonds und Anlageverwaltung. Es bietet diese Produkte und Dienstleistungen privaten und institutionellen Kunden über eigene und fremde Vertriebsnetze an. Das Unternehmen ist in den Vereinigten Staaten, Asien, Europa und Lateinamerika tätig. Das Segment umfasst PGIM, U.S. Businesses, International Businesses und Corporate and Other. Das Segment PGIM bietet Anlageverwaltungsdienstleistungen und -lösungen für institutionelle und private Kunden sowie für die allgemeine Kundschaft in den Bereichen festverzinsliche Wertpapiere, Aktien, Immobilienanleihen und -aktien, private Kredite und andere alternative Anlagen sowie Multi-Asset-Class-Strategien. Das Segment U.S. Businesses besteht aus den Bereichen Altersvorsorgestrategien, Gruppenversicherungen und einzelnen Lebensprodukte.</v>
    <v>0.93979999999999997</v>
    <v>34079276226</v>
    <v>New York Stock Exchange</v>
    <v>XNYS</v>
    <v>XNYS</v>
    <v>751 BROAD ST, NEWARK, NJ, 07102 US</v>
    <v>99.16</v>
    <v>Insurance</v>
    <v>Aktie</v>
    <v>9.7925000000000004</v>
    <v>1424</v>
    <v>46113.987060821091</v>
    <v>36824</v>
    <v>PRUDENTIAL FINANCIAL, INC.</v>
    <v>97.28</v>
    <v>PRUDENTIAL FINANCIAL, INC.</v>
    <v>98.14</v>
    <v>97.98</v>
    <v>99.3</v>
    <v>97.69</v>
    <v>PRU</v>
    <v>PRUDENTIAL FINANCIAL, INC. (XNYS:PRU)</v>
    <v>1999</v>
    <v>1.32</v>
    <v>1.3472E-2</v>
    <v>2273160</v>
    <v>2423834</v>
    <v>USD</v>
  </rv>
  <rv s="2">
    <v>1425</v>
  </rv>
  <rv s="3">
    <fb>93.29</fb>
    <v>6</v>
  </rv>
  <rv s="0">
    <v>https://www.bing.com/financeapi/forcetrigger?t=a25xgh&amp;q=XNAS%3aWTW&amp;form=skydnc</v>
    <v>Learn more on Bing</v>
  </rv>
  <rv s="1">
    <v>0</v>
    <v>1</v>
    <v>Willis Towers Watson Public Limited Company (XNAS:WTW)</v>
    <v>3</v>
    <v>4</v>
    <v>Finance</v>
    <v>5</v>
    <v>de-DE</v>
    <v>a25xgh</v>
    <v>268435456</v>
    <v>1</v>
    <v>Unterstützt von Refinitiv</v>
    <v>352.78500000000003</v>
    <v>275.60000000000002</v>
    <v>-3.17</v>
    <v>-1.0905E-2</v>
    <v>94203100</v>
    <v>Die Willis Towers Watson Public Limited Company ist ein globales Beratungs-, Vermittler- und Lösungsunternehmen, das datenbasierte, einsichtsorientierte Lösungen in den Bereichen Personal, Risiko und Kapital anbietet. Zu den Segmenten des Unternehmens gehören Gesundheit, Wealth &amp; Career (HWC), Risk &amp; Broking (R&amp;B) und Corporate. Das HWC-Segment bietet eine Reihe von Beratung, Vermittlung, Lösungen und Technologien für Leistungspläne für Mitarbeiter, institutionelle Investoren, Vergütungs- und Karriereprogramme sowie Mitarbeitererfahrung insgesamt. Sein Portfolio an Dienstleistungen unterstützt die miteinander verbundenen Herausforderungen, denen sich die Managementteams ihrer Kunden in den Bereichen Personal und Finanzen gegenübersehen. Es konzentriert sich auf vier Schlüsselbereiche: Gesundheit, Wohlstand, Karriere und Leistungen Lieferung und Outsourcing. Das R&amp;B-Segment bietet eine Reihe von Risikoberatungs-, Versicherungs- und Beratungsdienstleistungen für Kunden, von kleinen Unternehmen bis hin zu multinationalen Konzernen. Das R&amp;B-Segment umfasst zwei Geschäftsbereiche: Corporate Risk &amp; Broking sowie Insurance Consulting and Technology.</v>
    <v>0.63019999999999998</v>
    <v>27086217342</v>
    <v>Nasdaq Stock Market</v>
    <v>XNAS</v>
    <v>XNAS</v>
    <v>ELM PARK MERRION ROAD, DUBLIN, D04 EC86 IE</v>
    <v>292.87</v>
    <v>Insurance</v>
    <v>Aktie</v>
    <v>17.537600000000001</v>
    <v>1428</v>
    <v>46113.924367777341</v>
    <v>47000</v>
    <v>Willis Towers Watson Public Limited Company</v>
    <v>287.42</v>
    <v>Willis Towers Watson Public Limited Company</v>
    <v>288.16000000000003</v>
    <v>287.52999999999997</v>
    <v>290.7</v>
    <v>WTW</v>
    <v>Willis Towers Watson Public Limited Company (XNAS:WTW)</v>
    <v>2009</v>
    <v>1</v>
    <v>607394</v>
    <v>USD</v>
  </rv>
  <rv s="2">
    <v>1429</v>
  </rv>
  <rv s="3">
    <fb>282.18</fb>
    <v>6</v>
  </rv>
  <rv s="0">
    <v>https://www.bing.com/financeapi/forcetrigger?t=a1yy2w&amp;q=XNAS%3aNXPI&amp;form=skydnc</v>
    <v>Learn more on Bing</v>
  </rv>
  <rv s="1">
    <v>0</v>
    <v>1</v>
    <v>NXP Semiconductors NV (XNAS:NXPI)</v>
    <v>3</v>
    <v>4</v>
    <v>Finance</v>
    <v>5</v>
    <v>de-DE</v>
    <v>a1yy2w</v>
    <v>268435456</v>
    <v>1</v>
    <v>Unterstützt von Refinitiv</v>
    <v>256.36</v>
    <v>148.09</v>
    <v>-1.28</v>
    <v>-6.502E-3</v>
    <v>252692900</v>
    <v>NXP Semiconductors N.V. ist eine in den Niederlanden ansässige Holdinggesellschaft, die hauptsächlich in der Halbleiterindustrie tätig ist. Das Unternehmen konzentriert sich über seine Tochtergesellschaften auf das Design, die Entwicklung und die Herstellung von Halbleiterprodukten, die in einer Vielzahl von Anwendungen in den Märkten für Automobil, Industrie, Mobilfunk und Kommunikationsinfrastruktur eingesetzt werden. NXP Semiconductors gibt seinen Umsatz nach Endmärkten an. Automotive umfasst Produkte für Fahrzeugsteuerung, Sicherheit, Infotainment und Elektrifizierung; Industrial &amp; Internet of Things (IoT) deckt Anwendungen in Smart Home, Smart City und Industrieautomatisierung ab. Das Unternehmen verfügt über ein berichtspflichtiges Segment, das das Unternehmen als Ganzes repräsentiert. Es spiegelt die operativen Entscheidungen und die Ressourcenallokation des Unternehmens wider.</v>
    <v>1.4668000000000001</v>
    <v>49421677382</v>
    <v>Nasdaq Stock Market</v>
    <v>XNAS</v>
    <v>XNAS</v>
    <v>High Tech Campus 60, EINDHOVEN, NOORD-BRABANT, 5656AG NL</v>
    <v>199.66</v>
    <v>Semiconductors &amp; Semiconductor Equipment</v>
    <v>Aktie</v>
    <v>24.613099999999999</v>
    <v>1432</v>
    <v>46113.996279560153</v>
    <v>32169</v>
    <v>NXP Semiconductors NV</v>
    <v>195.13</v>
    <v>NXP Semiconductors NV</v>
    <v>197.44</v>
    <v>195.58</v>
    <v>196.86</v>
    <v>NXPI</v>
    <v>NXP Semiconductors NV (XNAS:NXPI)</v>
    <v>2010</v>
    <v>431</v>
    <v>2743702</v>
    <v>USD</v>
  </rv>
  <rv s="2">
    <v>1433</v>
  </rv>
  <rv s="3">
    <fb>191.66</fb>
    <v>6</v>
  </rv>
  <rv s="0">
    <v>https://www.bing.com/financeapi/forcetrigger?t=a23ocw&amp;q=XNYS%3aSTE&amp;form=skydnc</v>
    <v>Learn more on Bing</v>
  </rv>
  <rv s="1">
    <v>0</v>
    <v>1</v>
    <v>STERIS PUBLIC LIMITED COMPANY (XNYS:STE)</v>
    <v>3</v>
    <v>4</v>
    <v>Finance</v>
    <v>19</v>
    <v>de-DE</v>
    <v>a23ocw</v>
    <v>268435456</v>
    <v>1</v>
    <v>Unterstützt von Refinitiv</v>
    <v>269.44</v>
    <v>204.9</v>
    <v>-1.19</v>
    <v>-5.3810000000000004E-3</v>
    <v>98075020</v>
    <v>STERIS PLC ist ein Anbieter von Produkten und Dienstleistungen, die die Patientenversorgung mit Schwerpunkt auf Infektionsprävention unterstützen. Zu den Segmenten zählen Healthcare, Applied Sterilization Technologies (AST) und Life Sciences. Das Segment Healthcare bietet ein umfassendes Angebot für Gesundheitsdienstleister weltweit, das sich auf sterile Verarbeitungsabteilungen und Verfahrenszentren wie Operationssäle und Endoskopiesäle konzentriert. Das Segment AST unterstützt Hersteller von Medizinprodukten und Pharmazeutika über ein globales Netzwerk von Auftragssterilisierungs- und Laborprüfeinrichtungen sowie integrierte Sterilisationsgeräte und Kontrollsysteme. Das Segment Life Sciences bietet ein umfassendes Angebot an Produkten und Dienstleistungen zur Unterstützung von Forschungs- und Fertigungseinrichtungen für biopharmazeutische und medizinische Geräte, insbesondere solche, die sich auf die aseptische Herstellung konzentrieren. Das Portfolio umfasst eine umfassende Palette von Verbrauchsmaterialien, Gerätewartung, Spezialdienstleistungen und Investitionsausrüstung.</v>
    <v>1.0709</v>
    <v>21570619898</v>
    <v>New York Stock Exchange</v>
    <v>XNYS</v>
    <v>XNYS</v>
    <v>70 Sir John Rogerson's Quay, DUBLIN IE</v>
    <v>222.4</v>
    <v>Healthcare Equipment &amp; Supplies</v>
    <v>Aktie</v>
    <v>30.610099999999999</v>
    <v>1436</v>
    <v>46113.961256353905</v>
    <v>17787</v>
    <v>STERIS PUBLIC LIMITED COMPANY</v>
    <v>218.68100000000001</v>
    <v>STERIS PUBLIC LIMITED COMPANY</v>
    <v>220.03</v>
    <v>219.94</v>
    <v>221.13</v>
    <v>STE</v>
    <v>STERIS PUBLIC LIMITED COMPANY (XNYS:STE)</v>
    <v>2016</v>
    <v>659079</v>
    <v>921110</v>
    <v>USD</v>
  </rv>
  <rv s="2">
    <v>1437</v>
  </rv>
  <rv s="3">
    <fb>219.4</fb>
    <v>6</v>
  </rv>
  <rv s="0">
    <v>https://www.bing.com/financeapi/forcetrigger?t=a1o9gh&amp;q=XNYS%3aBBY&amp;form=skydnc</v>
    <v>Learn more on Bing</v>
  </rv>
  <rv s="1">
    <v>0</v>
    <v>1</v>
    <v>Best Buy Co., Inc. (XNYS:BBY)</v>
    <v>3</v>
    <v>4</v>
    <v>Finance</v>
    <v>5</v>
    <v>de-DE</v>
    <v>a1o9gh</v>
    <v>268435456</v>
    <v>1</v>
    <v>Unterstützt von Refinitiv</v>
    <v>84.99</v>
    <v>54.99</v>
    <v>0.11</v>
    <v>1.7130000000000001E-3</v>
    <v>209112600</v>
    <v>BEST Buy Co., Inc. Beschäftigt sich mit der Personalisierung und Humanisierung von Technologielösungen. Das Unternehmen hat zwei Segmente: Inland und International. Das Segment Inland umfasst seine Niederlassungen in allen bundesstaaten, Bezirken und Territorien der Vereinigten Staaten und sein Geschäft mit Best Buy Health und umfasst die Markennamen Best Buy, Best Buy Ads, Best Buy Business, Best Buy Essentials, Best Buy Health, Geek Squad, Stell Dir Vor, Insignia, Lebhaft, Mein Bester Kauf, My Best Buy Mitgliedschaften, Pacific Kitchen and Home, TechLiquidators und Yardbird sowie die Domainnamen bestbuy.com, lively.com, techliquidators.com und yardbird.com. Das Segment International umfasst alle Geschäftsbereiche in Kanada unter den Markennamen Best Buy, Best Buy Express, Best Buy Mobile, Geek Squad und TechLiquidators sowie die Domainnamen bestbuy.ca und techliquidators.ca. Zu den Produktkategorien des Unternehmens gehören Computer- und Mobiltelefone, Unterhaltungselektronik, Geräte, Unterhaltung, Dienstleistungen und andere.</v>
    <v>1.3743000000000001</v>
    <v>13448031306</v>
    <v>New York Stock Exchange</v>
    <v>XNYS</v>
    <v>XNYS</v>
    <v>7601 Penn Ave S, RICHFIELD, MN, 55423 US</v>
    <v>64.989900000000006</v>
    <v>Specialty Retailers</v>
    <v>Aktie</v>
    <v>12.741400000000001</v>
    <v>1440</v>
    <v>46113.995868089842</v>
    <v>82000</v>
    <v>Best Buy Co., Inc.</v>
    <v>63.62</v>
    <v>Best Buy Co., Inc.</v>
    <v>64.819999999999993</v>
    <v>64.31</v>
    <v>64.2</v>
    <v>BBY</v>
    <v>Best Buy Co., Inc. (XNYS:BBY)</v>
    <v>1966</v>
    <v>1</v>
    <v>5634603</v>
    <v>USD</v>
  </rv>
  <rv s="2">
    <v>1441</v>
  </rv>
  <rv s="3">
    <fb>62.98</fb>
    <v>6</v>
  </rv>
  <rv s="0">
    <v>https://www.bing.com/financeapi/forcetrigger?t=a1naqh&amp;q=XNYS%3aALLE&amp;form=skydnc</v>
    <v>Learn more on Bing</v>
  </rv>
  <rv s="11">
    <v>33</v>
    <v>34</v>
    <v>ALLEGION PUBLIC LIMITED COMPANY (XNYS:ALLE)</v>
    <v>3</v>
    <v>35</v>
    <v>Finance</v>
    <v>36</v>
    <v>de-DE</v>
    <v>a1naqh</v>
    <v>268435456</v>
    <v>1</v>
    <v>Unterstützt von Refinitiv</v>
    <v>183.11</v>
    <v>116.57</v>
    <v>-1.1299999999999999</v>
    <v>-7.7780000000000002E-3</v>
    <v>86145480</v>
    <v>Allegion plc ist ein globaler Anbieter von Sicherheitsprodukten und -Lösungen. Das Unternehmen schützt Menschen und Vermögenswerte mit einer Reihe von Lösungen für Privathaushalte, Unternehmen, Schulen und Institutionen. Das Segment Allegion Americas ist ein Anbieter von Sicherheitsprodukten, -Services und -Lösungen in ganz Nordamerika. Das Unternehmen verkauft eine Reihe von Produkten und Lösungen, darunter Schlösser, Schlösser, Schlüsselsysteme, Türsteuerungen und -Systeme, Ausstiegsvorrichtungen, Türen, Zubehör, elektronische Sicherheitsprodukte, Zugangskontrollsysteme sowie Software- und Servicelösungen für Kunden in gewerblichen, institutionellen und privaten Einrichtungen. Das Segment Allegion International bietet Sicherheitsprodukte, -Services und -Lösungen in erster Linie in Europa, Asien und Ozeanien an. Das Segment bietet Endbenutzern eine Reihe von Produkten, Dienstleistungen und Lösungen, darunter Schlösser, Schlösser, tragbare Schlösser, Schlüsselsysteme, Türschließer und -Systeme usw. Zu den Marken zählen CISA, Interflex, LCN, Schlage, SimonsVoss, von Duprin, Trimco und andere.</v>
    <v>1.0308999999999999</v>
    <v>12418732396</v>
    <v>New York Stock Exchange</v>
    <v>XNYS</v>
    <v>XNYS</v>
    <v>Block D Iveagh Court, Harcourt Road, Dublin 2, DUBLIN, DUBLIN, D02 VH94 IE</v>
    <v>146.69</v>
    <v>Communications &amp; Networking</v>
    <v>Aktie</v>
    <v>19.379000000000001</v>
    <v>1444</v>
    <v>46113.958333367969</v>
    <v>13300</v>
    <v>ALLEGION PUBLIC LIMITED COMPANY</v>
    <v>143.69999999999999</v>
    <v>ALLEGION PUBLIC LIMITED COMPANY</v>
    <v>145.77000000000001</v>
    <v>144.16</v>
    <v>144.59</v>
    <v>145.29</v>
    <v>ALLE</v>
    <v>ALLEGION PUBLIC LIMITED COMPANY (XNYS:ALLE)</v>
    <v>2013</v>
    <v>0.43</v>
    <v>2.983E-3</v>
    <v>884197</v>
    <v>874961</v>
    <v>USD</v>
  </rv>
  <rv s="2">
    <v>1445</v>
  </rv>
  <rv s="3">
    <fb>144.5</fb>
    <v>6</v>
  </rv>
  <rv s="0">
    <v>http://it.wikipedia.org/wiki/T._Rowe_Price</v>
    <v>Wikipedia</v>
  </rv>
  <rv s="6">
    <v>35</v>
    <v>1448</v>
  </rv>
  <rv s="7">
    <v>18</v>
    <v>https://www.bing.com/th?id=AMMS_4c600be848f66590834841f27e6f786d&amp;qlt=95</v>
    <v>1449</v>
    <v>0</v>
    <v>https://www.bing.com/images/search?form=xlimg&amp;q=t.+rowe+price</v>
    <v>Image of T. ROWE PRICE GROUP, INC.</v>
  </rv>
  <rv s="0">
    <v>https://www.bing.com/financeapi/forcetrigger?t=a24i3m&amp;q=XNAS%3aTROW&amp;form=skydnc</v>
    <v>Learn more on Bing</v>
  </rv>
  <rv s="8">
    <v>13</v>
    <v>14</v>
    <v>T. ROWE PRICE GROUP, INC. (XNAS:TROW)</v>
    <v>16</v>
    <v>17</v>
    <v>Finance</v>
    <v>5</v>
    <v>de-DE</v>
    <v>a24i3m</v>
    <v>268435456</v>
    <v>1</v>
    <v>Unterstützt von Refinitiv</v>
    <v>118.22</v>
    <v>77.849999999999994</v>
    <v>-0.27</v>
    <v>-2.9949999999999998E-3</v>
    <v>217605900</v>
    <v>T. Rowe Price Group, Inc. Ist ein globales Asset Management-Unternehmen. Das Unternehmen bietet eine breite Palette von Anlagelösungen für Aktien, festverzinsliche Anlagen, Multi-Asset-Funktionen und alternative Funktionen für Kunden auf der ganzen Welt – von Einzelpersonen über Berater, Institutionen bis hin zu Sponsoren für Altersvorsorgepläne. Darüber hinaus erbringt es bestimmten Anlageberatungskunden damit zusammenhängende Verwaltungsdienstleistungen wie Vertrieb, Vermögensübertragungsstelle, Buchhaltung und Anteilseignerdienstleistungen, Teilnehmeraufzeichnungs- und Transferdienste für beitragsorientierte Altersvorsorgepläne, Maklerdienste, Treuhanddienste und nicht-diskretionäre Beratungsdienste durch Modellbereitstellung. Das Unternehmen vertreibt seine aktiven Investitionslösungen über eine Vielzahl von Vertriebskanälen und Fahrzeugen, um den Bedürfnissen seiner Kunden weltweit gerecht zu werden. Zu diesen Fahrzeugen gehören eine Reihe von US-Investmentfonds, kollektiven Investmentfonds, unterberatenen Fonds, getrennt verwalteten Konten und anderen gesponserten Produkten.</v>
    <v>1.5253000000000001</v>
    <v>1450</v>
    <v>19556242233</v>
    <v>Nasdaq Stock Market</v>
    <v>XNAS</v>
    <v>XNAS</v>
    <v>Harbor Point, 1307 Point Street, BALTIMORE, MD, 21231 US</v>
    <v>91.25</v>
    <v>Investment Banking &amp; Investment Services</v>
    <v>Aktie</v>
    <v>9.7210999999999999</v>
    <v>1451</v>
    <v>46113.986608240622</v>
    <v>7773</v>
    <v>T. ROWE PRICE GROUP, INC.</v>
    <v>89.65</v>
    <v>T. ROWE PRICE GROUP, INC.</v>
    <v>90.375</v>
    <v>89.87</v>
    <v>90.14</v>
    <v>TROW</v>
    <v>T. ROWE PRICE GROUP, INC. (XNAS:TROW)</v>
    <v>2000</v>
    <v>25</v>
    <v>2688779</v>
    <v>USD</v>
  </rv>
  <rv s="2">
    <v>1452</v>
  </rv>
  <rv s="3">
    <fb>88.45</fb>
    <v>6</v>
  </rv>
  <rv s="0">
    <v>https://www.bing.com/financeapi/forcetrigger?t=a1xear&amp;q=XNYS%3aMCO&amp;form=skydnc</v>
    <v>Learn more on Bing</v>
  </rv>
  <rv s="11">
    <v>33</v>
    <v>34</v>
    <v>MOODY'S CORPORATION (XNYS:MCO)</v>
    <v>3</v>
    <v>35</v>
    <v>Finance</v>
    <v>36</v>
    <v>de-DE</v>
    <v>a1xear</v>
    <v>268435456</v>
    <v>1</v>
    <v>Unterstützt von Refinitiv</v>
    <v>546.88</v>
    <v>378.71</v>
    <v>2.5299999999999998</v>
    <v>5.7989999999999995E-3</v>
    <v>178003900</v>
    <v>Moody's Corporation ist ein weltweit tätiges Unternehmen zur Risikobeurteilung. Seine Daten, analytischen Lösungen und Erkenntnisse helfen Entscheidungsträgern, Chancen zu erkennen und die Risiken zu managen, die mit der Geschäftstätigkeit mit anderen verbunden sind. Zu den Segmenten zählen Moody's Investors Service (MIS) und Moody's Analytics (MA). Das MIS-Segment veröffentlicht Ratings und bietet Bewertungsdienstleistungen für eine Vielzahl von Schuldverschreibungen, Programmen und Fazilitäten sowie für Unternehmen, die derartige Verpflichtungen auf Märkten weltweit eingehen, einschließlich verschiedener Verpflichtungen von Unternehmen, Finanzinstituten und Regierungen sowie strukturierter Finanzpapiere. Das MA-Segment ist ein globaler Anbieter von Daten und Informationen, Forschung und Erkenntnissen sowie Entscheidungslösungen, die Unternehmen dabei helfen, Entscheidungen zu treffen. Das MA-Segment nutzt sein Branchenwissen bei verschiedenen Risiken, wie z. B. Kredit-, Markt-, Finanzkriminalität, Lieferkette, Katastrophe und Klima, um integrierte Lösungen für die Risikobewertung bereitzustellen. Außerdem investiert sie in die afrikanischen Kreditmärkte.</v>
    <v>1.4461999999999999</v>
    <v>78104551242</v>
    <v>New York Stock Exchange</v>
    <v>XNYS</v>
    <v>XNYS</v>
    <v>7 World Trade Center, At 250 Greenwich Street, NEW YORK, NY, 10007 US</v>
    <v>440.52</v>
    <v>Professional &amp; Commercial Services</v>
    <v>Aktie</v>
    <v>32.101100000000002</v>
    <v>1455</v>
    <v>46113.99513501094</v>
    <v>16076</v>
    <v>MOODY'S CORPORATION</v>
    <v>425.97</v>
    <v>MOODY'S CORPORATION</v>
    <v>437.77</v>
    <v>438.78</v>
    <v>438.77</v>
    <v>436.25</v>
    <v>MCO</v>
    <v>MOODY'S CORPORATION (XNYS:MCO)</v>
    <v>2000</v>
    <v>-0.01</v>
    <v>-2.2790000000000004E-5</v>
    <v>1111741</v>
    <v>1461456</v>
    <v>USD</v>
  </rv>
  <rv s="2">
    <v>1456</v>
  </rv>
  <rv s="3">
    <fb>424.84</fb>
    <v>6</v>
  </rv>
  <rv s="0">
    <v>https://www.bing.com/financeapi/forcetrigger?t=a1nz8m&amp;q=XNAS%3aAVGO&amp;form=skydnc</v>
    <v>Learn more on Bing</v>
  </rv>
  <rv s="1">
    <v>0</v>
    <v>1</v>
    <v>BROADCOM INC. (XNAS:AVGO)</v>
    <v>3</v>
    <v>4</v>
    <v>Finance</v>
    <v>5</v>
    <v>de-DE</v>
    <v>a1nz8m</v>
    <v>268435456</v>
    <v>1</v>
    <v>Unterstützt von Refinitiv</v>
    <v>414.61</v>
    <v>138.1</v>
    <v>3.98</v>
    <v>1.2859000000000001E-2</v>
    <v>4734668000</v>
    <v>Broadcom Inc. Ist ein globales Technologieunternehmen, das eine Reihe von Halbleitern, Unternehmenssoftware und Sicherheitslösungen entwickelt, entwickelt und vertreibt. Das Unternehmen ist in zwei Segmenten tätig: Halbleiterlösungen und Infrastruktursoftware. Das Segment der Halbleiterlösungen umfasst alle Produktlinien und Lizenzen für geistiges Eigentum (IP). Es bietet eine Vielzahl von Hochfrequenz-Halbleiterbauelementen, drahtlosen Konnektivitätslösungen, kundenspezifischen Touch-Controllern und induktiven Ladelösungen für mobile Anwendungen. Das Segment Infrastruktur-Software umfasst Private und Hybrid Cloud, Anwendungsentwicklung und -Bereitstellung, softwaredefinierte Edge, Anwendungsnetzwerk und -Sicherheit, Mainframe-, verteilte und Cybersicherheitslösungen sowie FC SAN. Es bietet ein Portfolio an Softwarelösungen, mit denen Kunden Anwendungen auf Mainframe-, verteilten, mobilen und Cloud-Plattformen planen, entwickeln, automatisieren, verwalten und sichern können.</v>
    <v>1.2528999999999999</v>
    <v>1484271071320</v>
    <v>Nasdaq Stock Market</v>
    <v>XNAS</v>
    <v>XNAS</v>
    <v>3421 Hillview Avenue, PALO ALTO, CA, 94304 US</v>
    <v>315.79000000000002</v>
    <v>Semiconductors &amp; Semiconductor Equipment</v>
    <v>Aktie</v>
    <v>65.721199999999996</v>
    <v>1459</v>
    <v>46113.999896735935</v>
    <v>33000</v>
    <v>BROADCOM INC.</v>
    <v>310.48</v>
    <v>BROADCOM INC.</v>
    <v>313.36500000000001</v>
    <v>313.49</v>
    <v>309.51</v>
    <v>AVGO</v>
    <v>BROADCOM INC. (XNAS:AVGO)</v>
    <v>2018</v>
    <v>51592</v>
    <v>29229192</v>
    <v>USD</v>
  </rv>
  <rv s="2">
    <v>1460</v>
  </rv>
  <rv s="3">
    <fb>300.68</fb>
    <v>6</v>
  </rv>
  <rv s="0">
    <v>https://www.bing.com/financeapi/forcetrigger?t=a1x7im&amp;q=XNYS%3aLVS&amp;form=skydnc</v>
    <v>Learn more on Bing</v>
  </rv>
  <rv s="11">
    <v>33</v>
    <v>34</v>
    <v>LAS VEGAS SANDS CORP. (XNYS:LVS)</v>
    <v>3</v>
    <v>35</v>
    <v>Finance</v>
    <v>36</v>
    <v>de-DE</v>
    <v>a1x7im</v>
    <v>268435456</v>
    <v>1</v>
    <v>Unterstützt von Refinitiv</v>
    <v>70.454499999999996</v>
    <v>30.18</v>
    <v>0.44</v>
    <v>8.1659999999999996E-3</v>
    <v>671910700</v>
    <v>Las Vegas Sands Corp. Ist ein globaler Entwickler und Betreiber von Destination Properties (Integrated Resorts). Die Integrated Resorts bieten Unterkünfte, Spiele, Unterhaltung und Einkaufszentren, Tagungs- und Ausstellungseinrichtungen, Restaurants mit berühmten Köchen und andere Annehmlichkeiten. Die Hotels sind auch auf High-End-Spieler ausgerichtet, da sie luxuriöse Annehmlichkeiten und erstklassigen Service bieten. Zu den weiteren Annehmlichkeiten gehören luxuriöse Unterkünfte, Restaurants, Lounges, Clubs mit nur Einladung und private Spielsalons. Die wichtigsten operativen und entwicklungspolitischen Tätigkeiten erfolgen in zwei geografischen Gebieten: Macau und Singapur. In Macao gehören das Venetian Macao Resort Hotel, das Londoner Macao, das Pariser Macao, das Plaza Macao and Four Seasons Macao und Sands Macao. In Singapur besitzt sie Marina Bay Sands. Es hat auch Fährbetrieb. Sie besitzt und betreibt über Sands China Ltd. Eine Sammlung integrierter Resorts in der Sonderverwaltungsregion Macau der Volksrepublik China (VR China)</v>
    <v>0.88729999999999998</v>
    <v>36498189224</v>
    <v>New York Stock Exchange</v>
    <v>XNYS</v>
    <v>XNYS</v>
    <v>5420 S. Durango Drive, LAS VEGAS, NV, 89113 US</v>
    <v>54.95</v>
    <v>Hotels &amp; Entertainment Services</v>
    <v>Aktie</v>
    <v>23.136900000000001</v>
    <v>1463</v>
    <v>46113.995295161716</v>
    <v>41000</v>
    <v>LAS VEGAS SANDS CORP.</v>
    <v>53.99</v>
    <v>LAS VEGAS SANDS CORP.</v>
    <v>54.18</v>
    <v>54.32</v>
    <v>54.08</v>
    <v>53.88</v>
    <v>LVS</v>
    <v>LAS VEGAS SANDS CORP. (XNYS:LVS)</v>
    <v>2004</v>
    <v>-0.24</v>
    <v>-4.4180000000000001E-3</v>
    <v>3068916</v>
    <v>4068421</v>
    <v>USD</v>
  </rv>
  <rv s="2">
    <v>1464</v>
  </rv>
  <rv s="3">
    <fb>51.69</fb>
    <v>6</v>
  </rv>
  <rv s="0">
    <v>https://www.bing.com/financeapi/forcetrigger?t=a22227&amp;q=XNYS%3aRJF&amp;form=skydnc</v>
    <v>Learn more on Bing</v>
  </rv>
  <rv s="11">
    <v>33</v>
    <v>34</v>
    <v>RAYMOND JAMES FINANCIAL, INC. (XNYS:RJF)</v>
    <v>3</v>
    <v>35</v>
    <v>Finance</v>
    <v>36</v>
    <v>de-DE</v>
    <v>a22227</v>
    <v>268435456</v>
    <v>1</v>
    <v>Unterstützt von Refinitiv</v>
    <v>177.66</v>
    <v>117.565</v>
    <v>-0.85</v>
    <v>-5.8930000000000007E-3</v>
    <v>197091000</v>
    <v>Raymond James Financial, Inc. ist ein diversifiziertes Finanzdienstleistungsunternehmen, das Dienstleistungen für Privatpersonen, Unternehmen und Kommunen anbietet. Zu den Segmenten des Unternehmens gehören Private Client Group (PCG), Capital Markets, Asset Management, Bank und Other. Das PCG segment bietet Finanzplanung, Anlageberatung und Wertpapiertransaktionen für Kunden durch Finanzberater. Das Capital Markets segment ist im Investmentbanking, im institutionellen Vertrieb, im Wertpapierhandel, im Aktienresearch sowie in der Syndizierung und Verwaltung von Investitionen in einkommensschwache Wohnungsbaugesellschaften und ähnliche Fonds tätig. Das Asset Management segment bietet Vermögensverwaltung, Portfoliomanagement und damit verbundene Verwaltungsdienstleistungen für private und institutionelle Kunden. Das Bank segment umfasst die Raymond James Bank, eine in Florida ansässige Mitgliedsbank, und die TriState Capital Bank, eine in Pennsylvania ansässige Mitgliedsbank. Das Other segment umfasst die Barguthaben der Unternehmen und ihre privaten Kapitalbeteiligungen.</v>
    <v>1.0105999999999999</v>
    <v>28262849400</v>
    <v>New York Stock Exchange</v>
    <v>XNYS</v>
    <v>XNYS</v>
    <v>880 Carillon Pkwy, ST. PETERSBURG, FL, 33716 US</v>
    <v>146.01499999999999</v>
    <v>Investment Banking &amp; Investment Services</v>
    <v>Aktie</v>
    <v>14.036099999999999</v>
    <v>1467</v>
    <v>46113.958333344533</v>
    <v>19500</v>
    <v>RAYMOND JAMES FINANCIAL, INC.</v>
    <v>140.5</v>
    <v>RAYMOND JAMES FINANCIAL, INC.</v>
    <v>145.37</v>
    <v>143.4</v>
    <v>143.4</v>
    <v>144.25</v>
    <v>RJF</v>
    <v>RAYMOND JAMES FINANCIAL, INC. (XNYS:RJF)</v>
    <v>1974</v>
    <v>0</v>
    <v>0</v>
    <v>1321495</v>
    <v>1395170</v>
    <v>USD</v>
  </rv>
  <rv s="2">
    <v>1468</v>
  </rv>
  <rv s="3">
    <fb>141.32</fb>
    <v>6</v>
  </rv>
  <rv s="0">
    <v>https://www.bing.com/financeapi/forcetrigger?t=a1o4ec&amp;q=XNYS%3aBA&amp;form=skydnc</v>
    <v>Learn more on Bing</v>
  </rv>
  <rv s="1">
    <v>0</v>
    <v>1</v>
    <v>THE BOEING COMPANY (XNYS:BA)</v>
    <v>3</v>
    <v>4</v>
    <v>Finance</v>
    <v>5</v>
    <v>de-DE</v>
    <v>a1o4ec</v>
    <v>268435456</v>
    <v>1</v>
    <v>Unterstützt von Refinitiv</v>
    <v>254.34989999999999</v>
    <v>128.8801</v>
    <v>8.2899999999999991</v>
    <v>4.1651999999999995E-2</v>
    <v>785844100</v>
    <v>Boeing Company ist ein Luft- und Raumfahrtunternehmen. Zu seinen Geschäftsbereichen gehören Verkehrsflugzeuge (BCA), Verteidigung, Raumfahrt und Sicherheit (BDS) sowie Global Services (BGS). Das Segment BCA entwickelt, produziert und vermarktet Verkehrsflugzeuge hauptsächlich für die kommerzielle Luftfahrtindustrie weltweit. Die Familie der produzierten Verkehrsflugzeuge umfasst das Schmalrumpfflugzeug 737 sowie die Großraumflugzeuge 767, 777 und 787. Das Segment BDS befasst sich mit der Forschung, Entwicklung, Produktion und Modifikation von bemannten und unbemannten Militärflugzeugen und Waffensystemen für Angriff, Überwachung und Mobilität. Das Segment BGS erbringt Dienstleistungen für seine zivilen und militärischen Kunden weltweit. Es unterhält Luft- und Raumfahrtplattformen und -systeme mit einer Reihe von Produkten und Dienstleistungen, darunter Lieferketten- und Logistikmanagement, Engineering, Wartung und Modifikationen, Upgrades und Umrüstungen, Ersatzteile, Piloten- und Wartungsschulungssysteme und -dienstleistungen, technische und Wartungsdokumente und anderes.</v>
    <v>1.1279999999999999</v>
    <v>162921198812</v>
    <v>New York Stock Exchange</v>
    <v>XNYS</v>
    <v>XNYS</v>
    <v>929 Long Bridge Drive, ARLINGTON, VA, 22202 US</v>
    <v>210.28</v>
    <v>Aerospace &amp; Defense</v>
    <v>Aktie</v>
    <v>93.335300000000004</v>
    <v>1471</v>
    <v>46113.999961897658</v>
    <v>182000</v>
    <v>THE BOEING COMPANY</v>
    <v>203.5</v>
    <v>THE BOEING COMPANY</v>
    <v>203.5</v>
    <v>207.32</v>
    <v>199.03</v>
    <v>BA</v>
    <v>THE BOEING COMPANY (XNYS:BA)</v>
    <v>1934</v>
    <v>8228</v>
    <v>7319525</v>
    <v>USD</v>
  </rv>
  <rv s="2">
    <v>1472</v>
  </rv>
  <rv s="3">
    <fb>190.52</fb>
    <v>6</v>
  </rv>
  <rv s="0">
    <v>https://www.bing.com/financeapi/forcetrigger?t=a1r1lh&amp;q=XNYS%3aDHI&amp;form=skydnc</v>
    <v>Learn more on Bing</v>
  </rv>
  <rv s="1">
    <v>0</v>
    <v>1</v>
    <v>D.R. HORTON, INC. (XNYS:DHI)</v>
    <v>3</v>
    <v>4</v>
    <v>Finance</v>
    <v>19</v>
    <v>de-DE</v>
    <v>a1r1lh</v>
    <v>268435456</v>
    <v>1</v>
    <v>Unterstützt von Refinitiv</v>
    <v>184.54499999999999</v>
    <v>110.44</v>
    <v>1.03</v>
    <v>7.5060000000000005E-3</v>
    <v>289703400</v>
    <v>D.R. Horton, Inc. ist ein Hausbauunternehmen. Das Unternehmen baut und verkauft über seine operativen Geschäftsbereiche Häuser in 125 Märkten in 36 Bundesstaaten. Zu den Segmenten des Unternehmens gehören Wohnungsbau, Vermietung, Forstwirtschaft, Finanzdienstleistungen und Sonstiges. Die Homebuilding-Abteilungen befassen sich hauptsächlich mit dem Erwerb und der Entwicklung von Grundstücken sowie dem Bau und Verkauf von Wohnhäusern. Das Vermietungssegment des Unternehmens besteht aus Einfamilien- und Mehrfamilienvermietungsbetrieben. Die Einfamilienvermietungsunternehmen bauen und vermieten Einfamilienhäuser innerhalb einer Gemeinde und vermarkten dann im Allgemeinen jede Gemeinde für einen Massenverkauf von Miethäusern. Das Segment Forestar ist ein Unternehmen zur Entwicklung von Wohngrundstücken mit Niederlassungen in 59 Märkten in 24 Bundesstaaten. Das Segment Finanzdienstleistungen bietet Hypothekenfinanzierungen und Titelvermittlungsdienste für Hauskäufer in vielen Wohnungsbaumärkten des Unternehmens an. Darüber hinaus betreibt sie versicherungsbezogene Geschäfte.</v>
    <v>1.4455</v>
    <v>40051495050</v>
    <v>New York Stock Exchange</v>
    <v>XNYS</v>
    <v>XNYS</v>
    <v>1341 Horton Circle, ARLINGTON, TX, 76011 US</v>
    <v>139.99</v>
    <v>Homebuilding &amp; Construction Supplies</v>
    <v>Aktie</v>
    <v>12.5871</v>
    <v>1475</v>
    <v>46113.969600728909</v>
    <v>14341</v>
    <v>D.R. HORTON, INC.</v>
    <v>135.97999999999999</v>
    <v>D.R. HORTON, INC.</v>
    <v>136.93</v>
    <v>138.25</v>
    <v>137.22</v>
    <v>DHI</v>
    <v>D.R. HORTON, INC. (XNYS:DHI)</v>
    <v>1991</v>
    <v>144</v>
    <v>2775089</v>
    <v>USD</v>
  </rv>
  <rv s="2">
    <v>1476</v>
  </rv>
  <rv s="3">
    <fb>134.19</fb>
    <v>6</v>
  </rv>
  <rv s="0">
    <v>https://www.bing.com/financeapi/forcetrigger?t=a1p55r&amp;q=XNYS%3aCAG&amp;form=skydnc</v>
    <v>Learn more on Bing</v>
  </rv>
  <rv s="5">
    <v>10</v>
    <v>11</v>
    <v>CONAGRA BRANDS, INC. (XNYS:CAG)</v>
    <v>3</v>
    <v>12</v>
    <v>Finance</v>
    <v>5</v>
    <v>de-DE</v>
    <v>a1p55r</v>
    <v>268435456</v>
    <v>1</v>
    <v>Unterstützt von Refinitiv</v>
    <v>27.68</v>
    <v>15.035</v>
    <v>-0.2</v>
    <v>-1.2723E-2</v>
    <v>478369500</v>
    <v>ConAgra Brands, Inc. Ist ein Markenunternehmen. Zu den Segmenten des Unternehmens gehören Lebensmittel und Snacks, Kühlschränke und Tiefkühlprodukte, International und Foodservice. Das Segment Lebensmittel &amp; Snacks umfasst markengebundene, haltbare Lebensmittel, die in verschiedenen Einzelhandelskanälen in den USA verkauft werden. Das Segment Kälte- und Tiefkühlprodukte umfasst temperaturgeregelte Markenprodukte, die in verschiedenen Einzelhandelskanälen in den USA verkauft werden. Das Segment International umfasst Markenprodukte in verschiedenen temperaturstufen, die in verschiedenen Einzelhandels- und gastronomiebetrieben außerhalb der USA verkauft werden. Das Segment Foodservice umfasst Markenprodukte und maßgeschneiderte Lebensmittel, darunter Mahlzeiten, Hauptgerichte, Saucen und eine Vielzahl von maßgeschneiderten kulinarischen Produkten, die für den Verkauf an Restaurants und andere Gastronomiebetriebe hauptsächlich in den USA verpackt werden. Zu den Marken gehören Birds Eye, Duncan Hines, Healthy Choice, Marie Callender's, Reddi-wip, Slim Jim und Angie's BOOMCHICKAPOP.</v>
    <v>3.2300000000000002E-2</v>
    <v>7424294640</v>
    <v>New York Stock Exchange</v>
    <v>XNYS</v>
    <v>XNYS</v>
    <v>222 W. Merchandise Mart Plaza, Suite 1300, CHICAGO, IL, 60654 US</v>
    <v>16.07</v>
    <v>Food &amp; Tobacco</v>
    <v>Aktie</v>
    <v>1479</v>
    <v>46113.997007349222</v>
    <v>18300</v>
    <v>CONAGRA BRANDS, INC.</v>
    <v>15.074999999999999</v>
    <v>CONAGRA BRANDS, INC.</v>
    <v>15.875</v>
    <v>15.52</v>
    <v>15.72</v>
    <v>CAG</v>
    <v>CONAGRA BRANDS, INC. (XNYS:CAG)</v>
    <v>1975</v>
    <v>710</v>
    <v>15589046</v>
    <v>USD</v>
  </rv>
  <rv s="2">
    <v>1480</v>
  </rv>
  <rv s="3">
    <fb>15.62</fb>
    <v>6</v>
  </rv>
  <rv s="0">
    <v>https://www.bing.com/financeapi/forcetrigger?t=a1pcf2&amp;q=XNYS%3aCCI&amp;form=skydnc</v>
    <v>Learn more on Bing</v>
  </rv>
  <rv s="1">
    <v>0</v>
    <v>1</v>
    <v>CROWN CASTLE INC. (XNYS:CCI)</v>
    <v>3</v>
    <v>4</v>
    <v>Finance</v>
    <v>5</v>
    <v>de-DE</v>
    <v>a1pcf2</v>
    <v>268435456</v>
    <v>1</v>
    <v>Unterstützt von Refinitiv</v>
    <v>115.76</v>
    <v>75.959999999999994</v>
    <v>-0.48</v>
    <v>-5.9030000000000003E-3</v>
    <v>436070400</v>
    <v>Crown Castle Inc. Besitzt, betreibt und vermietet mehr als 40.000 Mobilfunkmasten und rund 90.000 Streckenkilometer Glasfaser, die kleine Zellen und Glasfaserlösungen auf jedem US-Markt unterstützen. Sein Kerngeschäft ist die Bereitstellung von Zugang zu seiner gemeinsamen Kommunikationsinfrastruktur, einschließlich Raum oder Kapazität, über langfristige Mietverträge in verschiedenen Formen, einschließlich Leasing-, Lizenz-, Unterleasing- und Serviceverträge in den USA. Zu den Segmenten gehören Türme und Glasfaser, die sowohl kleine Zellen als auch Glasfaserlösungen umfassen. Das Segment Towers bietet Zugang zu den mehr als 40.000 Türmen des Unternehmens in den Vereinigten Staaten, einschließlich Platz oder Kapazität. Das Segment Towers erbringt auch Nebendienstleistungen im Zusammenhang mit den Türmen des Unternehmens, die aus Dienstleistungen für die Standortentwicklung und Installationsdienstleistungen bestehen. Das Segment Glasfaser umfasst die Kommunikationsinfrastruktur mit kleinen Zellen und Glasfaserlösungen.</v>
    <v>0.9647</v>
    <v>35247570432</v>
    <v>New York Stock Exchange</v>
    <v>XNYS</v>
    <v>XNYS</v>
    <v>8020 Katy Freeway, HOUSTON, TX, 77024 US</v>
    <v>81.665000000000006</v>
    <v>Residential &amp; Commercial REIT</v>
    <v>Aktie</v>
    <v>32.0242</v>
    <v>1483</v>
    <v>46113.97783113359</v>
    <v>4000</v>
    <v>CROWN CASTLE INC.</v>
    <v>80.02</v>
    <v>CROWN CASTLE INC.</v>
    <v>80.77</v>
    <v>80.83</v>
    <v>81.31</v>
    <v>CCI</v>
    <v>CROWN CASTLE INC. (XNYS:CCI)</v>
    <v>2014</v>
    <v>1</v>
    <v>3160134</v>
    <v>USD</v>
  </rv>
  <rv s="2">
    <v>1484</v>
  </rv>
  <rv s="3">
    <fb>78.59</fb>
    <v>6</v>
  </rv>
  <rv s="0">
    <v>https://www.bing.com/financeapi/forcetrigger?t=a1xhvh&amp;q=XNYS%3aMET&amp;form=skydnc</v>
    <v>Learn more on Bing</v>
  </rv>
  <rv s="1">
    <v>0</v>
    <v>1</v>
    <v>METLIFE, INC. (XNYS:MET)</v>
    <v>3</v>
    <v>4</v>
    <v>Finance</v>
    <v>5</v>
    <v>de-DE</v>
    <v>a1xhvh</v>
    <v>268435456</v>
    <v>1</v>
    <v>Unterstützt von Refinitiv</v>
    <v>83.85</v>
    <v>65.209999999999994</v>
    <v>0.45</v>
    <v>6.3629999999999997E-3</v>
    <v>652053900</v>
    <v>MetLife, Inc. Ist ein Finanzdienstleistungsunternehmen, das Versicherungen, Renten, Mitarbeiterleistungen und Vermögensverwaltung für individuelle und institutionelle Kunden anbietet. Zu den Segmenten gehören Konzernleistungen, RIS (RIS), Asien, Lateinamerika, Europa, Naher Osten und Afrika (EMEA) sowie MetLife Holdings. Das Segment der Gruppenleistungen bietet Lebensversicherungen, Zahnarztversicherungen, kurz- und Langzeitarbeitsunfähigkeiten in Gruppen, bezahlte Familien- und Krankenurlaub, individuelle Invaliditätsversicherungen, Unfallversicherungen, Unfall- und Krankenversicherung sowie Vision sowie Prepaid-gesetzliche Pläne und Haustierversicherungen. Das RIS-Segment bietet Finanzierungs- und Finanzierungslösungen, die institutionellen Kunden dabei helfen, Verbindlichkeiten zu mindern und zu verwalten, die hauptsächlich mit ihren Mitarbeiterversicherungsprogrammen in Verbindung stehen, und zwar mithilfe eines Spektrums an Lebens- und Rentenversicherungs- und Anlageprodukten. Es ist in der EMEA-Region sowohl in entwickelten Märkten (Westeuropa) als auch in Schwellenländern (Mittel- und Osteuropa, Naher Osten und Afrika) tätig.</v>
    <v>0.73370000000000002</v>
    <v>46406676063</v>
    <v>New York Stock Exchange</v>
    <v>XNYS</v>
    <v>XNYS</v>
    <v>200 Park Avenue, NEW YORK, NY, 10166 US</v>
    <v>72.125</v>
    <v>Insurance</v>
    <v>Aktie</v>
    <v>15.126899999999999</v>
    <v>1487</v>
    <v>46113.958333356248</v>
    <v>46000</v>
    <v>METLIFE, INC.</v>
    <v>70.424999999999997</v>
    <v>METLIFE, INC.</v>
    <v>71.099999999999994</v>
    <v>71.17</v>
    <v>70.72</v>
    <v>MET</v>
    <v>METLIFE, INC. (XNYS:MET)</v>
    <v>1999</v>
    <v>5</v>
    <v>4290440</v>
    <v>USD</v>
  </rv>
  <rv s="2">
    <v>1488</v>
  </rv>
  <rv s="3">
    <fb>67.7</fb>
    <v>6</v>
  </rv>
  <rv s="0">
    <v>https://www.bing.com/financeapi/forcetrigger?t=a1vt77&amp;q=XNAS%3aISRG&amp;form=skydnc</v>
    <v>Learn more on Bing</v>
  </rv>
  <rv s="1">
    <v>0</v>
    <v>1</v>
    <v>INTUITIVE SURGICAL, INC. (XNAS:ISRG)</v>
    <v>3</v>
    <v>4</v>
    <v>Finance</v>
    <v>5</v>
    <v>de-DE</v>
    <v>a1vt77</v>
    <v>268435456</v>
    <v>1</v>
    <v>Unterstützt von Refinitiv</v>
    <v>603.88</v>
    <v>425</v>
    <v>3.46</v>
    <v>7.5060000000000005E-3</v>
    <v>355169700</v>
    <v>Intuitive Surgical, Inc. Entwickelt, produziert und vermarktet da Vinci chirurgische Systeme und das endoluminale Ionensystem. Das Unternehmen ist auf invasive Versorgung und robotergestützte Chirurgie spezialisiert. Zu seinen Technologien gehören die da Vinci-Operationssysteme und das endoluminale Ionensystem. Das da Vinci-Operationssystem wurde entwickelt, um Chirurgen die Durchführung einer Reihe von chirurgischen Eingriffen innerhalb seiner Spezialgebiete für allgemeine Chirurgie, Urologie, Gynäkologie, Kardiothorakie und Kopf-Hals-Chirurgie zu ermöglichen. Es besteht aus einer OP-Konsole oder -Konsolen, einem Patientenwagen und einem Hochleistungs-Sehsystem. Das endoluminale Ionensystem ist eine flexible, robotergestützte, kathetergestützte Plattform, bei der es sich um minimal-invasive Biopsien in der Lunge handelt. Es besteht aus einem Systemwagen, einem Controller, einem Katheter und einer Vision-Sonde. Das Ionensystem erweitert sein kommerzielles Angebot über die Chirurgie hinaus auf diagnostische und endoluminale Verfahren.</v>
    <v>1.6791</v>
    <v>164958567165</v>
    <v>Nasdaq Stock Market</v>
    <v>XNAS</v>
    <v>XNAS</v>
    <v>1020 Kifer Road, SUNNYVALE, CA, 94086 US</v>
    <v>468.33</v>
    <v>Healthcare Equipment &amp; Supplies</v>
    <v>Aktie</v>
    <v>58.983199999999997</v>
    <v>1491</v>
    <v>46113.998970000001</v>
    <v>17021</v>
    <v>INTUITIVE SURGICAL, INC.</v>
    <v>460.76</v>
    <v>INTUITIVE SURGICAL, INC.</v>
    <v>462.89</v>
    <v>464.45</v>
    <v>460.99</v>
    <v>ISRG</v>
    <v>INTUITIVE SURGICAL, INC. (XNAS:ISRG)</v>
    <v>1995</v>
    <v>258</v>
    <v>1698954</v>
    <v>USD</v>
  </rv>
  <rv s="2">
    <v>1492</v>
  </rv>
  <rv s="3">
    <fb>452.66</fb>
    <v>6</v>
  </rv>
  <rv s="0">
    <v>https://www.bing.com/financeapi/forcetrigger?t=a1z2f2&amp;q=XNYS%3aOC&amp;form=skydnc</v>
    <v>Learn more on Bing</v>
  </rv>
  <rv s="14">
    <v>43</v>
    <v>44</v>
    <v>OWENS CORNING (XNYS:OC)</v>
    <v>3</v>
    <v>45</v>
    <v>Finance</v>
    <v>36</v>
    <v>de-DE</v>
    <v>a1z2f2</v>
    <v>268435456</v>
    <v>1</v>
    <v>Unterstützt von Refinitiv</v>
    <v>159.41999999999999</v>
    <v>97.53</v>
    <v>-0.96</v>
    <v>-8.8710000000000004E-3</v>
    <v>80383170</v>
    <v>Owens Corning ist ein Hersteller von Bauprodukten. Die Geschäftsbereiche des Unternehmens umfassen Dachbaustoffe, Dämmstoffe und Türen. Der Geschäftsbereich Dachbaustoffe produziert und vertreibt Dachschindeln für Wohngebäude, oxidierte Asphaltmaterialien, Dachbauteile und Verbundholz, die vor allem im Wohnungsbau zum Einsatz kommen. Dieser Geschäftsbereich produziert und vertreibt außerdem Glasmatten und Spezialvliesmaterialien, die in Bauanwendungen zum Einsatz kommen. Der Geschäftsbereich Dämmstoffe produziert und vertreibt Wärme- und Schalldämmmatten, Schüttdämmstoffe, Spritzschaumdämmstoffe, nassverarbeitete Schnittfasern, Schaumstoffummantelungen und Zubehör. Außerdem produziert und vertreibt er Glasfaserrohrdämmungen, energieeffiziente flexible Kanalmedien, gebundene und granulierte Steinwolledämmungen, Zellglasdämmungen und Schaumstoffdämmungen, die in ober- und unterirdischen Bauanwendungen zum Einsatz kommen. Der Geschäftsbereich Türen des Unternehmens produziert und vertreibt Innen- und Außentüren sowie Türsysteme, die vor allem im Wohnungsbau zum Einsatz kommen.</v>
    <v>1.3411999999999999</v>
    <v>8621898814</v>
    <v>New York Stock Exchange</v>
    <v>XNYS</v>
    <v>XNYS</v>
    <v>One Owens Corning Parkway, TOLEDO, OH, 43659 US</v>
    <v>109.075</v>
    <v>Homebuilding &amp; Construction Supplies</v>
    <v>Aktie</v>
    <v>1495</v>
    <v>46113.984056353904</v>
    <v>25000</v>
    <v>OWENS CORNING</v>
    <v>106.97499999999999</v>
    <v>OWENS CORNING</v>
    <v>108.24</v>
    <v>107.26</v>
    <v>106.61</v>
    <v>108.22</v>
    <v>OC</v>
    <v>OWENS CORNING (XNYS:OC)</v>
    <v>2006</v>
    <v>-0.65</v>
    <v>-6.0599999999999994E-3</v>
    <v>1163207</v>
    <v>1718564</v>
    <v>USD</v>
  </rv>
  <rv s="2">
    <v>1496</v>
  </rv>
  <rv s="3">
    <fb>104.56</fb>
    <v>6</v>
  </rv>
  <rv s="0">
    <v>https://www.bing.com/financeapi/forcetrigger?t=a1uj52&amp;q=XNYS%3aHD&amp;form=skydnc</v>
    <v>Learn more on Bing</v>
  </rv>
  <rv s="1">
    <v>0</v>
    <v>1</v>
    <v>THE HOME DEPOT, INC. (XNYS:HD)</v>
    <v>3</v>
    <v>4</v>
    <v>Finance</v>
    <v>5</v>
    <v>de-DE</v>
    <v>a1uj52</v>
    <v>268435456</v>
    <v>1</v>
    <v>Unterstützt von Refinitiv</v>
    <v>426.75</v>
    <v>320.2645</v>
    <v>0.67</v>
    <v>2.0369999999999997E-3</v>
    <v>996011500</v>
    <v>Home Depot, Inc. Ist ein Spezialhändler für Heimwerkerarbeit. Das Unternehmen bietet eine Reihe von Baumaterialien, Produkten zur Verbesserung von Häusern, Rasen- und Gartenprodukten, Dekorationsprodukten sowie Wartungs-, Reparatur- und Betriebsprodukten für Einrichtungen, in Geschäften und online. Es bietet auch verschiedene Dienstleistungen an, einschließlich Installationsdienstleistungen für Wohngebäude und Vermietung von Werkzeugen und Ausrüstungen. Das Unternehmen betreibt etwa 2.353 Einzelhandelsgeschäfte, mehr als 800 Filialen und mehr als 325 Vertriebszentren, die Kundenaufträge direkt in allen 50 bundesstaaten, im District of Columbia, Puerto Rico, den US-amerikanischen Jungferninseln, Guam, 10 kanadischen Provinzen und Mexiko abwickeln. Die Geschäfte sind im Durchschnitt etwa 105.000 Quadratfuß umschlossener Fläche, mit ca. 24.000 Quadratfuß Außenfläche. Das Unternehmen betreut zwei primäre Kundengruppen, darunter Do-it-yourself (DIY) und Do-it-for-me (DIFM) Kunden und professionelle Kunden (Pros).</v>
    <v>1.0854999999999999</v>
    <v>328245549940</v>
    <v>New York Stock Exchange</v>
    <v>XNYS</v>
    <v>XNYS</v>
    <v>2455 Paces Ferry Road, ATLANTA, GA, 30339 US</v>
    <v>333.09</v>
    <v>Specialty Retailers</v>
    <v>Aktie</v>
    <v>23.151</v>
    <v>1499</v>
    <v>46113.998900138278</v>
    <v>472400</v>
    <v>THE HOME DEPOT, INC.</v>
    <v>327.81</v>
    <v>THE HOME DEPOT, INC.</v>
    <v>329.37</v>
    <v>329.56</v>
    <v>328.89</v>
    <v>HD</v>
    <v>THE HOME DEPOT, INC. (XNYS:HD)</v>
    <v>1978</v>
    <v>501</v>
    <v>4309017</v>
    <v>USD</v>
  </rv>
  <rv s="2">
    <v>1500</v>
  </rv>
  <rv s="3">
    <fb>321.64999999999998</fb>
    <v>6</v>
  </rv>
  <rv s="0">
    <v>https://www.bing.com/financeapi/forcetrigger?t=a22i27&amp;q=XNAS%3aSBAC&amp;form=skydnc</v>
    <v>Learn more on Bing</v>
  </rv>
  <rv s="11">
    <v>33</v>
    <v>34</v>
    <v>SBA Communications Corporation (XNAS:SBAC)</v>
    <v>3</v>
    <v>35</v>
    <v>Finance</v>
    <v>36</v>
    <v>de-DE</v>
    <v>a22i27</v>
    <v>268435456</v>
    <v>1</v>
    <v>Unterstützt von Refinitiv</v>
    <v>245.16</v>
    <v>162.41</v>
    <v>-0.55000000000000004</v>
    <v>-3.1960000000000001E-3</v>
    <v>105788600</v>
    <v>SBA Communications Corporation ist ein unabhängiger Eigentümer und Betreiber von drahtlosen Kommunikationsinfrastrukturen, einschließlich Türmen, Gebäuden, Dächern, dezentralen Antennensystemen (das) und kleinen Zellen. Sein Hauptaugenmerk liegt auf der Vermietung von Antennenraum auf seinen Multi-Tenant-Türmen an eine Vielzahl von Wireless-Dienstanbietern im Rahmen langfristiger Leasingverträge in den USA, Südamerika, Zentralamerika, Kanada und Afrika. Zu den Segmenten zählen das Leasing von Standorten im Inland, das Leasing von Standorten im Ausland und die Entwicklung von Standorten. Das Segment Leasing für Inlandsstandorte vermietet T-Mobile, AT&amp;T Wireless und Verizon Wireless. Sie besitzt über 17.464 Standorte in den USA und ihren Territorien. Das Segment International Site Leasing besitzt und betreibt über 22.285 Türme in 13 internationalen Märkten in Südamerika, Mittelamerika, Kanada und Afrika. Zu den Dienstleistungen für die Standortentwicklung gehören die Vorplanung des Netzes, Prüfungen vor Ort, Bau von Turmen und damit zusammenhängenden Baustellen, Unterstützung bei der Vermietung des Standorts und andere.</v>
    <v>0.88049999999999995</v>
    <v>18149092216</v>
    <v>Nasdaq Stock Market</v>
    <v>XNAS</v>
    <v>XNAS</v>
    <v>8051 Congress Avenue, BOCA RATON, FL, 33487 US</v>
    <v>173.815</v>
    <v>Residential &amp; Commercial REIT</v>
    <v>Aktie</v>
    <v>17.4892</v>
    <v>1503</v>
    <v>46113.924378471878</v>
    <v>1844</v>
    <v>SBA Communications Corporation</v>
    <v>170.33539999999999</v>
    <v>SBA Communications Corporation</v>
    <v>170.63</v>
    <v>171.56</v>
    <v>171.56</v>
    <v>172.11</v>
    <v>SBAC</v>
    <v>SBA Communications Corporation (XNAS:SBAC)</v>
    <v>2016</v>
    <v>0</v>
    <v>0</v>
    <v>976964</v>
    <v>1058772</v>
    <v>USD</v>
  </rv>
  <rv s="2">
    <v>1504</v>
  </rv>
  <rv s="3">
    <fb>167.06</fb>
    <v>6</v>
  </rv>
  <rv s="0">
    <v>https://www.bing.com/financeapi/forcetrigger?t=a23v7w&amp;q=XNYS%3aSYF&amp;form=skydnc</v>
    <v>Learn more on Bing</v>
  </rv>
  <rv s="1">
    <v>0</v>
    <v>1</v>
    <v>SYNCHRONY FINANCIAL (XNYS:SYF)</v>
    <v>3</v>
    <v>4</v>
    <v>Finance</v>
    <v>5</v>
    <v>de-DE</v>
    <v>a23v7w</v>
    <v>268435456</v>
    <v>1</v>
    <v>Unterstützt von Refinitiv</v>
    <v>88.77</v>
    <v>40.545000000000002</v>
    <v>0.3</v>
    <v>4.4099999999999999E-3</v>
    <v>347596300</v>
    <v>Synchrony Financial ist ein Finanzdienstleistungsunternehmen für Verbraucher, das sich auf die Bereitstellung digitaler Produktpakete konzentriert. Das Unternehmen bietet eine Reihe von Kreditprodukten über Finanzierungsprogramme an, die es mit einer Vielzahl von nationalen und regionalen Einzelhändlern, lokalen Händlern, Herstellern, Einkaufsverbänden, Industrieverbänden und Gesundheitsdienstleistern abgeschlossen hat. Das Unternehmen bietet Eigenmarken-, Doppelkarten-, Co-Branding- und Allzweck-Kreditkarten sowie kurz- und langfristige Ratenkredite und Sparprodukte über die Synchrony Bank (die Bank) an. Das Unternehmen vertreibt seine Kreditprodukte hauptsächlich über fünf Vertriebsplattformen: Home &amp; Auto, Digital, Diversified &amp; Value, Health &amp; Wellness und Lifestyle. Die Bank bietet Privat-, Geschäfts- und Firmenkunden eine Reihe von Einlagenprodukten an, darunter Einlagenzertifikate, individuelle Altersvorsorgekonten (IRAs), Geldmarktkonten, Sparkonten sowie Sweep- und Affinity-Einlagen.</v>
    <v>1.3815</v>
    <v>23747779215</v>
    <v>New York Stock Exchange</v>
    <v>XNYS</v>
    <v>XNYS</v>
    <v>777 Long Ridge Rd, STAMFORD, CT, 06902-1250 US</v>
    <v>69.319999999999993</v>
    <v>Banking Services</v>
    <v>Aktie</v>
    <v>7.3578000000000001</v>
    <v>1507</v>
    <v>46113.994581967185</v>
    <v>20000</v>
    <v>SYNCHRONY FINANCIAL</v>
    <v>67.844999999999999</v>
    <v>SYNCHRONY FINANCIAL</v>
    <v>68.88</v>
    <v>68.319999999999993</v>
    <v>68.02</v>
    <v>SYF</v>
    <v>SYNCHRONY FINANCIAL (XNYS:SYF)</v>
    <v>2003</v>
    <v>502</v>
    <v>4116170</v>
    <v>USD</v>
  </rv>
  <rv s="2">
    <v>1508</v>
  </rv>
  <rv s="3">
    <fb>65.36</fb>
    <v>6</v>
  </rv>
  <rv s="0">
    <v>https://www.bing.com/financeapi/forcetrigger?t=a1qbxm&amp;q=XNYS%3aCRL&amp;form=skydnc</v>
    <v>Learn more on Bing</v>
  </rv>
  <rv s="5">
    <v>10</v>
    <v>11</v>
    <v>CHARLES RIVER LABORATORIES INTERNATIONAL, INC. (XNYS:CRL)</v>
    <v>3</v>
    <v>12</v>
    <v>Finance</v>
    <v>19</v>
    <v>de-DE</v>
    <v>a1qbxm</v>
    <v>268435456</v>
    <v>1</v>
    <v>Unterstützt von Refinitiv</v>
    <v>228.88</v>
    <v>91.860900000000001</v>
    <v>2.4</v>
    <v>1.3913E-2</v>
    <v>49227800</v>
    <v>Charles River Laboratories International, Inc. Ist ein Arzneimittelentwicklungsunternehmen. Es bietet wichtige Produkte und Dienstleistungen, die Pharma- und Biotechnologieunternehmen, Regierungsbehörden und akademische Einrichtungen auf der ganzen Welt bei der Beschleunigung ihrer Forschungs- und Arzneimittelentwicklung unterstützen. Das Segment Research Models and Services umfasst drei Unternehmen, die grundlegende Tools bereitstellen, mit denen Kunden neue Moleküle entdecken können: Forschungsmodelle, Research Model Services und Cell Solutions. Das Segment Discovery and Safety Assessment bietet regulierte und nicht regulierte DSA-Services zur Unterstützung der Forschung, Entwicklung und behördlichen Sicherheitstests potenzieller neuer Medikamente, einschließlich therapeutischer Entwicklung und Optimierung sowie in-vitro- und in-vivo-Studien, Laborunterstützungsdienstleistungen sowie strategischer nicht-klinischer Beratung und Programmmanagement zur Unterstützung der Produktentwicklung. Das Segment Manufacturing Solutions umfasst Lösungen für mikrobielle und biologische Produkte.</v>
    <v>1.6154999999999999</v>
    <v>8609942220</v>
    <v>New York Stock Exchange</v>
    <v>XNYS</v>
    <v>XNYS</v>
    <v>251 Ballardvale St, WILMINGTON, MA, 01887 US</v>
    <v>176.2</v>
    <v>Biotechnology &amp; Medical Research</v>
    <v>Aktie</v>
    <v>1511</v>
    <v>46113.958333367969</v>
    <v>18300</v>
    <v>CHARLES RIVER LABORATORIES INTERNATIONAL, INC.</v>
    <v>171.655</v>
    <v>CHARLES RIVER LABORATORIES INTERNATIONAL, INC.</v>
    <v>173.77</v>
    <v>174.9</v>
    <v>172.5</v>
    <v>CRL</v>
    <v>CHARLES RIVER LABORATORIES INTERNATIONAL, INC. (XNYS:CRL)</v>
    <v>1994</v>
    <v>915715</v>
    <v>943147</v>
    <v>USD</v>
  </rv>
  <rv s="2">
    <v>1512</v>
  </rv>
  <rv s="3">
    <fb>159.16</fb>
    <v>6</v>
  </rv>
  <rv s="0">
    <v>https://www.bing.com/financeapi/forcetrigger?t=a1yw1h&amp;q=XNYS%3aNVR&amp;form=skydnc</v>
    <v>Learn more on Bing</v>
  </rv>
  <rv s="1">
    <v>0</v>
    <v>1</v>
    <v>NVR, Inc. (XNYS:NVR)</v>
    <v>3</v>
    <v>4</v>
    <v>Finance</v>
    <v>5</v>
    <v>de-DE</v>
    <v>a1yw1h</v>
    <v>268435456</v>
    <v>1</v>
    <v>Unterstützt von Refinitiv</v>
    <v>8618.2800000000007</v>
    <v>6301.0249999999996</v>
    <v>74.36</v>
    <v>1.1284000000000001E-2</v>
    <v>2778120</v>
    <v>NVR, Inc. Beschäftigt sich mit dem Bau und Verkauf von Einfamilienhäusern, Stadthäusern und Eigentumswohnungen. Das Unternehmen ist in zwei Segmenten tätig: Homebuilding und Hypothekenbanken. Die Wohnungsbaubetriebe bauen und verkaufen in erster Linie Einfamilienhäuser, Stadthäuser und Eigentumswohnungen unter drei Handelsnamen: Ryan Homes, NVHomes und Heartland Homes. Sie sind in 36 Metropolregionen in 16 bundesstaaten und Washington, District of Columbia (D.C.) tätig. Das Hypothekenbankgeschäft ist in erster Linie auf dem Markt für Hausbaugeschäfte tätig. Ihr Hypothekenbankgeschäft besteht aus Originierungsgebühren, Gewinnen aus Verkäufen von Krediten und Eigentumsgebühren. Die Segmente Homebuilding bestehen aus Geschäftsbereichen wie Mid Atlantic, North East, Mid East und South East. Die Mittelatlantischen Divisionen sind in Maryland, Virginia, West Virginia, Delaware und Washington, District of Columbia (D.C.) tätig. Die Division North East ist in New Jersey und im Osten von Pennsylvania tätig.</v>
    <v>1.0729</v>
    <v>18513919522</v>
    <v>New York Stock Exchange</v>
    <v>XNYS</v>
    <v>XNYS</v>
    <v>11700 Plaza America Dr., Suite 500, RESTON, VA, 20190 US</v>
    <v>6748.98</v>
    <v>Homebuilding &amp; Construction Supplies</v>
    <v>Aktie</v>
    <v>15.2651</v>
    <v>1515</v>
    <v>46113.958333367969</v>
    <v>6300</v>
    <v>NVR, Inc.</v>
    <v>6532.51</v>
    <v>NVR, Inc.</v>
    <v>6584.95</v>
    <v>6664.19</v>
    <v>6589.83</v>
    <v>NVR</v>
    <v>NVR, Inc. (XNYS:NVR)</v>
    <v>1993</v>
    <v>23794</v>
    <v>25981</v>
    <v>USD</v>
  </rv>
  <rv s="2">
    <v>1516</v>
  </rv>
  <rv s="3">
    <fb>6450.76</fb>
    <v>6</v>
  </rv>
  <rv s="0">
    <v>https://www.bing.com/financeapi/forcetrigger?t=a223r7&amp;q=XNYS%3aRMD&amp;form=skydnc</v>
    <v>Learn more on Bing</v>
  </rv>
  <rv s="1">
    <v>0</v>
    <v>1</v>
    <v>RESMED INC. (XNYS:RMD)</v>
    <v>3</v>
    <v>4</v>
    <v>Finance</v>
    <v>5</v>
    <v>de-DE</v>
    <v>a223r7</v>
    <v>268435456</v>
    <v>1</v>
    <v>Unterstützt von Refinitiv</v>
    <v>293.81</v>
    <v>199.92</v>
    <v>-1.63</v>
    <v>-7.2610000000000001E-3</v>
    <v>145678400</v>
    <v>ResMed Inc. ist eine Holdinggesellschaft. Das Unternehmen, durch seine Tochtergesellschaften, in der Entwicklung, Herstellung, Vertrieb und Vermarktung von medizinischen Geräten und Cloud-basierte Software-Anwendungen, die Diagnose, Behandlung und Verwaltung von Atemwegserkrankungen, einschließlich Schlafstörungen (SDB), chronisch obstruktive Lungenerkrankung, neuromuskuläre Erkrankungen und andere chronische Krankheiten. Zu seinen Segmenten gehören das Segment Sleep and Breathing Health und das Segment Residential Care Software. Darüber hinaus betreibt das Unternehmen in den Vereinigten Staaten und in Deutschland ein Software-as-a-Service (SaaS)-Geschäft, das Softwareplattformen für den Einsatz außerhalb des Krankenhauses umfasst, die Fachleute und Pflegekräfte unterstützen sollen, die Menschen dabei helfen, zu Hause oder in einer Pflegeeinrichtung ihrer Wahl gesund zu bleiben. Die Produkte und Lösungen des Unternehmens sind darauf ausgerichtet, die Lebensqualität der Patienten zu verbessern und die Auswirkungen chronischer Krankheiten zu verringern. Die cloudbasierten Softwareanwendungen für die digitale Gesundheit sowie die Geräte des Unternehmens sind für eine vernetzte Pflege konzipiert.</v>
    <v>0.92789999999999995</v>
    <v>32464431440</v>
    <v>New York Stock Exchange</v>
    <v>XNYS</v>
    <v>XNYS</v>
    <v>9001 Spectrum Center Blvd, SAN DIEGO, CA, 92123 US</v>
    <v>225.8</v>
    <v>Healthcare Equipment &amp; Supplies</v>
    <v>Aktie</v>
    <v>22.0289</v>
    <v>1519</v>
    <v>46113.987034270314</v>
    <v>10600</v>
    <v>RESMED INC.</v>
    <v>220.995</v>
    <v>RESMED INC.</v>
    <v>224.62</v>
    <v>222.85</v>
    <v>224.48</v>
    <v>RMD</v>
    <v>RESMED INC. (XNYS:RMD)</v>
    <v>1994</v>
    <v>164</v>
    <v>1038369</v>
    <v>USD</v>
  </rv>
  <rv s="2">
    <v>1520</v>
  </rv>
  <rv s="3">
    <fb>220.47</fb>
    <v>6</v>
  </rv>
  <rv s="0">
    <v>http://en.wikipedia.org/wiki/Ford_Motor_Company</v>
    <v>Wikipedia</v>
  </rv>
  <rv s="6">
    <v>35</v>
    <v>1523</v>
  </rv>
  <rv s="7">
    <v>18</v>
    <v>https://www.bing.com/th?id=AMMS_cf0311a5f2d2dcb3110aca1404330618&amp;qlt=95</v>
    <v>1524</v>
    <v>0</v>
    <v>https://www.bing.com/images/search?form=xlimg&amp;q=ford+motor+company</v>
    <v>Image of FORD MOTOR COMPANY</v>
  </rv>
  <rv s="0">
    <v>https://www.bing.com/financeapi/forcetrigger?t=a1sjw7&amp;q=XNYS%3aF&amp;form=skydnc</v>
    <v>Learn more on Bing</v>
  </rv>
  <rv s="15">
    <v>46</v>
    <v>47</v>
    <v>FORD MOTOR COMPANY (XNYS:F)</v>
    <v>16</v>
    <v>48</v>
    <v>Finance</v>
    <v>5</v>
    <v>de-DE</v>
    <v>a1sjw7</v>
    <v>268435456</v>
    <v>1</v>
    <v>Unterstützt von Refinitiv</v>
    <v>14.795</v>
    <v>8.4405999999999999</v>
    <v>0.14000000000000001</v>
    <v>1.2132E-2</v>
    <v>4011082000</v>
    <v>Ford Motor Company ist ein Automobilunternehmen. Das Unternehmen entwickelt und vertreibt Ford-Lkw, Sport Utility Vehicles, Nutzfahrzeuge und Pkw sowie Lincoln-Luxusfahrzeuge und damit verbundene Dienstleistungen. Zu den Segmenten des Unternehmens gehören Ford Blue, Ford Model e, Ford Pro und Ford Credit. Das Ford Blue segment umfasst in erster Linie den Verkauf von Ford- und Lincoln-Fahrzeugen mit Verbrennungsmotor (ICE) und Hybridfahrzeugen, Serviceteilen, Zubehör und digitalen Dienstleistungen für Einzelhandelskunden. Das Ford Model e segment umfasst in erster Linie den Verkauf von Elektrofahrzeugen, Ersatzteilen, Zubehör und digitalen Dienstleistungen für Einzelhandelskunden. Das Ford Pro segment umfasst in erster Linie den Verkauf von Ford- und Lincoln-Fahrzeugen, Serviceteilen, Zubehör und Dienstleistungen für gewerbliche Kunden, Behörden und Vermieter. Das Segment Ford Credit besteht aus dem Ford Credit-Geschäft auf konsolidierter Basis, das hauptsächlich fahrzeugbezogene Finanzierungs- und Leasingaktivitäten umfasst. Seine Fahrzeugmarken sind Ford und Lincoln.</v>
    <v>1.7020999999999999</v>
    <v>1525</v>
    <v>46849437760</v>
    <v>New York Stock Exchange</v>
    <v>XNYS</v>
    <v>XNYS</v>
    <v>One American Road, DEARBORN, MI, 48126-2701 US</v>
    <v>11.69</v>
    <v>Automobiles &amp; Auto Parts</v>
    <v>Aktie</v>
    <v>1526</v>
    <v>46113.999787719535</v>
    <v>169000</v>
    <v>FORD MOTOR COMPANY</v>
    <v>11.574999999999999</v>
    <v>FORD MOTOR COMPANY</v>
    <v>11.62</v>
    <v>11.68</v>
    <v>11.54</v>
    <v>F</v>
    <v>FORD MOTOR COMPANY (XNYS:F)</v>
    <v>1919</v>
    <v>16482</v>
    <v>60153998</v>
    <v>USD</v>
  </rv>
  <rv s="2">
    <v>1527</v>
  </rv>
  <rv s="3">
    <fb>11.37</fb>
    <v>6</v>
  </rv>
  <rv s="0">
    <v>https://www.bing.com/financeapi/forcetrigger?t=a1om4c&amp;q=XNYS%3aBLK&amp;form=skydnc</v>
    <v>Learn more on Bing</v>
  </rv>
  <rv s="1">
    <v>0</v>
    <v>1</v>
    <v>BLACKROCK, INC. (XNYS:BLK)</v>
    <v>3</v>
    <v>4</v>
    <v>Finance</v>
    <v>19</v>
    <v>de-DE</v>
    <v>a1om4c</v>
    <v>268435456</v>
    <v>1</v>
    <v>Unterstützt von Refinitiv</v>
    <v>1219.9399000000001</v>
    <v>773.74009999999998</v>
    <v>-4.3099999999999996</v>
    <v>-4.4819999999999999E-3</v>
    <v>155541500</v>
    <v>BlackRock, Inc. ist eine Investmentverwaltungsgesellschaft. Das Unternehmen bietet eine Reihe von Anlagemanagement- und Technologieleistungen für institutionelle Kunden und Privatkunden an. Seine vielfältige Plattform von nach Alpha suchenden aktiven, privaten Märkten, Index- und Cash-Management-Anlagestrategien über alle Anlageklassen hinweg ermöglicht es dem Unternehmen, Anlageergebnisse und Asset Allocation-Lösungen für Kunden maßgeschneidert zu gestalten. Das Produktangebot umfasst Portfolios mit einem oder mehreren Vermögenswerten, die in Aktien, festverzinsliche Wertpapiere, Alternativen und Geldmarktinstrumente investieren. Seine Produkte werden direkt und über Intermediäre in einer Reihe von Instrumenten angeboten, darunter offene und geschlossene Investmentfonds, börsengehandelte iShares-Fonds, getrennte Konten, kollektive Investmentfonds und andere gepoolte Investmentgesellschaften. Darüber hinaus bietet das Unternehmen Technologiedienstleistungen an, darunter die Technologieplattform für Investitions- und Risikomanagement, Aladdin, Aladdin Wealth, eFront und Cachematrix. sowie Beratungsdienstleistungen und Lösungen.</v>
    <v>1.4933000000000001</v>
    <v>148915432100</v>
    <v>New York Stock Exchange</v>
    <v>XNYS</v>
    <v>XNYS</v>
    <v>50 Hudson Yards, NEW YORK, NY, 10001 US</v>
    <v>978.99</v>
    <v>Investment Banking &amp; Investment Services</v>
    <v>Aktie</v>
    <v>27.625299999999999</v>
    <v>1530</v>
    <v>46113.9990998375</v>
    <v>24900</v>
    <v>BLACKROCK, INC.</v>
    <v>956.3</v>
    <v>BLACKROCK, INC.</v>
    <v>974.95</v>
    <v>957.4</v>
    <v>961.71</v>
    <v>BLK</v>
    <v>BLACKROCK, INC. (XNYS:BLK)</v>
    <v>2024</v>
    <v>329</v>
    <v>997091</v>
    <v>USD</v>
  </rv>
  <rv s="2">
    <v>1531</v>
  </rv>
  <rv s="3">
    <fb>933.85</fb>
    <v>6</v>
  </rv>
  <rv s="0">
    <v>https://www.bing.com/financeapi/forcetrigger?t=a1qgcw&amp;q=XNAS%3aCTAS&amp;form=skydnc</v>
    <v>Learn more on Bing</v>
  </rv>
  <rv s="11">
    <v>33</v>
    <v>34</v>
    <v>CINTAS CORPORATION (XNAS:CTAS)</v>
    <v>3</v>
    <v>35</v>
    <v>Finance</v>
    <v>36</v>
    <v>de-DE</v>
    <v>a1qgcw</v>
    <v>268435456</v>
    <v>1</v>
    <v>Unterstützt von Refinitiv</v>
    <v>229.24</v>
    <v>165.6</v>
    <v>2.9</v>
    <v>1.7145999999999998E-2</v>
    <v>398665600</v>
    <v>Cintas Corporation entwickelt einheitliche Programme mit Fabric. Das Unternehmen unterstützt Unternehmen aller Art und Größen, vor allem in den USA sowie Kanada und Lateinamerika. Das Unternehmen ist in zwei Segmenten tätig: Dem Segment Uniform Rental and Facility Services und dem Segment First Aid and Safety Services. Das Segment Uniform Rental and Facility Services umfasst die Vermietung und Wartung von Uniformen und anderen Kleidungsstücken, einschließlich flammhemmender Kleidung, Matten, Mopps, Handtücher und anderen Zusatzartikeln. Dieses Segment umfasst auch Reinigungsdienste und -Zubehör für Toiletten sowie den Verkauf von Artikeln aus seinen Katalogen an seine Kunden. Das Segment erste Hilfe und Sicherheit umfasst erste-Hilfe- und Sicherheitsprodukte und -Dienstleistungen. Die übrigen Segmente, die aus dem Segment Brandschutzdienstleistungen und dem Segment Uniform Direct Sale bestehen, sind in allen anderen Segmenten enthalten. Sie bietet ihre Produkte und Dienstleistungen an kleine Dienstleistungsunternehmen und Fertigungsunternehmen sowie an Unternehmen.</v>
    <v>1.0059</v>
    <v>68586429824</v>
    <v>Nasdaq Stock Market</v>
    <v>XNAS</v>
    <v>XNAS</v>
    <v>6800 Cintas Blvd, P O Box 625737, CINCINNATI, OH, 45262 US</v>
    <v>172.68</v>
    <v>Professional &amp; Commercial Services</v>
    <v>Aktie</v>
    <v>37.183399999999999</v>
    <v>1534</v>
    <v>46113.982379282032</v>
    <v>48300</v>
    <v>CINTAS CORPORATION</v>
    <v>167.55</v>
    <v>CINTAS CORPORATION</v>
    <v>167.8</v>
    <v>172.04</v>
    <v>171.84</v>
    <v>169.14</v>
    <v>CTAS</v>
    <v>CINTAS CORPORATION (XNAS:CTAS)</v>
    <v>1986</v>
    <v>-0.2</v>
    <v>-1.163E-3</v>
    <v>2962609</v>
    <v>2673640</v>
    <v>USD</v>
  </rv>
  <rv s="2">
    <v>1535</v>
  </rv>
  <rv s="3">
    <fb>165.71</fb>
    <v>6</v>
  </rv>
  <rv s="0">
    <v>https://www.bing.com/financeapi/forcetrigger?t=a242qh&amp;q=XNYS%3aTDG&amp;form=skydnc</v>
    <v>Learn more on Bing</v>
  </rv>
  <rv s="1">
    <v>0</v>
    <v>1</v>
    <v>TRANSDIGM GROUP INCORPORATED (XNYS:TDG)</v>
    <v>3</v>
    <v>4</v>
    <v>Finance</v>
    <v>5</v>
    <v>de-DE</v>
    <v>a242qh</v>
    <v>268435456</v>
    <v>1</v>
    <v>Unterstützt von Refinitiv</v>
    <v>1519.3530000000001</v>
    <v>1107.4507000000001</v>
    <v>14.31</v>
    <v>1.2346999999999999E-2</v>
    <v>56473560</v>
    <v>Die Transdigm Group Incorporated ist über ihre hundertprozentigen Tochtergesellschaften weltweit ein Konstrukteur, Hersteller und Lieferant hochentwickelter Flugzeugkomponenten für den Einsatz in fast allen im Einsatz befindlichen zivilen und militärischen Flugzeugen. Zu den Segmenten gehören Power &amp; Control, Airframe und Non-Aviation. Das Produktangebot für Endanwender in der Luft- und Raumfahrtindustrie umfasst mechanische/elektromechanische Betätigungselemente und Steuerungen, Zündsysteme und Motortechnologie, spezialisierte Pumpen und Ventile, Leistungsaufbereitungsgeräte, spezielle AC/DC-Elektromotoren und -Generatoren, Batterien und Ladegeräte, speziell entwickelte Verriegelungs- und Verriegelungsvorrichtungen, speziell entwickelte Stangen, technisch entwickelte Steckverbinder und Elastomer-Dichtungslösungen, Datenbus- und Leistungssteuerungen, Sicherheitskomponenten und -Systeme im Cockpit, spezialisierte und -Systeme, spezialisierte und -Anzeigen für Cockpit, spezielle Sicherheitsgurte, spezielle und -Sicherheitsgurte sowie Sicherheitsgurte, spezielle und -Systeme für Cockpit. konstruierte und maßgeschneiderte Innenoberflächen und zugehörige Komponenten.</v>
    <v>0.97870000000000001</v>
    <v>66258733741</v>
    <v>New York Stock Exchange</v>
    <v>XNYS</v>
    <v>XNYS</v>
    <v>1350 Euclid Avenue, Suite 1600, CLEVELAND, OH, 44115 US</v>
    <v>1183.96</v>
    <v>Aerospace &amp; Defense</v>
    <v>Aktie</v>
    <v>37.732999999999997</v>
    <v>1538</v>
    <v>46113.990019490622</v>
    <v>16500</v>
    <v>TRANSDIGM GROUP INCORPORATED</v>
    <v>1123.6099999999999</v>
    <v>TRANSDIGM GROUP INCORPORATED</v>
    <v>1159.5999999999999</v>
    <v>1173.27</v>
    <v>1158.96</v>
    <v>TDG</v>
    <v>TRANSDIGM GROUP INCORPORATED (XNYS:TDG)</v>
    <v>2003</v>
    <v>1</v>
    <v>412121</v>
    <v>USD</v>
  </rv>
  <rv s="2">
    <v>1539</v>
  </rv>
  <rv s="3">
    <fb>1140.03</fb>
    <v>6</v>
  </rv>
  <rv s="0">
    <v>https://www.bing.com/financeapi/forcetrigger?t=a1pejc&amp;q=XNAS%3aCDNS&amp;form=skydnc</v>
    <v>Learn more on Bing</v>
  </rv>
  <rv s="1">
    <v>0</v>
    <v>1</v>
    <v>CADENCE DESIGN SYSTEMS, INC. (XNAS:CDNS)</v>
    <v>3</v>
    <v>4</v>
    <v>Finance</v>
    <v>5</v>
    <v>de-DE</v>
    <v>a1pejc</v>
    <v>268435456</v>
    <v>1</v>
    <v>Unterstützt von Refinitiv</v>
    <v>376.44499999999999</v>
    <v>221.56010000000001</v>
    <v>2.3199999999999998</v>
    <v>8.3490000000000005E-3</v>
    <v>275875500</v>
    <v>Cadence Design Systems, Inc. ist ein Unternehmen, das elektronische Systeme entwickelt. Das Unternehmen wendet seine Intelligent System Design Strategie an, um Software, Hardware und geistiges Eigentum (IP) zu liefern, die Designkonzepte in die Realität umsetzen. Zu den Produktkategorien gehören Core Electronic Design Automation (EDA), Semiconductor IP und System Design and Analysis (SD&amp;A). Core EDA umfasst Software, Hardware und Dienstleistungen für den Entwurf und die Verifizierung einer Vielzahl von Halbleitern. Das Halbleiter-IP-Portfolio umfasst Silizium-Subsysteme, Software und Dienstleistungen, die beim Halbleiterdesign eingesetzt werden. Die Kategorie SD&amp;A umfasst Software und Dienstleistungen, die für den Entwurf und die Verifizierung einer Vielzahl physischer elektronischer Systeme verwendet werden. Die Halbleiter des Unternehmens werden in verschiedenen Branchen eingesetzt, darunter Automobil, Luft- und Raumfahrt, Biotechnologie, Hyperscale- und Cloud-Computing, Rechenzentren, Telekommunikation, Medizintechnik, industrielles Internet der Dinge (IIoT) und künstliche Intelligenz (KI).</v>
    <v>1.0411999999999999</v>
    <v>77297556345</v>
    <v>Nasdaq Stock Market</v>
    <v>XNAS</v>
    <v>XNAS</v>
    <v>2655 Seely Avenue Bldg 5, SAN JOSE, CA, 95134 US</v>
    <v>281.60000000000002</v>
    <v>Software &amp; IT Services</v>
    <v>Aktie</v>
    <v>69.062200000000004</v>
    <v>1542</v>
    <v>46113.994786666408</v>
    <v>13800</v>
    <v>CADENCE DESIGN SYSTEMS, INC.</v>
    <v>274.66000000000003</v>
    <v>CADENCE DESIGN SYSTEMS, INC.</v>
    <v>280.19</v>
    <v>280.19</v>
    <v>277.87</v>
    <v>CDNS</v>
    <v>CADENCE DESIGN SYSTEMS, INC. (XNAS:CDNS)</v>
    <v>1987</v>
    <v>641</v>
    <v>2454911</v>
    <v>USD</v>
  </rv>
  <rv s="2">
    <v>1543</v>
  </rv>
  <rv s="3">
    <fb>271.77</fb>
    <v>6</v>
  </rv>
  <rv s="0">
    <v>https://www.bing.com/financeapi/forcetrigger?t=a1zxcw&amp;q=XNYS%3aPKI&amp;form=skydnc</v>
    <v>Learn more on Bing</v>
  </rv>
  <rv s="11">
    <v>33</v>
    <v>34</v>
    <v>REVVITY, INC. (XNYS:RVTY)</v>
    <v>3</v>
    <v>35</v>
    <v>Finance</v>
    <v>36</v>
    <v>de-DE</v>
    <v>a1zxcw</v>
    <v>268435456</v>
    <v>1</v>
    <v>Unterstützt von Refinitiv</v>
    <v>118.29989999999999</v>
    <v>81.36</v>
    <v>0.31</v>
    <v>3.5379999999999999E-3</v>
    <v>111803300</v>
    <v>Revvvity, Inc. Ist ein Anbieter von Lösungen, Technologien, Fachwissen und Dienstleistungen für die Gesundheitswissenschaft, die vollständige Workflows von der Entdeckung über die Entwicklung bis hin zur Diagnose bis zur Heilung bereitstellen. Das Unternehmen verfügt über spezialisierte Schwerpunkte in den Bereichen translationale Multiomik-Technologien, Biomarker-Identifizierung, Bildgebung, Vorhersage, Screening, Erkennung und Diagnose, Informatik und vieles mehr. Zu den Segmenten gehören Life Sciences und Diagnostics. Das Segment Life Sciences bietet Produkte und Dienstleistungen für den Life Sciences-Markt an. Das Segment bietet Instrumente, Reagenzien, Software, Detektions- und Bildgebungstechnologien und andere. Das Segment Diagnostics entwickelt Diagnosen, Tools und Anwendungen, die sich auf klinisch orientierte Kunden in den Märkten Reproduktionsmedizin, Immundiagnostik und angewandte Genomik konzentrieren. Das Segment bietet Instrumente, Reagenzien, Assay-Plattformen und Software für Krankenhäuser, medizinische Labore, Kliniker und medizinische Forscher, um die Gesundheit von Familien zu verbessern.</v>
    <v>1.1289</v>
    <v>9829746136</v>
    <v>New York Stock Exchange</v>
    <v>XNYS</v>
    <v>XNYS</v>
    <v>77 4Th Avenue, WALTHAM, MA, 02451 US</v>
    <v>89.86</v>
    <v>Healthcare Equipment &amp; Supplies</v>
    <v>Aktie</v>
    <v>42.441000000000003</v>
    <v>1546</v>
    <v>46113.958333356248</v>
    <v>11000</v>
    <v>REVVITY, INC.</v>
    <v>87.14</v>
    <v>REVVITY, INC.</v>
    <v>88.21</v>
    <v>87.92</v>
    <v>87.92</v>
    <v>87.61</v>
    <v>RVTY</v>
    <v>REVVITY, INC. (XNYS:RVTY)</v>
    <v>1947</v>
    <v>0</v>
    <v>0</v>
    <v>693506</v>
    <v>1107833</v>
    <v>USD</v>
  </rv>
  <rv s="2">
    <v>1547</v>
  </rv>
  <rv s="3">
    <fb>83.9</fb>
    <v>6</v>
  </rv>
  <rv s="4">
    <v>7</v>
    <v>8</v>
    <v>VERALTO CORPORATION (XNYS:VLTO)</v>
    <v>9</v>
    <v>4</v>
    <v>Finance</v>
    <v>5</v>
    <v>de-DE</v>
    <v>caydcw</v>
    <v>268435456</v>
    <v>1</v>
    <v>Unterstützt von Refinitiv</v>
    <v>110.11</v>
    <v>83.864999999999995</v>
    <v>-0.36</v>
    <v>-4.071E-3</v>
    <v>245565100</v>
    <v>Die Veralto Corporation bietet wichtige Technologielösungen, die wichtige Ressourcen weltweit überwachen, verbessern und schützen. Zu den Segmenten gehören Wasserqualität (WQ) und Produktqualität &amp; Innovation (PQI). Das Segment WQ bietet Portfolios an Wasseranalysen und differenzierten Wasseraufbereitungslösungen, die die Bereitstellung von sicherem Trinkwasser durch öffentliche und private Versorgungsunternehmen ermöglichen. Unter den Marken Hach, Trojan Technologies, ChemTreat und anderen weltweit anerkannten WQ-Marken bietet das Unternehmen Präzisionsinstrumente und fortschrittliche Wasseraufbereitungstechnologien, auf die sich seine Kunden bei der Messung, Analyse und Aufbereitung von Wasser in Wohn-, Gewerbe-, Kommunal-, Industrie-, Forschungs- und Naturressourcenanwendungen verlassen. Das Segment PQI bietet eine Reihe wichtiger Lösungen für Markeninhaber und Hersteller von Konsumgütern. Unter den Marken Videojet, Linx, Esko, X-Rite, Pantone und anderen weltweit anerkannten PQI-Marken bietet das Unternehmen Markierungen und Codierungen, Verpackungen und Farbinstrumente sowie zugehörige Verbrauchsmaterialien an.</v>
    <v>0.74</v>
    <v>21624462706</v>
    <v>New York Stock Exchange</v>
    <v>XNYS</v>
    <v>XNYS</v>
    <v>225 Wyman Street, Suite 250, WALTHAM, MA, 02451 US</v>
    <v>88.57</v>
    <v>Professional &amp; Commercial Services</v>
    <v>Aktie</v>
    <v>23.4496</v>
    <v>46113.993512789064</v>
    <v>17000</v>
    <v>VERALTO CORPORATION</v>
    <v>87.08</v>
    <v>VERALTO CORPORATION</v>
    <v>87.3</v>
    <v>88.06</v>
    <v>88.42</v>
    <v>VLTO</v>
    <v>VERALTO CORPORATION (XNYS:VLTO)</v>
    <v>2022</v>
    <v>2</v>
    <v>2008227</v>
    <v>USD</v>
  </rv>
  <rv s="2">
    <v>1550</v>
  </rv>
  <rv s="3">
    <fb>85.03</fb>
    <v>6</v>
  </rv>
  <rv s="0">
    <v>https://www.bing.com/financeapi/forcetrigger?t=a24qnm&amp;q=XNAS%3aUAL&amp;form=skydnc</v>
    <v>Learn more on Bing</v>
  </rv>
  <rv s="1">
    <v>0</v>
    <v>1</v>
    <v>UNITED AIRLINES HOLDINGS, INC. (XNAS:UAL)</v>
    <v>3</v>
    <v>4</v>
    <v>Finance</v>
    <v>5</v>
    <v>de-DE</v>
    <v>a24qnm</v>
    <v>268435456</v>
    <v>1</v>
    <v>Unterstützt von Refinitiv</v>
    <v>119.21</v>
    <v>52</v>
    <v>3.01</v>
    <v>3.2693E-2</v>
    <v>323430400</v>
    <v>United Airlines Holdings, Inc. ist eine Holdinggesellschaft. Das Unternehmen befördert Personen und Fracht in ganz Nordamerika und zu Zielen in Asien, Europa, Afrika, dem Pazifik, dem Nahen Osten und Lateinamerika. Das Unternehmen ist über United Airlines, Inc. und seine regionalen Fluggesellschaften auf sechs Kontinenten tätig und verfügt über Drehkreuze am Chicago O'Hare International Airport (ORD), Denver International Airport (DEN), George Bush Intercontinental Airport (IAH), Los Angeles International Airport (LAX), Newark Liberty International Airport (EWR), San Francisco International Airport (SFO), Washington Dulles International Airport (IAD) und A.B. Won Pat International Airport (GUM). Durch sein Drehkreuz- und Speichen-System kann das Unternehmen Passagiere zwischen einer großen Anzahl von Zielen mit häufigen Verbindungen befördern. Das Unternehmen unterhält vertragliche Beziehungen mit verschiedenen regionalen Fluggesellschaften, um unter dem Namen United Express regionale Flugdienste anzubieten. Das Unternehmen bietet Fracht- und Posttransportdienste (Air Cargo) an.</v>
    <v>1.2862</v>
    <v>30751762432</v>
    <v>Nasdaq Stock Market</v>
    <v>XNAS</v>
    <v>XNAS</v>
    <v>E. Anna Ha - Whqld, 233 South Wacker Drive, CHICAGO, IL, 60606 US</v>
    <v>96.56</v>
    <v>Passenger Transportation Services</v>
    <v>Aktie</v>
    <v>9.2927999999999997</v>
    <v>1553</v>
    <v>46113.999505161715</v>
    <v>113200</v>
    <v>UNITED AIRLINES HOLDINGS, INC.</v>
    <v>93.16</v>
    <v>UNITED AIRLINES HOLDINGS, INC.</v>
    <v>93.61</v>
    <v>95.08</v>
    <v>92.07</v>
    <v>UAL</v>
    <v>UNITED AIRLINES HOLDINGS, INC. (XNAS:UAL)</v>
    <v>1968</v>
    <v>14765</v>
    <v>8871008</v>
    <v>USD</v>
  </rv>
  <rv s="2">
    <v>1554</v>
  </rv>
  <rv s="3">
    <fb>88.44</fb>
    <v>6</v>
  </rv>
  <rv s="0">
    <v>https://www.bing.com/financeapi/forcetrigger?t=a24war&amp;q=XNAS%3aULTA&amp;form=skydnc</v>
    <v>Learn more on Bing</v>
  </rv>
  <rv s="1">
    <v>0</v>
    <v>1</v>
    <v>ULTA BEAUTY, INC. (XNAS:ULTA)</v>
    <v>3</v>
    <v>4</v>
    <v>Finance</v>
    <v>5</v>
    <v>de-DE</v>
    <v>a24war</v>
    <v>268435456</v>
    <v>1</v>
    <v>Unterstützt von Refinitiv</v>
    <v>714.96990000000005</v>
    <v>323.36500000000001</v>
    <v>13.9</v>
    <v>2.6591999999999998E-2</v>
    <v>43736630</v>
    <v>Ulta Beauty, Inc. Ist ein US-amerikanisches Kosmetikeinzelhändler und das führende Reiseziel für Kosmetik, Duftstoffe, Hautpflegeprodukte, Haarpflegeprodukte und Friseurdienste. Das Unternehmen betreibt etwa 1.451 Einzelhandelsgeschäfte in 50 bundesstaaten und vertreibt Produkte über seine Website, die eine Sammlung von Tipps, Tutorials und sozialen Inhalten enthält. Das Unternehmen verfügt über ein differenziertes Sortiment von rund 29.000 Kosmetikprodukten in verschiedenen Kategorien und Preisklassen sowie über eine Vielzahl von Schönheitsdiensten, einschließlich Salondienstleistungen, in mehr als 1.400 Geschäften, die sich überwiegend an verkehrsgünstigen Standorten befinden. Darüber hinaus bietet es digitale Erlebnisse, die über seine Website Ulta.com und seine mobilen Anwendungen bereitgestellt werden. Zu den Marken des Unternehmens gehören Ulta Beauty Collection, About-Face, Ariana Grande, CHANEL, FENTY BEAUTY by Rihanna, IT Cosmetics, LolaVie, OUAI, PAT McGrath LABS, Tula und NYX professionelles Make-up.</v>
    <v>0.95299999999999996</v>
    <v>23469513024</v>
    <v>Nasdaq Stock Market</v>
    <v>XNAS</v>
    <v>XNAS</v>
    <v>1000 Remington Blvd, Suite 120, BOLINGBROOK, IL, 60440 US</v>
    <v>541.25</v>
    <v>Specialty Retailers</v>
    <v>Aktie</v>
    <v>20.596299999999999</v>
    <v>1557</v>
    <v>46113.991849964841</v>
    <v>21382</v>
    <v>ULTA BEAUTY, INC.</v>
    <v>526.69000000000005</v>
    <v>ULTA BEAUTY, INC.</v>
    <v>526.86</v>
    <v>536.61</v>
    <v>522.71</v>
    <v>ULTA</v>
    <v>ULTA BEAUTY, INC. (XNAS:ULTA)</v>
    <v>2016</v>
    <v>9</v>
    <v>865991</v>
    <v>USD</v>
  </rv>
  <rv s="2">
    <v>1558</v>
  </rv>
  <rv s="3">
    <fb>510.34</fb>
    <v>6</v>
  </rv>
  <rv s="0">
    <v>https://www.bing.com/financeapi/forcetrigger?t=a2d5gh&amp;q=OTCM%3aCRHCF&amp;form=skydnc</v>
    <v>Learn more on Bing</v>
  </rv>
  <rv s="1">
    <v>0</v>
    <v>1</v>
    <v>CRH PUBLIC LIMITED COMPANY (XNYS:CRH)</v>
    <v>3</v>
    <v>4</v>
    <v>Finance</v>
    <v>5</v>
    <v>de-DE</v>
    <v>a2d5gh</v>
    <v>268435456</v>
    <v>1</v>
    <v>Unterstützt von Refinitiv</v>
    <v>131.55000000000001</v>
    <v>76.75</v>
    <v>1.08</v>
    <v>1.0274E-2</v>
    <v>668383800</v>
    <v>CRH PLC ist ein irisches Unternehmen. Das Unternehmen produziert und vertreibt eine Vielzahl hochwertiger Baumaterialien und -Produkte, die in Bauprojekten aller Größen eingesetzt werden. Sie ist in drei Segmenten in zwei Geschäftsbereichen tätig. Zu den Geschäftsbereichen gehören Americas und International. Die Division Americas umfasst zwei Segmente: Americas Materials Solutions und Americas Building Solutions. Americas Materials Solutions liefert Baumaterialien für den Bau und die Instandhaltung öffentlicher Infrastrukturen sowie Gewerbe- und Wohngebäude in Nordamerika. Zu den Primärmaterialien, die in diesem Segment produziert werden, gehören Zuschlagstoffe, Zement, Fertigbeton und Asphalt. Americas Building Solutions produziert, liefert und liefert Lösungen für die bebaute Umgebung in Gemeinden in ganz Nordamerika. Die Division International, die ein Segment umfasst, International Solutions, ist ein Anbieter von integrierten Gebäudelösungen in erster Linie in Europa und Australien.</v>
    <v>1.2402</v>
    <v>70982359560</v>
    <v>New York Stock Exchange</v>
    <v>XNYS</v>
    <v>XNYS</v>
    <v>Stonemason's Way, Rathfarnham, DUBLIN, DUBLIN, D16 KH51 IE</v>
    <v>107.785</v>
    <v>Construction Materials</v>
    <v>Aktie</v>
    <v>19.1205</v>
    <v>1561</v>
    <v>46113.958333333336</v>
    <v>83032</v>
    <v>CRH PUBLIC LIMITED COMPANY</v>
    <v>105.565</v>
    <v>CRH PUBLIC LIMITED COMPANY</v>
    <v>106.21</v>
    <v>106.2</v>
    <v>105.12</v>
    <v>CRH</v>
    <v>CRH PUBLIC LIMITED COMPANY (XNYS:CRH)</v>
    <v>1949</v>
    <v>76</v>
    <v>6088553</v>
    <v>USD</v>
  </rv>
  <rv s="2">
    <v>1562</v>
  </rv>
  <rv s="3">
    <fb>101.74</fb>
    <v>6</v>
  </rv>
  <rv s="0">
    <v>https://www.bing.com/financeapi/forcetrigger?t=bvsk7w&amp;q=XNYS%3aPLTR&amp;form=skydnc</v>
    <v>Learn more on Bing</v>
  </rv>
  <rv s="1">
    <v>0</v>
    <v>1</v>
    <v>PALANTIR TECHNOLOGIES INC. (XNAS:PLTR)</v>
    <v>3</v>
    <v>4</v>
    <v>Finance</v>
    <v>5</v>
    <v>de-DE</v>
    <v>bvsk7w</v>
    <v>268435456</v>
    <v>1</v>
    <v>Unterstützt von Refinitiv</v>
    <v>207.52</v>
    <v>66.12</v>
    <v>0.21</v>
    <v>1.436E-3</v>
    <v>2390671000</v>
    <v>Palantir Technologies Inc. Entwickelt Software zur Unterstützung von Ermittlungen und Operationen zur Terrorismusbekämpfung. Das Unternehmen hat vier Softwareplattformen gebaut, darunter Palantir Gotham (Gotham), Palantir Foundry (Gießerei), Palantir Apollo (Apollo) und Palantir Artificial Intelligence Platform (AIP). Apollo ist eine Cloud-unabhängige, zentrale Steuerungsebene, die die kontinuierliche Bereitstellung neuer Funktionen, Sicherheitsupdates und Plattformkonfigurationen koordiniert und so den unterbrechungsfreien Betrieb kritischer Systeme gewährleistet. Gotham ermöglicht es Benutzern, Muster zu identifizieren, die tief in Datensätzen verborgen sind, von Informationsquellen bis hin zu Berichten von vertraulichen Informanten. Gießerei verändert die Arbeitsweise von Unternehmen, indem sie ein zentrales Betriebssystem für ihre Daten erstellt. AIP ermöglicht verantwortungsbewusste künstliche Intelligenz (KI) im gesamten Unternehmen, indem primäre Kernkomponenten verwendet werden, die zur effektiven Aktivierung großer Sprachmodelle und anderer KI innerhalb eines Unternehmens entwickelt wurden.</v>
    <v>1.6739999999999999</v>
    <v>350209394790</v>
    <v>Nasdaq Stock Market</v>
    <v>XNAS</v>
    <v>XNAS</v>
    <v>1200 17Th Street, Floor 15, DENVER, CO, 80202 US</v>
    <v>148.30000000000001</v>
    <v>Software &amp; IT Services</v>
    <v>Aktie</v>
    <v>231.4949</v>
    <v>1565</v>
    <v>46113.999993078127</v>
    <v>4429</v>
    <v>PALANTIR TECHNOLOGIES INC.</v>
    <v>144.47</v>
    <v>PALANTIR TECHNOLOGIES INC.</v>
    <v>147</v>
    <v>146.49</v>
    <v>146.28</v>
    <v>PLTR</v>
    <v>PALANTIR TECHNOLOGIES INC. (XNAS:PLTR)</v>
    <v>2003</v>
    <v>117034</v>
    <v>48495519</v>
    <v>USD</v>
  </rv>
  <rv s="2">
    <v>1566</v>
  </rv>
  <rv s="3">
    <fb>143.06</fb>
    <v>6</v>
  </rv>
  <rv s="0">
    <v>https://www.bing.com/financeapi/forcetrigger?t=a1mrar&amp;q=XNYS%3aABT&amp;form=skydnc</v>
    <v>Learn more on Bing</v>
  </rv>
  <rv s="1">
    <v>0</v>
    <v>1</v>
    <v>ABBOTT LABORATORIES (XNYS:ABT)</v>
    <v>3</v>
    <v>4</v>
    <v>Finance</v>
    <v>5</v>
    <v>de-DE</v>
    <v>a1mrar</v>
    <v>268435456</v>
    <v>1</v>
    <v>Unterstützt von Refinitiv</v>
    <v>139.06</v>
    <v>100.875</v>
    <v>-0.28999999999999998</v>
    <v>-2.8249999999999998E-3</v>
    <v>1737675000</v>
    <v>Abbott Laboratories ist ein weltweit tätiges Unternehmen im Gesundheitswesen. Das Unternehmen beschäftigt sich mit der Entdeckung, Entwicklung, Herstellung und dem Verkauf einer breiten und diversifizierten Produktpalette von Gesundheitsprodukten. Das Unternehmen ist in vier Segmenten tätig: Etablierte pharmazeutische Produkte, Diagnostika, Ernährungsprodukte und Medizinprodukte. Das etablierte Segment Pharmaceutical Products ist im internationalen Vertrieb einer breiten Palette von generischen Markenprodukten tätig. Das Segment Diagnostika ist im weltweiten Vertrieb von Diagnosesystemen und -Tests für Blutbanken, Krankenhäuser, kommerzielle Labors und Teststandorte für alternative Pflegeprodukte tätig. Das Segment Nutritional Products ist am weltweiten Vertrieb einer breiten Palette von Ernährungsprodukten für Erwachsene und Kinder beteiligt. Das Segment Medical Devices umfasst den weltweiten Vertrieb von Rhythmusmanagement, Elektrophysiologie, Herzinsuffizienz, Gefäßgefäßen, strukturellen Herzerkrankungen, neuromodulation und Diabetespflegeprodukte.</v>
    <v>0.78249999999999997</v>
    <v>177903166500</v>
    <v>New York Stock Exchange</v>
    <v>XNYS</v>
    <v>XNYS</v>
    <v>100 Abbott Park Road, Abbot Park, ABBOTT PARK, IL, 60064-3500 US</v>
    <v>103.79</v>
    <v>Healthcare Equipment &amp; Supplies</v>
    <v>Aktie</v>
    <v>27.431100000000001</v>
    <v>1569</v>
    <v>46113.993749560155</v>
    <v>115000</v>
    <v>ABBOTT LABORATORIES</v>
    <v>102.21</v>
    <v>ABBOTT LABORATORIES</v>
    <v>102.84</v>
    <v>102.38</v>
    <v>102.67</v>
    <v>ABT</v>
    <v>ABBOTT LABORATORIES (XNYS:ABT)</v>
    <v>1900</v>
    <v>36</v>
    <v>11962163</v>
    <v>USD</v>
  </rv>
  <rv s="2">
    <v>1570</v>
  </rv>
  <rv s="3">
    <fb>103.99</fb>
    <v>6</v>
  </rv>
  <rv s="0">
    <v>https://www.bing.com/financeapi/forcetrigger?t=a24bsm&amp;q=XNYS%3aTMO&amp;form=skydnc</v>
    <v>Learn more on Bing</v>
  </rv>
  <rv s="1">
    <v>0</v>
    <v>1</v>
    <v>THERMO FISHER SCIENTIFIC INCORPORATED (XNYS:TMO)</v>
    <v>3</v>
    <v>4</v>
    <v>Finance</v>
    <v>5</v>
    <v>de-DE</v>
    <v>a24bsm</v>
    <v>268435456</v>
    <v>1</v>
    <v>Unterstützt von Refinitiv</v>
    <v>643.99</v>
    <v>385.46</v>
    <v>3.01</v>
    <v>6.124000000000001E-3</v>
    <v>371484300</v>
    <v>Thermo Fisher Scientific Inc. Engagiert sich für die Beschleunigung der Biowissenschaften-Forschung, die Lösung komplexer analytischer Herausforderungen, die Steigerung der Laborproduktivität und die Verbesserung der Patientengesundheit durch Diagnostik sowie die Entwicklung und Herstellung lebensverändernder Therapien. Über das Segment Life Sciences Solutions bietet das Unternehmen ein Portfolio an Reagenzien, Instrumenten und Verbrauchsmaterialien für die biologische und medizinische Forschung, die Entdeckung und Herstellung neuer Medikamente und Impfstoffe sowie die Diagnose von Infektionen und Krankheiten. Über sein Segment Analyseinstrumente bietet das Unternehmen Instrumente und unterstützende Verbrauchsmaterialien, Software und Dienstleistungen, die für eine Reihe von Anwendungen eingesetzt werden. Das Segment Specialty Diagnostics bietet eine Reihe von diagnostischen Testkits, Reagenzien, Nährmedien, Instrumenten und zugehörigen Produkten. Das Segment Laborprodukte und Biopharma Services bietet praktisch alles, was für das Labor benötigt wird. Es bietet auch Reinigungs- und Filtrationstechnologien.</v>
    <v>0.97240000000000004</v>
    <v>183713845722</v>
    <v>New York Stock Exchange</v>
    <v>XNYS</v>
    <v>XNYS</v>
    <v>168 Third Avenue, WALTHAM, MA, 02451 US</v>
    <v>501.04500000000002</v>
    <v>Healthcare Equipment &amp; Supplies</v>
    <v>Aktie</v>
    <v>27.8843</v>
    <v>1573</v>
    <v>46113.99000822891</v>
    <v>125000</v>
    <v>THERMO FISHER SCIENTIFIC INCORPORATED</v>
    <v>491.86009999999999</v>
    <v>THERMO FISHER SCIENTIFIC INCORPORATED</v>
    <v>496.3</v>
    <v>494.54</v>
    <v>491.53</v>
    <v>TMO</v>
    <v>THERMO FISHER SCIENTIFIC INCORPORATED (XNYS:TMO)</v>
    <v>1960</v>
    <v>8</v>
    <v>2098409</v>
    <v>USD</v>
  </rv>
  <rv s="2">
    <v>1574</v>
  </rv>
  <rv s="3">
    <fb>473.36</fb>
    <v>6</v>
  </rv>
  <rv s="0">
    <v>https://www.bing.com/financeapi/forcetrigger?t=a23i8m&amp;q=XNYS%3aSQ&amp;form=skydnc</v>
    <v>Learn more on Bing</v>
  </rv>
  <rv s="1">
    <v>0</v>
    <v>1</v>
    <v>BLOCK, INC. (XNYS:XYZ)</v>
    <v>3</v>
    <v>4</v>
    <v>Finance</v>
    <v>5</v>
    <v>de-DE</v>
    <v>a23i8m</v>
    <v>268435456</v>
    <v>1</v>
    <v>Unterstützt von Refinitiv</v>
    <v>82.5</v>
    <v>44.27</v>
    <v>-0.64</v>
    <v>-1.0634999999999999E-2</v>
    <v>599096000</v>
    <v>Block, Inc. Entwickelt Technologie, um den Zugang zur globalen Wirtschaft zu verbessern. Das Unternehmen ist in zwei Segmenten tätig: Square und Cash App. The Square umfasst Managed Payment Services, Softwarelösungen, Hardware und Finanzdienstleistungen, die Verkäufern angeboten werden, mit Ausnahme solcher, die Cash App betreffen. Das Segment Cash App umfasst die Finanztools, die Einzelpersonen innerhalb der mobilen Cash App zur Verfügung stehen, einschließlich Peer-to-Peer-Zahlungen, Bitcoin und Aktienanlagen. Die Cash App enthält auch die Cash App Card, die mit den gespeicherten Guthaben des Kunden verknüpft ist, mit denen Kunden für Einkäufe bezahlen oder Geld von einem Geldautomaten abheben können. Cash App enthält auch die BNPL-Plattform. Das Afterpay-Geschäft verändert die Art und Weise, wie Kunden ihre Ausgaben im Laufe der Zeit verwalten. Das TIDAL Business ist eine Musikplattform, die Künstlern die Möglichkeit gibt, als Unternehmer zu wachsen. Das Bitkey-Geschäft ist eine einfache Brieftasche für die Selbstverwahrung, die für Bitcoin entwickelt wurde. Proto Business ist eine Suite von Bitcoin-Mining-Produkten und -Services.</v>
    <v>2.613</v>
    <v>35670175840</v>
    <v>New York Stock Exchange</v>
    <v>XNYS</v>
    <v>XNYS</v>
    <v>1955 Broadway, Suite 600, OAKLAND, CA, 94612 US</v>
    <v>61.424999999999997</v>
    <v>Professional &amp; Commercial Services</v>
    <v>Aktie</v>
    <v>28.194600000000001</v>
    <v>1577</v>
    <v>46113.99911586797</v>
    <v>10205</v>
    <v>BLOCK, INC.</v>
    <v>59.45</v>
    <v>BLOCK, INC.</v>
    <v>61.17</v>
    <v>59.54</v>
    <v>60.18</v>
    <v>XYZ</v>
    <v>BLOCK, INC. (XNYS:XYZ)</v>
    <v>2009</v>
    <v>6224</v>
    <v>9818488</v>
    <v>USD</v>
  </rv>
  <rv s="2">
    <v>1578</v>
  </rv>
  <rv s="3">
    <fb>55.98</fb>
    <v>6</v>
  </rv>
  <rv s="0">
    <v>https://www.bing.com/financeapi/forcetrigger?t=a24zec&amp;q=XNYS%3aURI&amp;form=skydnc</v>
    <v>Learn more on Bing</v>
  </rv>
  <rv s="11">
    <v>33</v>
    <v>34</v>
    <v>UNITED RENTALS, INC. (XNYS:URI)</v>
    <v>3</v>
    <v>35</v>
    <v>Finance</v>
    <v>36</v>
    <v>de-DE</v>
    <v>a24zec</v>
    <v>268435456</v>
    <v>1</v>
    <v>Unterstützt von Refinitiv</v>
    <v>1021.47</v>
    <v>525.91359999999997</v>
    <v>2.98</v>
    <v>4.0899999999999999E-3</v>
    <v>62886320</v>
    <v>United Rentals, Inc. Ist ein Geräteverleih. Zu den Segmenten des Unternehmens gehören General Rentals und Specialty. Das Segment General Rentals umfasst die Vermietung von Bau-, Luft- und Industrieausrüstungen, allgemeinen Werkzeugen und leichten Ausrüstungen sowie damit zusammenhängende Dienstleistungen und Aktivitäten. Das Segment General Rentals umfasst vier geografische Abteilungen - Central, Northeast, Southeast und West - und ist in den Vereinigten Staaten und Kanada tätig. Das Spezialsegment vermietet Produkte (und bietet Setup- und andere Dienstleistungen für diese gemieteten Geräte), einschließlich Sicherheitsausrüstung für Graben, wie Grabenschilde, hydraulische Tragsysteme aus Aluminium, Gleitschienen, Kreuzungsplatten, Baulaser und Linientestausrüstung für unterirdische Arbeiten; Ausrüstung für Fluidlösungen, die hauptsächlich für die Eindämmung, Übertragung und Behandlung von Flüssigkeiten verwendet werden, sowie mobile Speichergeräte und modulare Büroflächen. Es verfügt über ein integriertes Netzwerk von rund 1.591 Mietstandorten in Nordamerika, 39 in Europa, 37 in Australien und 19 in Neuseeland.</v>
    <v>1.6813</v>
    <v>46003858532</v>
    <v>New York Stock Exchange</v>
    <v>XNYS</v>
    <v>XNYS</v>
    <v>100 First Stamford Place, Suite 700, STAMFORD, CT, 06902 US</v>
    <v>739.11689999999999</v>
    <v>Professional &amp; Commercial Services</v>
    <v>Aktie</v>
    <v>18.930900000000001</v>
    <v>1581</v>
    <v>46113.958333333336</v>
    <v>28500</v>
    <v>UNITED RENTALS, INC.</v>
    <v>724.31</v>
    <v>UNITED RENTALS, INC.</v>
    <v>734.07</v>
    <v>731.54</v>
    <v>731.54</v>
    <v>728.56</v>
    <v>URI</v>
    <v>UNITED RENTALS, INC. (XNYS:URI)</v>
    <v>1998</v>
    <v>0</v>
    <v>0</v>
    <v>583895</v>
    <v>643655</v>
    <v>USD</v>
  </rv>
  <rv s="2">
    <v>1582</v>
  </rv>
  <rv s="3">
    <fb>734.3</fb>
    <v>6</v>
  </rv>
  <rv s="0">
    <v>https://www.bing.com/financeapi/forcetrigger?t=bu3f2w&amp;q=XNYS%3aOTIS&amp;form=skydnc</v>
    <v>Learn more on Bing</v>
  </rv>
  <rv s="1">
    <v>0</v>
    <v>1</v>
    <v>OTIS WORLDWIDE CORPORATION (XNYS:OTIS)</v>
    <v>3</v>
    <v>4</v>
    <v>Finance</v>
    <v>5</v>
    <v>de-DE</v>
    <v>bu3f2w</v>
    <v>268435456</v>
    <v>1</v>
    <v>Unterstützt von Refinitiv</v>
    <v>105.95</v>
    <v>75.27</v>
    <v>0.37</v>
    <v>4.7999999999999996E-3</v>
    <v>388720800</v>
    <v>Otis Worldwide Corporation ist ein Unternehmen, das Aufzüge und Rolltreppen herstellt, installiert und wartet. Die Geschäftsbereiche des Unternehmens umfassen Neuanlagen und Service. Das Segment Neuanlagen entwickelt, fertigt, verkauft und installiert eine Reihe von Personen- und Lastenaufzügen sowie Fahrtreppen und Fahrsteige für Wohn-, Gewerbe- und Infrastrukturprojekte. Zu seinen Aufzugs- und Fahrtreppenlösungen gehören Gen2, Gen3, Gen360 und SkyRise. Über sein Service-Segment führt das Unternehmen Wartungs- und Reparaturdienste sowie Modernisierungsdienste zur Aufrüstung von Aufzügen und Fahrtreppen durch. Über sein Netzwerk von Service-Verkäufern verkauft es seine Dienstleistungen direkt an Kunden in allen wichtigen Aufzugs- und Fahrtreppenbranchen auf der ganzen Welt. Das Unternehmen bedient Kunden in über 200 Ländern und Gebieten auf der ganzen Welt. Die fortschrittliche SkyRise-Aufzugsplattform kombiniert Spitzentechnologien und Präzisionstechnik, um Lösungen für Wohn-, Geschäfts- und gemischt genutzte Wolkenkratzer zu liefern.</v>
    <v>1.0455000000000001</v>
    <v>30106425960</v>
    <v>New York Stock Exchange</v>
    <v>XNYS</v>
    <v>XNYS</v>
    <v>1 Carrier Place, FARMINGTON, CT, 06032 US</v>
    <v>77.75</v>
    <v>Machinery, Equipment &amp; Components</v>
    <v>Aktie</v>
    <v>22.099</v>
    <v>1585</v>
    <v>46113.986922106247</v>
    <v>72000</v>
    <v>OTIS WORLDWIDE CORPORATION</v>
    <v>76.19</v>
    <v>OTIS WORLDWIDE CORPORATION</v>
    <v>76.430000000000007</v>
    <v>77.45</v>
    <v>77.08</v>
    <v>OTIS</v>
    <v>OTIS WORLDWIDE CORPORATION (XNYS:OTIS)</v>
    <v>2019</v>
    <v>1</v>
    <v>4033656</v>
    <v>USD</v>
  </rv>
  <rv s="2">
    <v>1586</v>
  </rv>
  <rv s="3">
    <fb>75.95</fb>
    <v>6</v>
  </rv>
  <rv s="0">
    <v>https://www.bing.com/financeapi/forcetrigger?t=axxudm&amp;q=XNYS%3aNCLH&amp;form=skydnc</v>
    <v>Learn more on Bing</v>
  </rv>
  <rv s="1">
    <v>0</v>
    <v>1</v>
    <v>NORWEGIAN CRUISE LINE HOLDINGS LTD. (XNYS:NCLH)</v>
    <v>3</v>
    <v>4</v>
    <v>Finance</v>
    <v>5</v>
    <v>de-DE</v>
    <v>axxudm</v>
    <v>268435456</v>
    <v>1</v>
    <v>Unterstützt von Refinitiv</v>
    <v>27.1799</v>
    <v>14.21</v>
    <v>0.68</v>
    <v>3.6364E-2</v>
    <v>455545700</v>
    <v>Norwegian Cruise Line Holdings Ltd. Ist ein weltweit tätiges Kreuzfahrtunternehmen. Das Unternehmen betreibt Norwegian Cruise Line, Oceania Cruises und Regent Seven Seas Cruises. Mit einer kombinierten Flotte von 32 Schiffen und über 66.500 Liegeplätzen bietet es Routen zu über 700 Zielen weltweit. Seine Marken bieten Reiserouten zu internationalen Zielen an, darunter Europa, Asien, Australien, Neuseeland, Südamerika, Afrika, Kanada, Bermuda, Karibik, Alaska und Hawaii. Alle seine Marken bieten eine Reihe von Einrichtungen, Annehmlichkeiten und Aktivitäten, einschließlich einer Vielzahl von Unterkünften, mehreren Restaurants, Bars und Lounges, Spa, Casino und Einzelhandelsgeschäfte und zahlreiche Unterhaltungsmöglichkeiten. Alle Marken bieten außerdem eine Auswahl an Landausflügen an jedem Anlaufhafen sowie Lufttransport und Hotelpakete für Aufenthalte vor oder nach einer Reise. Norwegens Schiffe sind für eine Vielzahl von Reisenden geeignet und bieten bis zu 20 Restaurants. Oceania Cruises bietet Speisen an Bord mit mehreren offenen Sitzplätzen.</v>
    <v>2.1126</v>
    <v>8828475666</v>
    <v>New York Stock Exchange</v>
    <v>XNYS</v>
    <v>XNYS</v>
    <v>7665 CORPORATE DRIVE, MIAMI, FL, 33126 US</v>
    <v>19.46</v>
    <v>Hotels &amp; Entertainment Services</v>
    <v>Aktie</v>
    <v>14.7636</v>
    <v>1589</v>
    <v>46113.999368332814</v>
    <v>39200</v>
    <v>NORWEGIAN CRUISE LINE HOLDINGS LTD.</v>
    <v>18.95</v>
    <v>NORWEGIAN CRUISE LINE HOLDINGS LTD.</v>
    <v>19.100000000000001</v>
    <v>19.38</v>
    <v>18.7</v>
    <v>NCLH</v>
    <v>NORWEGIAN CRUISE LINE HOLDINGS LTD. (XNYS:NCLH)</v>
    <v>2011</v>
    <v>1108</v>
    <v>23437145</v>
    <v>USD</v>
  </rv>
  <rv s="2">
    <v>1590</v>
  </rv>
  <rv s="3">
    <fb>18.489999999999998</fb>
    <v>6</v>
  </rv>
  <rv s="0">
    <v>https://www.bing.com/financeapi/forcetrigger?t=a1pf4c&amp;q=XNAS%3aCDW&amp;form=skydnc</v>
    <v>Learn more on Bing</v>
  </rv>
  <rv s="1">
    <v>0</v>
    <v>1</v>
    <v>CDW CORPORATION (XNAS:CDW)</v>
    <v>3</v>
    <v>4</v>
    <v>Finance</v>
    <v>19</v>
    <v>de-DE</v>
    <v>a1pf4c</v>
    <v>268435456</v>
    <v>1</v>
    <v>Unterstützt von Refinitiv</v>
    <v>192.3</v>
    <v>112.98</v>
    <v>0.38</v>
    <v>3.14E-3</v>
    <v>128993600</v>
    <v>CDW Corporation ist ein Mehrmarkenanbieter von IT-Lösungen für Unternehmen, Behörden, Bildungseinrichtungen und das Gesundheitswesen in den Vereinigten Staaten, Großbritannien und Kanada. Die Angebotspalette des Unternehmens reicht von einzelnen Hardware- und Softwareprodukten bis hin zu integrierten IT-Lösungen und -Dienstleistungen, die On-Premises- und Cloud-Funktionen für hybride Infrastrukturen, digitale Erfahrungen und Sicherheit umfassen. Das Unternehmen ist in drei Segmenten tätig: Corporate, Small Business und Public. Das Segment Corporate bedient in erster Linie Geschäftskunden aus dem privaten Sektor in den USA. Das Segment Small Business bedient in erster Linie Geschäftskunden aus dem privaten Sektor in den USA. Das Segment Public umfasst Regierungsbehörden sowie Bildungs- und Gesundheitseinrichtungen in den USA. Die Lösungen des Unternehmens werden in physischen, virtuellen und Cloud-basierten Umgebungen bereitgestellt. Das Unternehmen bietet integrierte IT-Lösungen in mehr als 150 Ländern an.</v>
    <v>1.0179</v>
    <v>15659823040</v>
    <v>Nasdaq Stock Market</v>
    <v>XNAS</v>
    <v>XNAS</v>
    <v>200 N Milwaukee Ave, VERNON HILLS, IL, 60061 US</v>
    <v>122.38500000000001</v>
    <v>Integrated Hardware &amp; Software</v>
    <v>Aktie</v>
    <v>15.0229</v>
    <v>1593</v>
    <v>46113.924377013282</v>
    <v>14800</v>
    <v>CDW CORPORATION</v>
    <v>120.58</v>
    <v>CDW CORPORATION</v>
    <v>121.4</v>
    <v>121.4</v>
    <v>121.02</v>
    <v>CDW</v>
    <v>CDW CORPORATION (XNAS:CDW)</v>
    <v>2007</v>
    <v>2502203</v>
    <v>1641984</v>
    <v>USD</v>
  </rv>
  <rv s="2">
    <v>1594</v>
  </rv>
  <rv s="3">
    <fb>118.17</fb>
    <v>6</v>
  </rv>
  <rv s="0">
    <v>http://en.wikipedia.org/wiki/Hewlett-Packard</v>
    <v>Wikipedia</v>
  </rv>
  <rv s="6">
    <v>35</v>
    <v>1597</v>
  </rv>
  <rv s="7">
    <v>18</v>
    <v>https://www.bing.com/th?id=AMMS_98757b1e7b158827481b7c629463c21b&amp;qlt=95</v>
    <v>1598</v>
    <v>0</v>
    <v>https://www.bing.com/images/search?form=xlimg&amp;q=hp+company</v>
    <v>Image of HP INC.</v>
  </rv>
  <rv s="0">
    <v>https://www.bing.com/financeapi/forcetrigger?t=a1uu5r&amp;q=XNYS%3aHPQ&amp;form=skydnc</v>
    <v>Learn more on Bing</v>
  </rv>
  <rv s="8">
    <v>13</v>
    <v>14</v>
    <v>HP INC. (XNYS:HPQ)</v>
    <v>16</v>
    <v>17</v>
    <v>Finance</v>
    <v>5</v>
    <v>de-DE</v>
    <v>a1uu5r</v>
    <v>268435456</v>
    <v>1</v>
    <v>Unterstützt von Refinitiv</v>
    <v>29.55</v>
    <v>17.559999999999999</v>
    <v>-0.26</v>
    <v>-1.3534999999999998E-2</v>
    <v>914550200</v>
    <v>HP Inc. ist ein weltweiter Anbieter von nachhaltigen Geräten, Dienstleistungen und Abonnements für Personal Computing (PC), Drucken, dreidimensionalen Druck (3D), hybrides Arbeiten, Spiele und andere verwandte Technologien. Die Geschäftsbereiche des Unternehmens umfassen Personal Systems, Printing und Corporate Investments. Das Segment Personal Systems bietet Desktops, Notebooks und Workstations, Thin Clients, POS-Systeme für den Einzelhandel, Displays, hybride Systeme, Software, Lösungen einschließlich Endpunktsicherheit und Dienstleistungen. Das Druckersegment bietet Hardware, Verbrauchsmaterialien, Dienstleistungen und Lösungen für private und kommerzielle Drucker an. Der Druckbereich konzentriert sich auch auf Grafik- und 3D-Druck sowie Personalisierung im kommerziellen und industriellen Bereich. Das Segment Corporate Investments umfasst bestimmte Unternehmensgründungs- und Investitionsprojekte. Die Sicherheitslösungen des Unternehmens bieten eine mehrschichtige Ausfallsicherheit, indem sie Funktionen wie Containment- und Isolationstechnologie sowie künstliche Intelligenz (AI) und Deep Learning nutzen.</v>
    <v>1.131</v>
    <v>1599</v>
    <v>17330726290</v>
    <v>New York Stock Exchange</v>
    <v>XNYS</v>
    <v>XNYS</v>
    <v>1501 Page Mill Road, PALO ALTO, CA, 94304 US</v>
    <v>19.309999999999999</v>
    <v>Computers, Phones &amp; Household Electronics</v>
    <v>Aktie</v>
    <v>7.1543999999999999</v>
    <v>1600</v>
    <v>46113.999088344528</v>
    <v>55000</v>
    <v>HP INC.</v>
    <v>18.635000000000002</v>
    <v>HP INC.</v>
    <v>19.2</v>
    <v>18.95</v>
    <v>19.21</v>
    <v>HPQ</v>
    <v>HP INC. (XNYS:HPQ)</v>
    <v>1998</v>
    <v>2102</v>
    <v>20994330</v>
    <v>USD</v>
  </rv>
  <rv s="2">
    <v>1601</v>
  </rv>
  <rv s="3">
    <fb>19.440000000000001</fb>
    <v>6</v>
  </rv>
  <rv s="0">
    <v>https://www.bing.com/financeapi/forcetrigger?t=a1njmw&amp;q=XNYS%3aELV&amp;form=skydnc</v>
    <v>Learn more on Bing</v>
  </rv>
  <rv s="1">
    <v>0</v>
    <v>1</v>
    <v>ELEVANCE HEALTH, INC. (XNYS:ELV)</v>
    <v>3</v>
    <v>4</v>
    <v>Finance</v>
    <v>5</v>
    <v>de-DE</v>
    <v>a1njmw</v>
    <v>268435456</v>
    <v>1</v>
    <v>Unterstützt von Refinitiv</v>
    <v>458.75</v>
    <v>273.70999999999998</v>
    <v>5.75</v>
    <v>1.9640999999999999E-2</v>
    <v>219664900</v>
    <v>Elevance Health, Inc. Ist ein Gesundheitsunternehmen. Sie ist in den Vereinigten Staaten als Krankenkasse tätig. Das Unternehmen ist in vier Segmenten tätig: Gesundheitsleistungen, CarelonRx, Carelon Services und Corporate &amp; Other. Das Segment Health Benefits bietet eine umfassende Palette von Gesundheitsplänen und -Dienstleistungen für Einzelpersonen, Arbeitgebergruppen risikobasierte, Arbeitgebergruppen gebührenbasierte, BlueCard, Medicare, Mitglieder des Medicaid und des Federal Employee Program (FEP). Das Segment Health Benefits bietet auch Gesundheitsprodukte auf Vollrisikobasis an. Das Segment CarelonRx umfasst das Geschäft mit Apothekendienstleistungen. CarelonRx vermarktet und bietet Apotheken-Dienstleistungen für seine verbundenen Gesundheitspläne Kunden sowie für externe Kunden außerhalb der Gesundheitspläne. Das Segment Carelon Services integriert physische, verhaltensbezogene, pharmazeutische und soziale Dienstleistungen, indem es internen und externen Kunden über die Geschäftsbereiche Carelon Health und Carelon Insights eine Reihe von Dienstleistungen und Funktionen für das Gesundheitswesen anbietet.</v>
    <v>0.49809999999999999</v>
    <v>65569972650</v>
    <v>New York Stock Exchange</v>
    <v>XNYS</v>
    <v>XNYS</v>
    <v>220 Virginia Avenue, INDIANAPOLIS, IN, 46204 US</v>
    <v>299.315</v>
    <v>Healthcare Providers &amp; Services</v>
    <v>Aktie</v>
    <v>11.8872</v>
    <v>1604</v>
    <v>46113.992986145313</v>
    <v>96129</v>
    <v>ELEVANCE HEALTH, INC.</v>
    <v>292.07</v>
    <v>ELEVANCE HEALTH, INC.</v>
    <v>292.83</v>
    <v>298.5</v>
    <v>292.75</v>
    <v>ELV</v>
    <v>ELEVANCE HEALTH, INC. (XNYS:ELV)</v>
    <v>2001</v>
    <v>1</v>
    <v>2351744</v>
    <v>USD</v>
  </rv>
  <rv s="2">
    <v>1605</v>
  </rv>
  <rv s="3">
    <fb>286.39</fb>
    <v>6</v>
  </rv>
  <rv s="0">
    <v>http://en.wikipedia.org/wiki/The_Walt_Disney_Company</v>
    <v>Wikipedia</v>
  </rv>
  <rv s="6">
    <v>35</v>
    <v>1608</v>
  </rv>
  <rv s="7">
    <v>18</v>
    <v>https://www.bing.com/th?id=AMMS_0aa288ba528f6f45e3de87d97e250136&amp;qlt=95</v>
    <v>1609</v>
    <v>0</v>
    <v>https://www.bing.com/images/search?form=xlimg&amp;q=the+walt+disney+company</v>
    <v>Image of THE WALT DISNEY COMPANY</v>
  </rv>
  <rv s="0">
    <v>https://www.bing.com/financeapi/forcetrigger?t=a1r2z2&amp;q=XNYS%3aDIS&amp;form=skydnc</v>
    <v>Learn more on Bing</v>
  </rv>
  <rv s="8">
    <v>13</v>
    <v>14</v>
    <v>THE WALT DISNEY COMPANY (XNYS:DIS)</v>
    <v>16</v>
    <v>17</v>
    <v>Finance</v>
    <v>5</v>
    <v>de-DE</v>
    <v>a1r2z2</v>
    <v>268435456</v>
    <v>1</v>
    <v>Unterstützt von Refinitiv</v>
    <v>124.69</v>
    <v>80.099999999999994</v>
    <v>0.18</v>
    <v>1.8679999999999999E-3</v>
    <v>1771520000</v>
    <v>The Walt Disney Company ist ein diversifiziertes, weltweit tätiges Unterhaltungsunternehmen. Die Segmente des Unternehmens umfassen Unterhaltung, Sport und Erlebnisse. Das Segment Unterhaltung umfasst im Allgemeinen die globalen Produktions- und Vertriebsaktivitäten für Filme und episodische Inhalte, die nicht auf Sport ausgerichtet sind. Die Geschäftsbereiche innerhalb des Unterhaltungssegments und ihre Aktivitäten umfassen lineare Netzwerke, Direct-to-Consumer und Content Sales/Licensing. Das Segment Sport umfasst die Produktion und den Vertrieb von Sportinhalten für das weltweite Fernsehen und das Direct-to-Consumer (DTC)-Videostreaming. Zu den Geschäftsbereichen innerhalb des Segments Sport gehören ESPN und Star. Das Segment Experiences umfasst Parks und Experiences sowie Consumer Products. Zu den Parks und Erlebnissen gehören Walt Disney World Resort in Florida, Disneyland Resort in Kalifornien, Disney Cruise Line und andere. Das Segment Konsumgüter umfasst die Lizenzierung von Markennamen, Figuren, visuellem, literarischem und anderem geistigem Eigentum.</v>
    <v>1.4414</v>
    <v>1610</v>
    <v>171057971200</v>
    <v>New York Stock Exchange</v>
    <v>XNYS</v>
    <v>XNYS</v>
    <v>500 South Buena Vista Street, BURBANK, CA, 91521-0001 US</v>
    <v>98.36</v>
    <v>Media &amp; Publishing</v>
    <v>Aktie</v>
    <v>14.228199999999999</v>
    <v>1611</v>
    <v>46113.999299015624</v>
    <v>231000</v>
    <v>THE WALT DISNEY COMPANY</v>
    <v>96.49</v>
    <v>THE WALT DISNEY COMPANY</v>
    <v>97.254999999999995</v>
    <v>96.56</v>
    <v>96.38</v>
    <v>DIS</v>
    <v>THE WALT DISNEY COMPANY (XNYS:DIS)</v>
    <v>2018</v>
    <v>879</v>
    <v>11577586</v>
    <v>USD</v>
  </rv>
  <rv s="2">
    <v>1612</v>
  </rv>
  <rv s="3">
    <fb>92.42</fb>
    <v>6</v>
  </rv>
  <rv s="0">
    <v>https://www.bing.com/financeapi/forcetrigger?t=a1u4zr&amp;q=XNYS%3aGPN&amp;form=skydnc</v>
    <v>Learn more on Bing</v>
  </rv>
  <rv s="1">
    <v>0</v>
    <v>1</v>
    <v>GLOBAL PAYMENTS INC. (XNYS:GPN)</v>
    <v>3</v>
    <v>4</v>
    <v>Finance</v>
    <v>5</v>
    <v>de-DE</v>
    <v>a1u4zr</v>
    <v>268435456</v>
    <v>1</v>
    <v>Unterstützt von Refinitiv</v>
    <v>99.99</v>
    <v>63.92</v>
    <v>-1.94</v>
    <v>-2.8826000000000001E-2</v>
    <v>275243000</v>
    <v>Global Payments Inc. Ist ein Zahlungstechnologieunternehmen, das seinen Kunden weltweit Software und Dienstleistungen anbietet. Über sein Segment Merchant Solutions bietet das Unternehmen Zahlungstechnologie und Softwarelösungen weltweit an, die hauptsächlich kleinen und mittleren Unternehmen sowie ausgewählte mittelständische und Unternehmenskunden zur Verfügung stehen. Die Lösungen für die Zahlungstechnologie sind weltweit ähnlich, da sie es ihren Kunden ermöglichen, Karten-, Scheck- und digitale Zahlungen zu akzeptieren. Das umfassende Angebot umfasst Autorisierungs-, Abrechnungs- und Finanzierungsservices, Kundensupport, Ausgleichszahlungen, Abgleich- und Streitmanagement, Terminalvermietung, Vertrieb und Bereitstellung, Sicherheitsdienste für Zahlungen, konsolidierte Rechnungsstellung und Berichterstellung. Darüber hinaus bietet es eine breite Palette an Softwarelösungen für die Unternehmensverwaltung, die den Geschäftsbetrieb für Kunden in zahlreichen vertikalen Märkten optimieren.</v>
    <v>0.76480000000000004</v>
    <v>17989882480</v>
    <v>New York Stock Exchange</v>
    <v>XNYS</v>
    <v>XNYS</v>
    <v>3550 Lenox Road, ATLANTA, GA, 30326 US</v>
    <v>68.48</v>
    <v>Professional &amp; Commercial Services</v>
    <v>Aktie</v>
    <v>13.882199999999999</v>
    <v>1615</v>
    <v>46113.98659743047</v>
    <v>26000</v>
    <v>GLOBAL PAYMENTS INC.</v>
    <v>63.92</v>
    <v>GLOBAL PAYMENTS INC.</v>
    <v>68</v>
    <v>65.36</v>
    <v>67.3</v>
    <v>GPN</v>
    <v>GLOBAL PAYMENTS INC. (XNYS:GPN)</v>
    <v>2000</v>
    <v>1373</v>
    <v>3720280</v>
    <v>USD</v>
  </rv>
  <rv s="2">
    <v>1616</v>
  </rv>
  <rv s="3">
    <fb>65.900000000000006</fb>
    <v>6</v>
  </rv>
  <rv s="0">
    <v>https://www.bing.com/financeapi/forcetrigger?t=a26c9c&amp;q=XNYS%3aXYL&amp;form=skydnc</v>
    <v>Learn more on Bing</v>
  </rv>
  <rv s="1">
    <v>0</v>
    <v>1</v>
    <v>XYLEM INC. (XNYS:XYL)</v>
    <v>3</v>
    <v>4</v>
    <v>Finance</v>
    <v>5</v>
    <v>de-DE</v>
    <v>a26c9c</v>
    <v>268435456</v>
    <v>1</v>
    <v>Unterstützt von Refinitiv</v>
    <v>154.27000000000001</v>
    <v>100.4746</v>
    <v>2.98</v>
    <v>2.4937000000000001E-2</v>
    <v>240826400</v>
    <v>Xylem Inc. Ist ein Wassertechnologieunternehmen. Das Unternehmen entwirft, produziert und betreut entwickelte Produkte und Lösungen für eine Reihe kritischer Anwendungen, vor allem im Wassersektor. Das Segment Water Infrastructure des Unternehmens konzentriert sich auf den Transport und die Aufbereitung von Wasser und bietet eine Reihe von Produkten an, darunter Wasser-, Abwasser- und Regenwasserpumpen, Aufbereitungsanlagen sowie Steuerungen und Systeme. Zu den Produkten des Segments Applied Water gehören Pumpen, Ventile, Wärmetauscher, Steuerungen und Dosieranlagen. Das Segment Mess- und Steuerungslösungen entwickelt fortschrittliche Technologielösungen, die eine intelligente Nutzung und Erhaltung kritischer Wasser- und Energieressourcen sowie analytische Messgeräte für die Wasserprüfung ermöglichen. Das Segment Integrated Solutions &amp; Services des Unternehmens bietet Ausrüstungssysteme für industrielle Anforderungen, umfassende Outsourcing von Betrieb und Wartung sowie kommunale Dienstleistungen, einschließlich Geruchs- und Korrosionsschutz.</v>
    <v>1.1747000000000001</v>
    <v>29496417472</v>
    <v>New York Stock Exchange</v>
    <v>XNYS</v>
    <v>XNYS</v>
    <v>301 Water Street Se, WASHINGTON, DC, 20003 US</v>
    <v>123.04</v>
    <v>Machinery, Equipment &amp; Components</v>
    <v>Aktie</v>
    <v>31.236799999999999</v>
    <v>1619</v>
    <v>46113.995592048435</v>
    <v>22000</v>
    <v>XYLEM INC.</v>
    <v>120.19</v>
    <v>XYLEM INC.</v>
    <v>120.33</v>
    <v>122.48</v>
    <v>119.5</v>
    <v>XYL</v>
    <v>XYLEM INC. (XNYS:XYL)</v>
    <v>2011</v>
    <v>12</v>
    <v>2012738</v>
    <v>USD</v>
  </rv>
  <rv s="2">
    <v>1620</v>
  </rv>
  <rv s="3">
    <fb>117.55</fb>
    <v>6</v>
  </rv>
  <rv s="0">
    <v>https://www.bing.com/financeapi/forcetrigger?t=a24jvh&amp;q=XNAS%3aTSCO&amp;form=skydnc</v>
    <v>Learn more on Bing</v>
  </rv>
  <rv s="1">
    <v>0</v>
    <v>1</v>
    <v>TRACTOR SUPPLY COMPANY (XNAS:TSCO)</v>
    <v>3</v>
    <v>4</v>
    <v>Finance</v>
    <v>5</v>
    <v>de-DE</v>
    <v>a24jvh</v>
    <v>268435456</v>
    <v>1</v>
    <v>Unterstützt von Refinitiv</v>
    <v>63.989899999999999</v>
    <v>44.33</v>
    <v>-0.77</v>
    <v>-1.6997999999999999E-2</v>
    <v>526006300</v>
    <v>Tractor Supply Company ist ein Händler für ländliche Lebensweise in den USA. Das Unternehmen konzentriert sich auf die Versorgung von Freizeitbauern und Viehzüchtern. Sie betreibt Einzelhandelsgeschäfte unter den Namen Tractor Supply Company und Petsense by Tractor Supply. Die Geschäfte befinden sich in Städten außerhalb der Metropolmärkte und in ländlichen Gemeinden. Darüber hinaus bietet es ein erweitertes Sortiment an Produkten über die mobile Anwendung Tractor Supply und online unter TractorSupply.com und Petsense.com. Die Warenauswahl des Unternehmens umfasst verschiedene Produktkategorien, darunter Viehzucht, Equiden und Landwirtschaft, Begleittiere, saisonale und Freizeitaktivitäten; Lkw, Werkzeug und Hardware sowie Kleidung, Geschenk, und Dekor. Seine Marken bestehen aus 4Health, American Farmworks, Bit &amp; Bridle, Blue Mountain, C.E. Schmidt, Country Lane, Countyline, Countyline, Country Tuff, Dumor, Farm Table, Ground Work, Huskee und JobSmart.</v>
    <v>0.74660000000000004</v>
    <v>23423060539</v>
    <v>Nasdaq Stock Market</v>
    <v>XNAS</v>
    <v>XNAS</v>
    <v>5401 Virginia Way, BRENTWOOD, TN, 37027 US</v>
    <v>45.53</v>
    <v>Specialty Retailers</v>
    <v>Aktie</v>
    <v>21.617100000000001</v>
    <v>1623</v>
    <v>46113.993744339845</v>
    <v>26000</v>
    <v>TRACTOR SUPPLY COMPANY</v>
    <v>44.33</v>
    <v>TRACTOR SUPPLY COMPANY</v>
    <v>45.37</v>
    <v>44.53</v>
    <v>45.3</v>
    <v>TSCO</v>
    <v>TRACTOR SUPPLY COMPANY (XNAS:TSCO)</v>
    <v>1982</v>
    <v>5</v>
    <v>5984969</v>
    <v>USD</v>
  </rv>
  <rv s="2">
    <v>1624</v>
  </rv>
  <rv s="3">
    <fb>44.87</fb>
    <v>6</v>
  </rv>
  <rv s="0">
    <v>https://www.bing.com/financeapi/forcetrigger?t=a1vo7w&amp;q=XNYS%3aIP&amp;form=skydnc</v>
    <v>Learn more on Bing</v>
  </rv>
  <rv s="1">
    <v>0</v>
    <v>1</v>
    <v>INTERNATIONAL PAPER COMPANY (XNYS:IP)</v>
    <v>3</v>
    <v>4</v>
    <v>Finance</v>
    <v>5</v>
    <v>de-DE</v>
    <v>a1vo7w</v>
    <v>268435456</v>
    <v>1</v>
    <v>Unterstützt von Refinitiv</v>
    <v>56.13</v>
    <v>33.57</v>
    <v>-0.04</v>
    <v>-1.1200000000000001E-3</v>
    <v>529486200</v>
    <v>International Paper Company bietet nachhaltige Verpackungslösungen. Das Unternehmen ist ein weltweit tätiger Hersteller von Verpackungen und Zellstoffprodukten auf Basis erneuerbarer Fasern. Zu den Segmenten zählen Packaging Solutions North America, Packaging Solutions EMEA und Global Cellulose Fibers. Die Segmente Packaging Solutions North America und Packaging Solutions EMEA konzentrieren sich hauptsächlich auf die Herstellung faserbasierter Verpackungen. Es produziert Linerboard, Medium, Whitetop, recyceltes Linerboard, Recyclingmedium und Sättigungskraft, von denen ein Großteil seiner Produktion in Wellpappe und andere Verpackungen umgewandelt wird. Das globale Segment Cellulosefasern konzentriert sich in erster Linie auf die Herstellung von Cellulosefasern, einem nachwachsenden Rohstoff, der in einer Vielzahl von Produkten verwendet wird, auf die Menschen täglich angewiesen sind, wie Windeln, Handtücher und Tissue-Produkte, Damenpflege, Inkontinenz und andere Körperpflegeprodukte. Seine Spezialzellstoffe dienen als nachhaltiger Rohstoff für Textilien, Baumaterialien, Farben, Beschichtungen und vieles mehr.</v>
    <v>1.1256999999999999</v>
    <v>18881477892</v>
    <v>New York Stock Exchange</v>
    <v>XNYS</v>
    <v>XNYS</v>
    <v>6400 Poplar Avenue, MEMPHIS, TN, 38197 US</v>
    <v>36.479999999999997</v>
    <v>Containers &amp; Packaging</v>
    <v>Aktie</v>
    <v>0</v>
    <v>1627</v>
    <v>46113.999766180466</v>
    <v>30421</v>
    <v>INTERNATIONAL PAPER COMPANY</v>
    <v>35.342100000000002</v>
    <v>INTERNATIONAL PAPER COMPANY</v>
    <v>36</v>
    <v>35.659999999999997</v>
    <v>35.700000000000003</v>
    <v>IP</v>
    <v>INTERNATIONAL PAPER COMPANY (XNYS:IP)</v>
    <v>1941</v>
    <v>114</v>
    <v>6717065</v>
    <v>USD</v>
  </rv>
  <rv s="2">
    <v>1628</v>
  </rv>
  <rv s="3">
    <fb>35.450000000000003</fb>
    <v>6</v>
  </rv>
  <rv s="0">
    <v>https://www.bing.com/financeapi/forcetrigger?t=a239hw&amp;q=XNAS%3aSNPS&amp;form=skydnc</v>
    <v>Learn more on Bing</v>
  </rv>
  <rv s="1">
    <v>0</v>
    <v>1</v>
    <v>SYNOPSYS, INC. (XNAS:SNPS)</v>
    <v>3</v>
    <v>4</v>
    <v>Finance</v>
    <v>5</v>
    <v>de-DE</v>
    <v>a239hw</v>
    <v>268435456</v>
    <v>1</v>
    <v>Unterstützt von Refinitiv</v>
    <v>651.73</v>
    <v>365.74</v>
    <v>0.26</v>
    <v>6.558E-4</v>
    <v>191562000</v>
    <v>Synopsys, Inc. Bietet technische Lösungen von Silizium bis zu Systemen an, die es Kunden ermöglichen, auf künstlicher Intelligenz (KI) basierende Produkte zu entwickeln. Es bietet Lösungen für Siliziumdesign, geistiges Eigentum (IP), Simulations- und Analyselösungen sowie Konstruktionsservices. Es liefert unternehmenskritische EDA-Software (Electronic Design Automation), mit der Ingenieure integrierte Schaltungen (ICs) entwerfen und testen können. Das Segment Design Automation umfasst fortschrittliches Siliziumdesign, Verifizierungsprodukte und -Services sowie Produkte zur Systemintegration. Dieses Segment umfasst auch digitale, benutzerdefinierte und vor Ort programmierbare Gate-Arrays, Software für das Design integrierter Schaltungen, Verifizierungssoftware und Hardware, Produkte und Dienstleistungen für die Systemintegration sowie Produkte und Dienstleistungen für die Fertigung von Software. Das Segment Design IP umfasst Schnittstellen-, Basis-, Sicherheits- und Embedded-Prozessor-IP, IP-Subsysteme und IP-Implementierungsdienste für Unternehmen in der Halbleiter- und Elektronikindustrie.</v>
    <v>1.1479999999999999</v>
    <v>76000307880</v>
    <v>Nasdaq Stock Market</v>
    <v>XNAS</v>
    <v>XNAS</v>
    <v>675 Almanor Ave, SUNNYVALE, CA, 94085 US</v>
    <v>403.47250000000003</v>
    <v>Software &amp; IT Services</v>
    <v>Aktie</v>
    <v>61.383600000000001</v>
    <v>1631</v>
    <v>46113.9996914</v>
    <v>28000</v>
    <v>SYNOPSYS, INC.</v>
    <v>394.5</v>
    <v>SYNOPSYS, INC.</v>
    <v>403.3</v>
    <v>396.74</v>
    <v>396.48</v>
    <v>SNPS</v>
    <v>SYNOPSYS, INC. (XNAS:SNPS)</v>
    <v>1987</v>
    <v>624</v>
    <v>2334452</v>
    <v>USD</v>
  </rv>
  <rv s="2">
    <v>1632</v>
  </rv>
  <rv s="3">
    <fb>380.47</fb>
    <v>6</v>
  </rv>
  <rv s="0">
    <v>https://www.bing.com/financeapi/forcetrigger?t=azetdm&amp;q=XNYS%3aCBRE&amp;form=skydnc</v>
    <v>Learn more on Bing</v>
  </rv>
  <rv s="1">
    <v>0</v>
    <v>1</v>
    <v>CBRE GROUP, INC. (XNYS:CBRE)</v>
    <v>3</v>
    <v>4</v>
    <v>Finance</v>
    <v>19</v>
    <v>de-DE</v>
    <v>azetdm</v>
    <v>268435456</v>
    <v>1</v>
    <v>Unterstützt von Refinitiv</v>
    <v>174.27</v>
    <v>108.45</v>
    <v>-0.97</v>
    <v>-7.1609999999999998E-3</v>
    <v>295158500</v>
    <v>CBRE Group, Inc. Ist ein gewerbliches Immobiliendienstleistungs- und Investmentunternehmen. Zu den Segmenten des Unternehmens gehören Beratungsdienstleistungen, Building Operations &amp; Experience, Project Management und Immobilieninvestitionen. Das Segment Advisory Services bietet weltweit ein umfassendes Dienstleistungsspektrum an, darunter Immobilien-Leasing, Kapitalmärkte (Verkauf von Immobilien und Kreditvergabe), Kreditservice, Immobilienmanagement und Bewertung. Das Segment Building Operations &amp; Experience bietet eine Reihe integrierter, vertraglich basierter Outsourcing-Services für Eigentümer und Eigentümer von Immobilien, einschließlich Gebäudemanagement und Immobilienmanagement. Das Segment Project Management bietet Programmmanagement, Projektmanagement und Kostenberatung in den Bereichen Gewerbeimmobilien, Infrastruktur und natürliche Ressourcen. Das Segment Real Estate Investments ist ein Immobilienentwickler, Investor und Betreiber und umfasst zwei Geschäftsbereiche: Anlagemanagement und Immobilienentwicklung.</v>
    <v>1.3480000000000001</v>
    <v>39695866665</v>
    <v>New York Stock Exchange</v>
    <v>XNYS</v>
    <v>XNYS</v>
    <v>2121 North Pearl Street, Suite 300, DALLAS, TX, 75201 US</v>
    <v>136.08000000000001</v>
    <v>Real Estate Operations</v>
    <v>Aktie</v>
    <v>34.922899999999998</v>
    <v>1635</v>
    <v>46113.958333356248</v>
    <v>155000</v>
    <v>CBRE GROUP, INC.</v>
    <v>133.07</v>
    <v>CBRE GROUP, INC.</v>
    <v>134.59</v>
    <v>134.49</v>
    <v>135.46</v>
    <v>CBRE</v>
    <v>CBRE GROUP, INC. (XNYS:CBRE)</v>
    <v>2001</v>
    <v>1777954</v>
    <v>2312106</v>
    <v>USD</v>
  </rv>
  <rv s="2">
    <v>1636</v>
  </rv>
  <rv s="3">
    <fb>131.77000000000001</fb>
    <v>6</v>
  </rv>
  <rv s="0">
    <v>https://www.bing.com/financeapi/forcetrigger?t=a24kar&amp;q=XNAS%3aTSLA&amp;form=skydnc</v>
    <v>Learn more on Bing</v>
  </rv>
  <rv s="1">
    <v>0</v>
    <v>1</v>
    <v>TESLA, INC. (XNAS:TSLA)</v>
    <v>3</v>
    <v>4</v>
    <v>Finance</v>
    <v>5</v>
    <v>de-DE</v>
    <v>a24kar</v>
    <v>268435456</v>
    <v>1</v>
    <v>Unterstützt von Refinitiv</v>
    <v>498.83</v>
    <v>214.25</v>
    <v>9.51</v>
    <v>2.5581999999999997E-2</v>
    <v>3752432000</v>
    <v>Tesla, Inc. entwickelt, produziert, vertreibt und vermietet leistungsstarke vollelektrische Fahrzeuge sowie Energieerzeugungs- und -speichersysteme und bietet Dienstleistungen rund um seine Produkte an. Die Geschäftsbereiche umfassen den Automobilbereich sowie die Energieerzeugung und -speicherung. Der Automobilbereich umfasst die Entwicklung, Produktion, den Vertrieb und die Vermietung von leistungsstarken vollelektrischen Fahrzeugen sowie den Verkauf von Emissionszertifikaten. Er umfasst außerdem den Verkauf von Gebrauchtfahrzeugen, kostenpflichtige Wartungs- und Reparaturdienstleistungen, den Verkauf von Ersatzteilen, kostenpflichtiges Supercharging, Einnahmen aus Versicherungsdienstleistungen und den Verkauf von Einzelhandelsprodukten. Der Bereich Energieerzeugung und -speicherung umfasst die Entwicklung, Herstellung, Installation, den Vertrieb und die Vermietung von Solarenergieerzeugungs- und Energiespeicherprodukten sowie damit verbundenen Dienstleistungen und den Verkauf von Förderprogrammen für Solarenergiesysteme. Zu den Pkw-Modellen gehören das Model 3, Y, S, X und der Cybertruck. Zu den Lithium-Ionen-Batteriespeichersystemen gehören Powerwall und Megapack.</v>
    <v>1.9157</v>
    <v>1430652224320</v>
    <v>Nasdaq Stock Market</v>
    <v>XNAS</v>
    <v>XNAS</v>
    <v>1 Tesla Road, AUSTIN, TX, 78725 US</v>
    <v>383.14</v>
    <v>Automobiles &amp; Auto Parts</v>
    <v>Aktie</v>
    <v>354.52850000000001</v>
    <v>1639</v>
    <v>46113.999993275</v>
    <v>134785</v>
    <v>TESLA, INC.</v>
    <v>374.08</v>
    <v>TESLA, INC.</v>
    <v>378.63</v>
    <v>381.26</v>
    <v>371.75</v>
    <v>TSLA</v>
    <v>TESLA, INC. (XNAS:TSLA)</v>
    <v>2024</v>
    <v>353802</v>
    <v>61118972</v>
    <v>USD</v>
  </rv>
  <rv s="2">
    <v>1640</v>
  </rv>
  <rv s="3">
    <fb>361.83</fb>
    <v>6</v>
  </rv>
  <rv s="0">
    <v>https://www.bing.com/financeapi/forcetrigger?t=a1pctc&amp;q=XNYS%3aCCL&amp;form=skydnc</v>
    <v>Learn more on Bing</v>
  </rv>
  <rv s="1">
    <v>0</v>
    <v>1</v>
    <v>Carnival Corp (XNYS:CCL)</v>
    <v>3</v>
    <v>4</v>
    <v>Finance</v>
    <v>5</v>
    <v>de-DE</v>
    <v>a1pctc</v>
    <v>268435456</v>
    <v>1</v>
    <v>Unterstützt von Refinitiv</v>
    <v>34.03</v>
    <v>15.07</v>
    <v>0.7</v>
    <v>2.7048000000000003E-2</v>
    <v>1385140000</v>
    <v>Die Carnival Corporation ist ein weltweit tätiges Kreuzfahrt- und Freizeitreiseunternehmen. Das Unternehmen verfügt über ein Portfolio von Kreuzfahrtlinien, darunter AIDA Cruises, Carnival Cruise Line, Costa Cruises, Cunard, Holland America Line, P&amp;O Cruises (Australien), P&amp;O Cruises (UK), Princess Cruises und Seabourn. Das Segment des Unternehmens umfasst die Bereiche NAA-Kreuzfahrten, Europa-Kreuzfahrten (Europa), Cruise Support und Tour and Other. Das Segment Kreuzfahrtunterstützung umfasst sein Portfolio an Hafenzielen und exklusiven Inseln sowie andere Dienstleistungen, die alle zum Nutzen seiner Kreuzfahrtmarken betrieben werden. Zusätzlich zum Kreuzfahrtgeschäft gehört Holland America Princess Alaska Tours, ein Reiseveranstalter in Alaska und dem kanadischen Yukon, der das Alaska-Kreuzfahrtgeschäft ergänzt. Das Segment Tour and Other umfasst die Hotel- und Transportaktivitäten von Holland America Princess Alaska Tours und andere Aktivitäten. Das Reiseunternehmen besitzt und betreibt Hotels, Lodges, glasüberdachte Waggons und Reisebusse.</v>
    <v>2.4821</v>
    <v>36817021200</v>
    <v>New York Stock Exchange</v>
    <v>XNYS</v>
    <v>XNYS</v>
    <v>Carnival Place, Mseo1000, 3655 N.W. 87 Avenue, MIAMI, FL, 33178-2428 US</v>
    <v>26.74</v>
    <v>Hotels &amp; Entertainment Services</v>
    <v>Aktie</v>
    <v>13.1883</v>
    <v>1643</v>
    <v>46113.999804536717</v>
    <v>114000</v>
    <v>Carnival Corp</v>
    <v>26.024999999999999</v>
    <v>Carnival Corp</v>
    <v>26.49</v>
    <v>26.58</v>
    <v>25.88</v>
    <v>CCL</v>
    <v>Carnival Corp (XNYS:CCL)</v>
    <v>1974</v>
    <v>27721</v>
    <v>30204217</v>
    <v>USD</v>
  </rv>
  <rv s="2">
    <v>1644</v>
  </rv>
  <rv s="3">
    <fb>24.19</fb>
    <v>6</v>
  </rv>
  <rv s="0">
    <v>https://www.bing.com/financeapi/forcetrigger?t=a1vb5r&amp;q=XNAS%3aIDXX&amp;form=skydnc</v>
    <v>Learn more on Bing</v>
  </rv>
  <rv s="1">
    <v>0</v>
    <v>1</v>
    <v>IDEXX LABORATORIES, INC. (XNAS:IDXX)</v>
    <v>3</v>
    <v>4</v>
    <v>Finance</v>
    <v>5</v>
    <v>de-DE</v>
    <v>a1vb5r</v>
    <v>268435456</v>
    <v>1</v>
    <v>Unterstützt von Refinitiv</v>
    <v>769.98</v>
    <v>356.14</v>
    <v>2.77</v>
    <v>4.9300000000000004E-3</v>
    <v>79424540</v>
    <v>IDEXX Laboratories, Inc. Entwickelt, produziert und vertreibt Produkte und bietet Dienstleistungen hauptsächlich für die Veterinär-, Viehzucht- und Geflügelindustrie sowie Milchprodukte und Wasseranalysen an. Das Unternehmen bietet auch medizinische Point-of-Care- und Labordiagnostik an. Zu den Segmenten gehören Companion Animal Group (CAG), Water Quality Products (Water) und Viehzucht, Geflügel und Milchprodukte (LPD). Das CAG-Segment bietet Produkte und Dienstleistungen auf Basis von Diagnose und Informationsmanagement für die Veterinärindustrie von Tierherstellern an, einschließlich klinischer Diagnoselösungen, Dienstleistungen von externen Referenzlaboratorien sowie Veterinärsoftware und -Dienstleistungen. Das Segment Wasser bietet Testlösungen für die genaue Erkennung und Quantifizierung verschiedener mikrobiologischer Parameter in Wasser. Das Segment LPD bietet Diagnosetests, Dienstleistungen und zugehörige Instrumente, die zur Verwaltung des Gesundheitszustands von Vieh und Geflügel sowie zur Verbesserung der Qualität und Sicherheit von Milch eingesetzt werden.</v>
    <v>1.7221</v>
    <v>44847860756</v>
    <v>Nasdaq Stock Market</v>
    <v>XNAS</v>
    <v>XNAS</v>
    <v>One Idexx Drive, WESTBROOK, ME, 04092-2041 US</v>
    <v>568.75</v>
    <v>Healthcare Equipment &amp; Supplies</v>
    <v>Aktie</v>
    <v>43.170299999999997</v>
    <v>1647</v>
    <v>46113.993775161718</v>
    <v>11000</v>
    <v>IDEXX LABORATORIES, INC.</v>
    <v>557.5</v>
    <v>IDEXX LABORATORIES, INC.</v>
    <v>561.66999999999996</v>
    <v>564.66</v>
    <v>561.89</v>
    <v>IDXX</v>
    <v>IDEXX LABORATORIES, INC. (XNAS:IDXX)</v>
    <v>1983</v>
    <v>1</v>
    <v>526753</v>
    <v>USD</v>
  </rv>
  <rv s="2">
    <v>1648</v>
  </rv>
  <rv s="3">
    <fb>558.32000000000005</fb>
    <v>6</v>
  </rv>
  <rv s="0">
    <v>https://www.bing.com/financeapi/forcetrigger?t=a25jnm&amp;q=XNAS%3aVRSK&amp;form=skydnc</v>
    <v>Learn more on Bing</v>
  </rv>
  <rv s="11">
    <v>33</v>
    <v>34</v>
    <v>VERISK ANALYTICS, INC. (XNAS:VRSK)</v>
    <v>3</v>
    <v>35</v>
    <v>Finance</v>
    <v>36</v>
    <v>de-DE</v>
    <v>a25jnm</v>
    <v>268435456</v>
    <v>1</v>
    <v>Unterstützt von Refinitiv</v>
    <v>322.92</v>
    <v>164.6</v>
    <v>-6.25</v>
    <v>-3.2938000000000002E-2</v>
    <v>137941900</v>
    <v>Verisk Analytics, Inc. Ist ein Anbieter von Datenanalysen und Technologie, der Kunden im Versicherungsumfeld betreut. Das Unternehmen bietet seinen Kunden Lösungen zur vorausschauenden Analyse und Entscheidungsunterstützung in den Bereichen Rating, Underwriting, Schadenregulierung, Katastrophen, Wetterrisiken, und viele andere Felder. Das Versicherungssegment betreut seine Sach- und Unfallversicherungs-Kunden in allen privaten und kommerziellen Geschäftsbereichen und konzentriert sich dabei auf Versicherungsprogramme, Schadenvorhersage, Risikoauswahl und -Preisgestaltung sowie die Einhaltung ihrer Berichtspflichten in jedem Bundesstaat der USA, in dem sie tätig sind. Darüber hinaus entwickelt und nutzt es maschinell erlernte und künstlich intelligente Modelle, um Szenarien zu prognostizieren und sowohl Standard- als auch maßgeschneiderte Analysen zu erstellen, die Kunden dabei unterstützen, ihre Geschäfte besser zu verwalten, einschließlich der Erkennung von Betrug vor und nach einem Schadenereignis. Sie besitzt eine SaaS-Plattform, die ein offenes Ökosystem unterstützt, in dem spezialisierte Modellpartner ihre Modelle, Gefahrendaten und Analysen erstellen.</v>
    <v>0.81930000000000003</v>
    <v>25312338650</v>
    <v>Nasdaq Stock Market</v>
    <v>XNAS</v>
    <v>XNAS</v>
    <v>545 Washington Boulevard, JERSEY CITY, NJ, 07310-1686 US</v>
    <v>188.845</v>
    <v>Software &amp; IT Services</v>
    <v>Aktie</v>
    <v>28.308800000000002</v>
    <v>1651</v>
    <v>46113.988758240623</v>
    <v>8000</v>
    <v>VERISK ANALYTICS, INC.</v>
    <v>183.26</v>
    <v>VERISK ANALYTICS, INC.</v>
    <v>187.69</v>
    <v>183.5</v>
    <v>181.79689999999999</v>
    <v>189.75</v>
    <v>VRSK</v>
    <v>VERISK ANALYTICS, INC. (XNAS:VRSK)</v>
    <v>2008</v>
    <v>-1.7031000000000001</v>
    <v>-9.2810000000000011E-3</v>
    <v>1715398</v>
    <v>1958644</v>
    <v>USD</v>
  </rv>
  <rv s="2">
    <v>1652</v>
  </rv>
  <rv s="3">
    <fb>182.75</fb>
    <v>6</v>
  </rv>
  <rv s="0">
    <v>https://www.bing.com/financeapi/forcetrigger?t=a1r1r7&amp;q=XNYS%3aDHR&amp;form=skydnc</v>
    <v>Learn more on Bing</v>
  </rv>
  <rv s="1">
    <v>0</v>
    <v>1</v>
    <v>DANAHER CORPORATION (XNYS:DHR)</v>
    <v>3</v>
    <v>4</v>
    <v>Finance</v>
    <v>5</v>
    <v>de-DE</v>
    <v>a1r1r7</v>
    <v>268435456</v>
    <v>1</v>
    <v>Unterstützt von Refinitiv</v>
    <v>242.8</v>
    <v>171</v>
    <v>1.19</v>
    <v>6.2760000000000003E-3</v>
    <v>707699400</v>
    <v>Danaher Corporation ist ein weltweit tätiges, innovatives Unternehmen im Bereich Biowissenschaften und Diagnostik. Das Unternehmen ist in drei Segmenten tätig: Biotechnologie, Biowissenschaften und Diagnostik. Das Segment Biotechnologie umfasst die Geschäftsbereiche Bioprocessing und Discovery sowie Medical und bietet eine breite Palette von Geräten, Verbrauchsmaterialien und Dienstleistungen an, die in erster Linie von Kunden genutzt werden, um die Forschung, Entwicklung, Herstellung und Bereitstellung von biologischen Medikamenten voranzutreiben und zu beschleunigen. Das Segment Biowissenschaften bietet eine breite Palette von Instrumenten, Verbrauchsmaterialien, Dienstleistungen und Software an, die in erster Linie von Kunden zur Untersuchung der Grundbausteine des Lebens, einschließlich Desoxyribonukleinsäure (DNA) und Ribonukleinsäure (RNA), Nukleinsäure, Proteine, Metaboliten und Zellen, verwendet werden. Das Segment Diagnostics bietet klinische Instrumente, Verbrauchsmaterialien, Software und Dienstleistungen an, die in Krankenhäusern, Arztpraxen, Referenzlabors und anderen Einrichtungen der Intensivmedizin zur Diagnose von Krankheiten und für Behandlungsentscheidungen eingesetzt werden.</v>
    <v>0.95940000000000003</v>
    <v>135021968526</v>
    <v>New York Stock Exchange</v>
    <v>XNYS</v>
    <v>XNYS</v>
    <v>2200 Pennsylvania Ave NW Ste 800W, WASHINGTON, DC, 20037-1701 US</v>
    <v>192.43</v>
    <v>Healthcare Equipment &amp; Supplies</v>
    <v>Aktie</v>
    <v>37.951300000000003</v>
    <v>1655</v>
    <v>46113.972037383595</v>
    <v>58000</v>
    <v>DANAHER CORPORATION</v>
    <v>189.465</v>
    <v>DANAHER CORPORATION</v>
    <v>190.56</v>
    <v>190.79</v>
    <v>189.6</v>
    <v>DHR</v>
    <v>DANAHER CORPORATION (XNYS:DHR)</v>
    <v>1986</v>
    <v>33</v>
    <v>4070762</v>
    <v>USD</v>
  </rv>
  <rv s="2">
    <v>1656</v>
  </rv>
  <rv s="3">
    <fb>181.52</fb>
    <v>6</v>
  </rv>
  <rv s="0">
    <v>https://www.bing.com/financeapi/forcetrigger?t=a23d9c&amp;q=XNYS%3aSPGI&amp;form=skydnc</v>
    <v>Learn more on Bing</v>
  </rv>
  <rv s="1">
    <v>0</v>
    <v>1</v>
    <v>S&amp;P GLOBAL INC. (XNYS:SPGI)</v>
    <v>3</v>
    <v>4</v>
    <v>Finance</v>
    <v>5</v>
    <v>de-DE</v>
    <v>a23d9c</v>
    <v>268435456</v>
    <v>1</v>
    <v>Unterstützt von Refinitiv</v>
    <v>579.04999999999995</v>
    <v>381.60500000000002</v>
    <v>-0.17</v>
    <v>-3.9970000000000001E-4</v>
    <v>298800000</v>
    <v>S&amp;P Global Inc. Bietet wichtige Informationen. Seine Geschäftstätigkeit besteht aus fünf Geschäftsbereichen: S&amp;P Global Market Intelligence (Market Intelligence), S&amp;P Global Ratings (Ratings), S&amp;P Global Commodity Insights (Commodity Insights), S&amp;P Global Mobility (Mobility) und S&amp;P Dow Jones Indices (Indices). Market Intelligence ist ein globaler Anbieter von Daten und Analysen verschiedener Asset-Klasse, die in speziell entwickelte Workflow-Lösungen integriert sind. Ratings ist ein unabhängiger Anbieter von Ratings, Forschung und Analysen und bietet Investoren und anderen Marktteilnehmern Informationen, Ratings und Benchmarks. Commodity Insights ist ein unabhängiger Anbieter von Informationen und Benchmark-Preisen für die Rohstoff- und Energiemärkte. Mobility ist ein Anbieter von Lösungen für die gesamte Wertschöpfungskette im Automobilbereich, einschließlich Fahrzeughersteller und Einzelhändler. Indices ist ein globaler Indexanbieter, der eine Vielzahl von Bewertungs- und Index-Benchmarks für Anlageberater, Vermögensverwalter und institutionelle Anleger unterhält.</v>
    <v>1.204</v>
    <v>127040796000</v>
    <v>New York Stock Exchange</v>
    <v>XNYS</v>
    <v>XNYS</v>
    <v>55 Water Street, NEW YORK, NY, 10041 US</v>
    <v>427.66</v>
    <v>Professional &amp; Commercial Services</v>
    <v>Aktie</v>
    <v>29.0014</v>
    <v>1659</v>
    <v>46113.987297464846</v>
    <v>44500</v>
    <v>S&amp;P GLOBAL INC.</v>
    <v>416.03</v>
    <v>S&amp;P GLOBAL INC.</v>
    <v>425.62</v>
    <v>425.17</v>
    <v>425.34</v>
    <v>SPGI</v>
    <v>S&amp;P GLOBAL INC. (XNYS:SPGI)</v>
    <v>1925</v>
    <v>88</v>
    <v>2308565</v>
    <v>USD</v>
  </rv>
  <rv s="2">
    <v>1660</v>
  </rv>
  <rv s="3">
    <fb>406.24</fb>
    <v>6</v>
  </rv>
  <rv s="0">
    <v>https://www.bing.com/financeapi/forcetrigger?t=a1o2lh&amp;q=XNYS%3aAXP&amp;form=skydnc</v>
    <v>Learn more on Bing</v>
  </rv>
  <rv s="1">
    <v>0</v>
    <v>1</v>
    <v>AMERICAN EXPRESS COMPANY (XNYS:AXP)</v>
    <v>3</v>
    <v>4</v>
    <v>Finance</v>
    <v>5</v>
    <v>de-DE</v>
    <v>a1o2lh</v>
    <v>268435456</v>
    <v>1</v>
    <v>Unterstützt von Refinitiv</v>
    <v>387.49</v>
    <v>220.43</v>
    <v>-1.03</v>
    <v>-3.405E-3</v>
    <v>685783400</v>
    <v>American Express Company ist ein weltweit integriertes Unternehmen im Zahlungsverkehr mit den Geschäftsbereichen Kartenausgabe, Händlerakquisition und Kartennetz. Das Unternehmen bietet Produkte und Dienstleistungen für eine Reihe von Kunden an, darunter Verbraucher, kleine und mittelständische Unternehmen sowie Großunternehmen in aller Welt. Zu seinen Geschäftsbereichen gehören U.S. Consumer Services (USCS), Commercial Services (CS), International Card Services (ICS) und Global Merchant and Network Services (GMNS). USCS bietet Reise- und Lifestyle-Dienstleistungen sowie Bank- und Nicht-Kartenfinanzierungsprodukte an. CS bietet Zahlungsverkehrs- und Spesenmanagement sowie Bank- und Nicht-Kartenfinanzierungsprodukte an. ICS erbringt Dienstleistungen für internationale Kunden, einschließlich Reise- und Lifestyle-Dienstleistungen, und verwaltet bestimmte internationale Joint Ventures sowie das Geschäft mit Kundenbindungsprogrammen. GMNS betreibt ein Zahlungsverkehrsnetz, das Kartentransaktionen verarbeitet und abrechnet, Händler akquiriert und Multichannel-Marketingprogramme und -fähigkeiten, Dienstleistungen und Datenanalysen anbietet.</v>
    <v>1.1334</v>
    <v>206729405930</v>
    <v>New York Stock Exchange</v>
    <v>XNYS</v>
    <v>XNYS</v>
    <v>200 Vesey Street, 50Th Floor, NEW YORK, NY, 10285 US</v>
    <v>307.25</v>
    <v>Banking Services</v>
    <v>Aktie</v>
    <v>19.5397</v>
    <v>1663</v>
    <v>46113.999933888284</v>
    <v>76800</v>
    <v>AMERICAN EXPRESS COMPANY</v>
    <v>299.63</v>
    <v>AMERICAN EXPRESS COMPANY</v>
    <v>306.77</v>
    <v>301.45</v>
    <v>302.48</v>
    <v>AXP</v>
    <v>AMERICAN EXPRESS COMPANY (XNYS:AXP)</v>
    <v>1965</v>
    <v>1297</v>
    <v>4215764</v>
    <v>USD</v>
  </rv>
  <rv s="2">
    <v>1664</v>
  </rv>
  <rv s="3">
    <fb>292.27</fb>
    <v>6</v>
  </rv>
  <rv s="0">
    <v>https://www.bing.com/financeapi/forcetrigger?t=a1pxbh&amp;q=XNYS%3aCMG&amp;form=skydnc</v>
    <v>Learn more on Bing</v>
  </rv>
  <rv s="1">
    <v>0</v>
    <v>1</v>
    <v>CHIPOTLE MEXICAN GRILL, INC. (XNYS:CMG)</v>
    <v>3</v>
    <v>4</v>
    <v>Finance</v>
    <v>5</v>
    <v>de-DE</v>
    <v>a1pxbh</v>
    <v>268435456</v>
    <v>1</v>
    <v>Unterstützt von Refinitiv</v>
    <v>58.42</v>
    <v>29.75</v>
    <v>0.62</v>
    <v>1.9369000000000001E-2</v>
    <v>1302423000</v>
    <v>Chipotle Mexican Grill, Inc. Ist ein Restaurantunternehmen. Das Unternehmen entwickelt und betreibt Restaurants, die Burritos, Burrito-Schüsseln, Quesadillas, Tacos und Salate servieren. aus frischen Zutaten hergestellt. Das Unternehmen betreibt etwa 3839 Restaurants in den USA, Kanada, Großbritannien, Frankreich, Deutschland, Kuwait und die Vereinigten Arabischen Emirate. Sie besitzt und betreibt alle Restaurants in Nordamerika und Europa. Das Unternehmen konzentriert sich auf die Servierung klassisch gekochter, echter Lebensmittel mit gesunden Zutaten ohne künstliche Farben, Aromen oder Konservierungsstoffe. Das Menü umfasst Burrito, Burrito Bowl, Lifestyle Bowl, Quesadilla, Salat, Tacos, Kindermahlzeiten, Chips und Beilagen und selbst bauen (nur digital). Es umfasst auch Raymonte's Chicken Bowl, Mr. Fantasy Burrito, Carne Asada, selbstgebaute Chipotle, Catering und Gruppenbestellung. Zu den Tochtergesellschaften zählen unter anderem Chipotle Mexican Grill Canada Corp., Chipotle Mexican Grill France SAS.</v>
    <v>1.0642</v>
    <v>42498062490</v>
    <v>New York Stock Exchange</v>
    <v>XNYS</v>
    <v>XNYS</v>
    <v>610 Newport Center Dr., NEWPORT BEACH, CA, 92660 US</v>
    <v>32.875</v>
    <v>Hotels &amp; Entertainment Services</v>
    <v>Aktie</v>
    <v>28.526199999999999</v>
    <v>1667</v>
    <v>46113.997037001565</v>
    <v>130301</v>
    <v>CHIPOTLE MEXICAN GRILL, INC.</v>
    <v>32</v>
    <v>CHIPOTLE MEXICAN GRILL, INC.</v>
    <v>32.42</v>
    <v>32.630000000000003</v>
    <v>32.01</v>
    <v>CMG</v>
    <v>CHIPOTLE MEXICAN GRILL, INC. (XNYS:CMG)</v>
    <v>1998</v>
    <v>214</v>
    <v>16421832</v>
    <v>USD</v>
  </rv>
  <rv s="2">
    <v>1668</v>
  </rv>
  <rv s="3">
    <fb>30.86</fb>
    <v>6</v>
  </rv>
  <rv s="0">
    <v>https://www.bing.com/financeapi/forcetrigger?t=a1wt7w&amp;q=XNYS%3aLDOS&amp;form=skydnc</v>
    <v>Learn more on Bing</v>
  </rv>
  <rv s="11">
    <v>33</v>
    <v>34</v>
    <v>LEIDOS HOLDINGS, INC. (XNYS:LDOS)</v>
    <v>3</v>
    <v>35</v>
    <v>Finance</v>
    <v>36</v>
    <v>de-DE</v>
    <v>a1wt7w</v>
    <v>268435456</v>
    <v>1</v>
    <v>Unterstützt von Refinitiv</v>
    <v>205.77</v>
    <v>128.3229</v>
    <v>0.49</v>
    <v>3.1509999999999997E-3</v>
    <v>125928600</v>
    <v>Leidos Holdings, Inc. Ist eine Holdinggesellschaft, die über ihre Tochtergesellschaft Leidos, Inc. Tätig ist Das Unternehmen entwickelt intelligentere Technologielösungen, insbesondere für Kunden in stark regulierten Branchen. Zu den Segmenten gehören nationale Sicherheit und digitale, Gesundheits- und Zivilsysteme, kommerzielle und internationale Systeme sowie Verteidigungssysteme. Das Segment National Security and Digital bietet technologiebasierte Services und Missionssoftware-Funktionen für Kunden aus den Bereichen Cyber, Logistik, Sicherheitsbetrieb und Entscheidungsanalyse sowie IT-Betrieb und digitale Transformationsprogramme für alle Kunden der US-Regierung. Das Segment Health &amp; Civil bietet Dienstleistungen und Lösungen für Bundes- und Handelskunden in den Bereichen Public Health, Care Coordination, Life- und Umweltwissenschaften sowie Transport. Das Segment Commercial &amp; International bietet technisch fortschrittliche Dienstleistungen, Lösungen und Produkte für gewerbliche und internationale Kunden.</v>
    <v>0.66279999999999994</v>
    <v>19646120886</v>
    <v>New York Stock Exchange</v>
    <v>XNYS</v>
    <v>XNYS</v>
    <v>1750 Presidents Street, RESTON, VA, 20190 US</v>
    <v>157.34989999999999</v>
    <v>Software &amp; IT Services</v>
    <v>Aktie</v>
    <v>14.033300000000001</v>
    <v>1671</v>
    <v>46113.997561585158</v>
    <v>47000</v>
    <v>LEIDOS HOLDINGS, INC.</v>
    <v>154.47999999999999</v>
    <v>LEIDOS HOLDINGS, INC.</v>
    <v>154.47999999999999</v>
    <v>156.01</v>
    <v>156.89670000000001</v>
    <v>155.52000000000001</v>
    <v>LDOS</v>
    <v>LEIDOS HOLDINGS, INC. (XNYS:LDOS)</v>
    <v>2005</v>
    <v>0.88670000000000004</v>
    <v>5.6839999999999998E-3</v>
    <v>852870</v>
    <v>1260254</v>
    <v>USD</v>
  </rv>
  <rv s="2">
    <v>1672</v>
  </rv>
  <rv s="3">
    <fb>155.53</fb>
    <v>6</v>
  </rv>
  <rv s="0">
    <v>https://www.bing.com/financeapi/forcetrigger?t=a1nlzr&amp;q=XNYS%3aAPO&amp;form=skydnc</v>
    <v>Learn more on Bing</v>
  </rv>
  <rv s="1">
    <v>0</v>
    <v>1</v>
    <v>APOLLO GLOBAL MANAGEMENT, INC. (XNYS:APO)</v>
    <v>3</v>
    <v>4</v>
    <v>Finance</v>
    <v>5</v>
    <v>de-DE</v>
    <v>a1nlzr</v>
    <v>268435456</v>
    <v>1</v>
    <v>Unterstützt von Refinitiv</v>
    <v>157.28</v>
    <v>99.56</v>
    <v>-1.17</v>
    <v>-1.0501E-2</v>
    <v>578247300</v>
    <v>Apollo Global Management, Inc. Ist ein globaler alternativer Asset Manager und ein Anbieter von Altersvorsorgedienstleistungen. Das Unternehmen ist in drei Segmenten tätig: Asset Management, Retirement Services und Principal Investing. Das Segment Asset Management konzentriert sich auf drei Anlagestrategien: Rendite, Hybrid und Eigenkapital. Diese Strategien spiegeln die Bandbreite der Anlagemöglichkeiten der Plattform auf der Grundlage des relativen Risikos und der Rendite wider. Das Geschäft mit Altersvorsorgedienstleistungen wird von Athene Holding Ltd (Athene) geführt, einem Finanzdienstleistungsunternehmen, das sich auf die Ausgabe, Rückversicherung und den Erwerb von Altersvorsorgeprodukten spezialisiert hat, die für die wachsende Zahl von Einzelpersonen und Institutionen entwickelt wurden, die den Rentenbedarf finanzieren wollen. Athene Produktlinien umfassen Renten- und Finanzierungsvereinbarungen. Das Segment Kapitalanlage umfasst realisierte Erträge aus Leistungsgebühren, realisierte Erträge aus Kapitalanlagen in der Bilanz sowie bestimmte zurechenbare Aufwendungen im Zusammenhang mit Unternehmensfunktionen, die das gesamte Unternehmen unterstützen.</v>
    <v>1.5604</v>
    <v>63751764825</v>
    <v>New York Stock Exchange</v>
    <v>XNYS</v>
    <v>XNYS</v>
    <v>9 West 57Th Street, 42Nd Floor, NEW YORK, NY, 10019 US</v>
    <v>112.98</v>
    <v>Collective Investments</v>
    <v>Aktie</v>
    <v>19.962399999999999</v>
    <v>1675</v>
    <v>46113.989055358594</v>
    <v>6140</v>
    <v>APOLLO GLOBAL MANAGEMENT, INC.</v>
    <v>108.9823</v>
    <v>APOLLO GLOBAL MANAGEMENT, INC.</v>
    <v>112.63</v>
    <v>110.25</v>
    <v>111.42</v>
    <v>APO</v>
    <v>APOLLO GLOBAL MANAGEMENT, INC. (XNYS:APO)</v>
    <v>2021</v>
    <v>3</v>
    <v>6586542</v>
    <v>USD</v>
  </rv>
  <rv s="2">
    <v>1676</v>
  </rv>
  <rv s="3">
    <fb>108.42</fb>
    <v>6</v>
  </rv>
  <rv s="0">
    <v>https://www.bing.com/financeapi/forcetrigger?t=a1zhcw&amp;q=XNAS%3aPAYX&amp;form=skydnc</v>
    <v>Learn more on Bing</v>
  </rv>
  <rv s="1">
    <v>0</v>
    <v>1</v>
    <v>PAYCHEX, INC. (XNAS:PAYX)</v>
    <v>3</v>
    <v>4</v>
    <v>Finance</v>
    <v>5</v>
    <v>de-DE</v>
    <v>a1zhcw</v>
    <v>268435456</v>
    <v>1</v>
    <v>Unterstützt von Refinitiv</v>
    <v>161.24</v>
    <v>86.89</v>
    <v>-1.21</v>
    <v>-1.3134999999999999E-2</v>
    <v>358290900</v>
    <v>Paychex, Inc. ist ein Unternehmen für Human Capital Management (HCM). Das Unternehmen bietet eine umfassende Palette von Technologie- und Beratungsdienstleistungen in den Bereichen Personalwesen, Sozialleistungen, Versicherungen und Lohnbuchhaltung an. Es ist ein Anbieter von integrierten HCM-Lösungen für Personalwesen (HR), Gehaltsabrechnung, Sozialleistungen und Versicherungen für kleine und mittlere Unternehmen in den Vereinigten Staaten und Teilen Europas. Es unterstützt seine Kunden aus dem Mittelstand durch die Nutzung seiner proprietären Software-as-a-Service (SaaS)-Plattform Paychex Flex und der SaaS-basierten SurePayroll-Lösungen des Unternehmens. Die HR-Lösungen des Unternehmens umfassen HR-Pakete, HR-Beratung, Onboarding von Mitarbeitern, Einstellungsdienste und künstliche Intelligenz-unterstützte Rekrutierung. Zu den Lohn- und Gehaltsabrechnungsdiensten gehören Lohn- und Gehaltsabrechnungspakete, Lohn- und Gehaltsabrechnungen für kleine Unternehmen, Lohn- und Gehaltsabrechnungen für mittlere und große Unternehmen, Wechsel der Lohn- und Gehaltsabrechnungsfirma und Lohnsteuerdienste. Zu den Leistungen für Arbeitnehmer gehören Gruppenkrankenversicherungen, Altersvorsorge und Verwaltung von Sozialleistungen.</v>
    <v>0.86919999999999997</v>
    <v>32572225719</v>
    <v>Nasdaq Stock Market</v>
    <v>XNAS</v>
    <v>XNAS</v>
    <v>911 Panorama Trail S, ROCHESTER, NY, 14625-0397 US</v>
    <v>92.31</v>
    <v>Professional &amp; Commercial Services</v>
    <v>Aktie</v>
    <v>20.603000000000002</v>
    <v>1679</v>
    <v>46113.993775671093</v>
    <v>19000</v>
    <v>PAYCHEX, INC.</v>
    <v>89.69</v>
    <v>PAYCHEX, INC.</v>
    <v>91.74</v>
    <v>90.91</v>
    <v>92.12</v>
    <v>PAYX</v>
    <v>PAYCHEX, INC. (XNAS:PAYX)</v>
    <v>1979</v>
    <v>5</v>
    <v>4542545</v>
    <v>USD</v>
  </rv>
  <rv s="2">
    <v>1680</v>
  </rv>
  <rv s="3">
    <fb>91.68</fb>
    <v>6</v>
  </rv>
  <rv s="0">
    <v>https://www.bing.com/financeapi/forcetrigger?t=a23tz2&amp;q=XNAS%3aSWKS&amp;form=skydnc</v>
    <v>Learn more on Bing</v>
  </rv>
  <rv s="1">
    <v>0</v>
    <v>1</v>
    <v>SKYWORKS SOLUTIONS, INC. (XNAS:SWKS)</v>
    <v>3</v>
    <v>4</v>
    <v>Finance</v>
    <v>5</v>
    <v>de-DE</v>
    <v>a23tz2</v>
    <v>268435456</v>
    <v>1</v>
    <v>Unterstützt von Refinitiv</v>
    <v>90.9</v>
    <v>47.93</v>
    <v>-0.33</v>
    <v>-6.1619999999999999E-3</v>
    <v>150373600</v>
    <v>Skyworks Solutions, Inc. Bietet drahtlose Netzwerkdienste an. Die Analog- und Mixed-Signal-Halbleiter des Unternehmens verbinden Menschen, Orte und Dinge und decken eine Reihe neuer Anwendungen in der Luft- und Raumfahrt, Automobil, Breitband, Mobilfunkinfrastruktur, vernetztem Zuhause, Verteidigung, Unterhaltung und Gaming, Industrie, Medizin, Smartphone, Tablets und Wearables. Das Unternehmen betreibt Engineering-, Fertigungs-, Vertriebs- und Serviceeinrichtungen in Asien, Europa und Nordamerika. Das Unternehmen bietet eine Reihe von Produkten an, darunter Verstärker, Dämpfungsglieder, Dioden, Audio und Radio, Uhren und Timing, Front-End-Module, Isolierung, Modems und DAAs, Optokoppler, Energieverwaltung, Power over Ethernet, HF-passive Bauelemente, TV (TV) und Video, Schalter und Sprachsteuerung. Die Engineering-, Marketing-, Betriebs-, Vertriebs- und Supporteinrichtungen befinden sich in Asien, Europa und Nordamerika.</v>
    <v>1.3006</v>
    <v>8002882992</v>
    <v>Nasdaq Stock Market</v>
    <v>XNAS</v>
    <v>XNAS</v>
    <v>5260 California Avenue, IRVINE, CA, 92617 US</v>
    <v>54.39</v>
    <v>Semiconductors &amp; Semiconductor Equipment</v>
    <v>Aktie</v>
    <v>19.512599999999999</v>
    <v>1683</v>
    <v>46113.987222418749</v>
    <v>10000</v>
    <v>SKYWORKS SOLUTIONS, INC.</v>
    <v>52.9</v>
    <v>SKYWORKS SOLUTIONS, INC.</v>
    <v>53.59</v>
    <v>53.22</v>
    <v>53.55</v>
    <v>SWKS</v>
    <v>SKYWORKS SOLUTIONS, INC. (XNAS:SWKS)</v>
    <v>2002</v>
    <v>115</v>
    <v>3256668</v>
    <v>USD</v>
  </rv>
  <rv s="2">
    <v>1684</v>
  </rv>
  <rv s="3">
    <fb>53.65</fb>
    <v>6</v>
  </rv>
  <rv s="4">
    <v>7</v>
    <v>8</v>
    <v>SOLVENTUM CORPORATION (XNYS:SOLV)</v>
    <v>9</v>
    <v>4</v>
    <v>Finance</v>
    <v>19</v>
    <v>de-DE</v>
    <v>ccr2bh</v>
    <v>268435456</v>
    <v>1</v>
    <v>Unterstützt von Refinitiv</v>
    <v>88.2</v>
    <v>60.7</v>
    <v>-0.95</v>
    <v>-1.4548E-2</v>
    <v>173405200</v>
    <v>Die Solventum Corporation ist ein globales Unternehmen im Gesundheitswesen, das ein Portfolio von Lösungen entwickelt, herstellt und vermarktet, das tiefgreifende Materialwissenschaft, Datenwissenschaft und digitale Funktionen nutzt, um kritische Kundenanforderungen zu erfüllen. Zu den Segmenten des Unternehmens zählen MedSurg, Dental Solutions und Health Information System. MedSurg ist ein Anbieter von Lösungen, einschließlich Unterdrucktherapie, fortschrittliche Wundauflagen, fortschrittliche Hautpflege, IV-Standortmanagement, Sterilisationssicherheit, Temperaturmanagement, chirurgisches Zubehör, medizinische Bänder und Umhüllungen, Stethoskope, medizinische Elektroden und medizinische Technologien Original Equipment Manufacturer (OEM). Dental Solutions ist ein Anbieter einer umfassenden Palette an zahnärztlichen und kieferorthopädischen Produkten, einschließlich Halterungen, Aligner und restaurative Zement. Health Information Systems stellt Gesundheitssystemen Softwarelösungen zur Verfügung, darunter computergestützte Dokumentation von Ärzten sowie die Automatisierung von Rechnungen und Codierungen.</v>
    <v>0.622</v>
    <v>11158624619</v>
    <v>New York Stock Exchange</v>
    <v>XNYS</v>
    <v>XNYS</v>
    <v>C/O 3M Company, 3M Center, Building 275-6W-02, ST. PAUL, MN, 55144-1000 US</v>
    <v>66.055000000000007</v>
    <v>Healthcare Equipment &amp; Supplies</v>
    <v>Aktie</v>
    <v>7.2516999999999996</v>
    <v>46113.999612128908</v>
    <v>20000</v>
    <v>SOLVENTUM CORPORATION</v>
    <v>64.33</v>
    <v>SOLVENTUM CORPORATION</v>
    <v>65.489999999999995</v>
    <v>64.349999999999994</v>
    <v>65.3</v>
    <v>SOLV</v>
    <v>SOLVENTUM CORPORATION (XNYS:SOLV)</v>
    <v>2023</v>
    <v>1518070</v>
    <v>1510842</v>
    <v>USD</v>
  </rv>
  <rv s="2">
    <v>1687</v>
  </rv>
  <rv s="3">
    <fb>62.76</fb>
    <v>6</v>
  </rv>
  <rv s="0">
    <v>https://www.bing.com/financeapi/forcetrigger?t=az6g8m&amp;q=XNAS%3aBKNG&amp;form=skydnc</v>
    <v>Learn more on Bing</v>
  </rv>
  <rv s="1">
    <v>0</v>
    <v>1</v>
    <v>BOOKING HOLDINGS INC. (XNAS:BKNG)</v>
    <v>3</v>
    <v>4</v>
    <v>Finance</v>
    <v>5</v>
    <v>de-DE</v>
    <v>az6g8m</v>
    <v>268435456</v>
    <v>1</v>
    <v>Unterstützt von Refinitiv</v>
    <v>5839.4135999999999</v>
    <v>3765.45</v>
    <v>-25.76</v>
    <v>-6.1180000000000002E-3</v>
    <v>31673350</v>
    <v>Booking Holdings Inc. Ist ein Anbieter von Online-Reservierungen für Reisen und Restaurants und damit zusammenhängenden Dienstleistungen. Das Unternehmen bietet seine Dienstleistungen über fünf Hauptmarken für Verbraucher an: Booking.com, Priceline, Agoda, KAYAK und OpenTable. Über seine Marken können Verbraucher eine Vielzahl von Unterkünften buchen (darunter Hotels, Motels, Resorts, Häuser, Apartments, Bed and Breakfasts, Hostels und andere alternative und traditionelle Unterkünfte) und einen Flug zu ihren Zielen; Reservieren Sie eine Autovermietung oder arrangieren Sie ein Flughafentaxi; reservieren Sie ein Abendessen; oder buchen Sie ein Urlaubspaket, eine Tour, Aktivität oder eine Kreuzfahrt. Verbraucher können die Meta-Suchdienste auch nutzen, um Reisebuchungsinformationen wie Flug-, Hotel- und Mietwagenreservierungen von Hunderten von Online-Reiseplattformen auf einmal zu vergleichen. Booking.com bietet Reservierungsdienste für rund 4,0 Millionen Immobilien in über 220 Ländern und Gebieten und in über 40 Sprachen.</v>
    <v>1.1981999999999999</v>
    <v>132539033476</v>
    <v>Nasdaq Stock Market</v>
    <v>XNAS</v>
    <v>XNAS</v>
    <v>800 CONNECTICUT AVE, NORWALK, CT, 06854-1631 US</v>
    <v>4250.1499000000003</v>
    <v>Hotels &amp; Entertainment Services</v>
    <v>Aktie</v>
    <v>25.189</v>
    <v>1690</v>
    <v>46113.998022337502</v>
    <v>24300</v>
    <v>BOOKING HOLDINGS INC.</v>
    <v>4051.22</v>
    <v>BOOKING HOLDINGS INC.</v>
    <v>4216.83</v>
    <v>4184.5600000000004</v>
    <v>4210.32</v>
    <v>BKNG</v>
    <v>BOOKING HOLDINGS INC. (XNAS:BKNG)</v>
    <v>1998</v>
    <v>78</v>
    <v>422994</v>
    <v>USD</v>
  </rv>
  <rv s="2">
    <v>1691</v>
  </rv>
  <rv s="3">
    <fb>4062.14</fb>
    <v>6</v>
  </rv>
  <rv s="0">
    <v>https://www.bing.com/financeapi/forcetrigger?t=a212zr&amp;q=XNYS%3aPNR&amp;form=skydnc</v>
    <v>Learn more on Bing</v>
  </rv>
  <rv s="1">
    <v>0</v>
    <v>1</v>
    <v>PENTAIR PUBLIC LIMITED COMPANY (XNYS:PNR)</v>
    <v>3</v>
    <v>4</v>
    <v>Finance</v>
    <v>5</v>
    <v>de-DE</v>
    <v>a212zr</v>
    <v>268435456</v>
    <v>1</v>
    <v>Unterstützt von Refinitiv</v>
    <v>113.95</v>
    <v>74.25</v>
    <v>-0.35</v>
    <v>-4.0179999999999999E-3</v>
    <v>161602800</v>
    <v>Pentair plc ist an der Bereitstellung eines umfassenden Sortiments intelligenter, nachhaltiger Wasserlösungen für Haushalte, Unternehmen und Industrien auf der ganzen Welt beteiligt. Zu den Segmenten gehören Flow, Water Solutions und Pool. Das Segment Flow entwickelt, produziert und verkauft eine Vielzahl von Produkten und Systemen für die Flüssigkeitsaufbereitung und -Pumpe, einschließlich Druckbehälter, Gasrückgewinnungslösungen, Membranbioreaktoren, Abwasserwiederverwertungssysteme und fortschrittliche Membranfiltration, Trennsysteme, Wasserentsorgungspumpen, Wasserversorgungspumpen und Förderpumpen. Das Segment Water Solutions entwirft, produziert und verkauft Produkte und Systeme für die gewerbliche und private Wasseraufbereitung, einschließlich Drucktanks, Steuerventile und Aktivkohleprodukte. Das Segment Pool entwirft, produziert und verkauft eine komplette Linie energieeffizienter Schwimmbadausrüstung und Zubehör für Wohn- und Gewerbebereiche, einschließlich Pumpen, Filter, Heizungen, Leuchten, automatische Steuerungen, automatische Reinigungsmittel und Wartungsausrüstung.</v>
    <v>1.2426999999999999</v>
    <v>14020658928</v>
    <v>New York Stock Exchange</v>
    <v>XNYS</v>
    <v>XNYS</v>
    <v>Regal House, 70 London Road, Twickenham, LONDON, TW1 3QS GB</v>
    <v>88.02</v>
    <v>Machinery, Equipment &amp; Components</v>
    <v>Aktie</v>
    <v>22.107399999999998</v>
    <v>1694</v>
    <v>46113.958333344533</v>
    <v>9000</v>
    <v>PENTAIR PUBLIC LIMITED COMPANY</v>
    <v>86.67</v>
    <v>PENTAIR PUBLIC LIMITED COMPANY</v>
    <v>86.98</v>
    <v>86.76</v>
    <v>87.11</v>
    <v>PNR</v>
    <v>PENTAIR PUBLIC LIMITED COMPANY (XNYS:PNR)</v>
    <v>2013</v>
    <v>1</v>
    <v>1573866</v>
    <v>USD</v>
  </rv>
  <rv s="2">
    <v>1695</v>
  </rv>
  <rv s="3">
    <fb>84.92</fb>
    <v>6</v>
  </rv>
  <rv s="0">
    <v>https://www.bing.com/financeapi/forcetrigger?t=aobrkr&amp;q=XLON%3aMRO&amp;form=skydnc</v>
    <v>Learn more on Bing</v>
  </rv>
  <rv s="1">
    <v>0</v>
    <v>1</v>
    <v>MELROSE INDUSTRIES PLC (XLON:MRO)</v>
    <v>3</v>
    <v>49</v>
    <v>Finance</v>
    <v>50</v>
    <v>de-DE</v>
    <v>aobrkr</v>
    <v>268435456</v>
    <v>1</v>
    <v>Unterstützt von Refinitiv</v>
    <v>685</v>
    <v>376</v>
    <v>-7.2</v>
    <v>-1.3626000000000001E-2</v>
    <v>1248797000</v>
    <v>Melrose Industries Plc ist ein in Großbritannien ansässiges reinrassiges Luftfahrtunternehmen. Das Unternehmen liefert fortschrittliche Komponenten und Systeme für die Luft- und Raumfahrt für alle großen Erstausrüster (OEMs), sowohl für den zivilen als auch für den Verteidigungsmarkt. Das Unternehmen ist in zwei Abteilungen tätig: Motoren und Strukturen. Das Segment Engines ist ein globaler Tier-1-Anbieter für Motoren in der Luft- und Raumfahrt, einschließlich struktureller Bauteile, Ersatzteilreparatur, Handels- und Aftermarket-Verträge. Das Segment Structures ist ein global agierender Tier-1-Anbieter von zivilen und Verteidigungsflugzeugen, einschließlich leichter Verbundwerkstoff- und Metallkonstruktionen: Elektrische Verteilungssysteme und Komponenten. GKN Aerospace ist ein Tier-1-Anbieter von Flugzeugrahmen- und Triebwerksstrukturen, Fahrwerk, elektrischen Verbindungssystemen, Transparentfolien und Ersatzteildienstleistungen.</v>
    <v>1.1657999999999999</v>
    <v>8118258000</v>
    <v>London Stock Exchange</v>
    <v>XLON</v>
    <v>XLON</v>
    <v>1st Floor, Stratton House, 5 Stratton Street, LONDON, W1J 8LA GB</v>
    <v>523.79999999999995</v>
    <v>Aerospace &amp; Defense</v>
    <v>Aktie</v>
    <v>21.1098</v>
    <v>1698</v>
    <v>46114.331363321093</v>
    <v>13844</v>
    <v>MELROSE INDUSTRIES PLC</v>
    <v>516</v>
    <v>MELROSE INDUSTRIES PLC</v>
    <v>523.79999999999995</v>
    <v>521.20000000000005</v>
    <v>528.4</v>
    <v>MRO</v>
    <v>MELROSE INDUSTRIES PLC (XLON:MRO)</v>
    <v>2015</v>
    <v>174319</v>
    <v>4844620</v>
    <v>GBp</v>
  </rv>
  <rv s="2">
    <v>1699</v>
  </rv>
  <rv s="3">
    <fb>492</fb>
    <v>51</v>
  </rv>
  <rv s="0">
    <v>http://en.wikipedia.org/wiki/IBM</v>
    <v>Wikipedia</v>
  </rv>
  <rv s="6">
    <v>35</v>
    <v>1702</v>
  </rv>
  <rv s="7">
    <v>18</v>
    <v>https://www.bing.com/th?id=AMMS_41da901be1b295dc42c72dadb9c0f67d&amp;qlt=95</v>
    <v>1703</v>
    <v>0</v>
    <v>https://www.bing.com/images/search?form=xlimg&amp;q=ibm</v>
    <v>Image of INTERNATIONAL BUSINESS MACHINES CORPORATION</v>
  </rv>
  <rv s="0">
    <v>https://www.bing.com/financeapi/forcetrigger?t=a1v6nm&amp;q=XNYS%3aIBM&amp;form=skydnc</v>
    <v>Learn more on Bing</v>
  </rv>
  <rv s="8">
    <v>13</v>
    <v>14</v>
    <v>INTERNATIONAL BUSINESS MACHINES CORPORATION (XNYS:IBM)</v>
    <v>16</v>
    <v>17</v>
    <v>Finance</v>
    <v>5</v>
    <v>de-DE</v>
    <v>a1v6nm</v>
    <v>268435456</v>
    <v>1</v>
    <v>Unterstützt von Refinitiv</v>
    <v>324.89999999999998</v>
    <v>214.5</v>
    <v>0.75</v>
    <v>3.094E-3</v>
    <v>938034400</v>
    <v>Die International Business Machines Corporation ist ein Anbieter globaler Hybrid-Cloud- und künstlicher Intelligenz (KI) sowie Beratungskompetenz. Zu den Segmenten des Unternehmens gehören Software, Consulting, Infrastruktur und Finanzierung. Das Softwaresegment umfasst Hybrid-Cloud- und KI-Plattformen, die es Kunden ermöglichen, ihre digitalen und KI-Transformationen über die Anwendungen, Daten und Umgebungen hinweg durchzuführen, in denen sie arbeiten. Das Segment Consulting konzentriert sich auf die Integration von Kompetenzen in den Bereichen Strategie, Erfahrung, Technologie und Betrieb nach Domäne und Branche. Das Segment Infrastruktur konzentriert sich auf den Markt für hybride Cloud-Infrastrukturen und bietet On-Premise- und Cloud-basierte Server- und Speicherlösungen. Darüber hinaus bietet es ein Portfolio an Lebenszyklusdiensten für die Bereitstellung einer Hybrid-Cloud-Infrastruktur. Das Finanzierungssegment bietet Kunden- und kommerzielle Finanzierungen und erleichtert den Erwerb von Hardware, Software und Dienstleistungen für seine Kunden. Es unterstützt Kunden in mehr als 175 Ländern.</v>
    <v>0.67869999999999997</v>
    <v>1704</v>
    <v>228073684016</v>
    <v>New York Stock Exchange</v>
    <v>XNYS</v>
    <v>XNYS</v>
    <v>One New Orchard Road, ARMONK, NY, 10504 US</v>
    <v>246.26179999999999</v>
    <v>Software &amp; IT Services</v>
    <v>Aktie</v>
    <v>19.703299999999999</v>
    <v>1705</v>
    <v>46113.999938356254</v>
    <v>286800</v>
    <v>INTERNATIONAL BUSINESS MACHINES CORPORATION</v>
    <v>240.14</v>
    <v>INTERNATIONAL BUSINESS MACHINES CORPORATION</v>
    <v>242.12</v>
    <v>243.14</v>
    <v>242.39</v>
    <v>IBM</v>
    <v>INTERNATIONAL BUSINESS MACHINES CORPORATION (XNYS:IBM)</v>
    <v>1911</v>
    <v>4479</v>
    <v>5823911</v>
    <v>USD</v>
  </rv>
  <rv s="2">
    <v>1706</v>
  </rv>
  <rv s="3">
    <fb>236.34</fb>
    <v>6</v>
  </rv>
  <rv s="0">
    <v>https://www.bing.com/financeapi/forcetrigger?t=bptw77&amp;q=XNYS%3aUBER&amp;form=skydnc</v>
    <v>Learn more on Bing</v>
  </rv>
  <rv s="1">
    <v>0</v>
    <v>1</v>
    <v>UBER TECHNOLOGIES, INC. (XNYS:UBER)</v>
    <v>3</v>
    <v>4</v>
    <v>Finance</v>
    <v>5</v>
    <v>de-DE</v>
    <v>bptw77</v>
    <v>268435456</v>
    <v>1</v>
    <v>Unterstützt von Refinitiv</v>
    <v>101.99</v>
    <v>60.63</v>
    <v>-0.22</v>
    <v>-3.0590000000000001E-3</v>
    <v>2036825000</v>
    <v>Uber Technologies, Inc. betreibt eine Technologieplattform, die Netzwerk und Technologie nutzt, um die Bewegung von Punkt A nach Punkt B zu ermöglichen. Es entwickelt und betreibt Technologieanwendungen, die eine Vielzahl von Angeboten auf seiner Plattform (Plattform(en)) unterstützen. Zu seinen Segmenten gehören Mobility, Delivery und Freight. Mobilitätsprodukte verbinden Verbraucher mit Fahrern, die Fahrten in einer Vielzahl von Fahrzeugen, wie Autos, Auto-Rikschas, Motorrädern, Kleinbussen oder Taxis, anbieten. Lieferdienste ermöglichen es den Verbrauchern, lokale Restaurants zu suchen und zu entdecken, eine Mahlzeit zu bestellen und diese entweder im Restaurant abzuholen oder liefern zu lassen. In bestimmten Märkten bietet das Segment Delivery Angebote für die Lieferung von Lebensmitteln, Alkohol und Convenience Stores sowie ausgewählten anderen Waren. Das Segment Freight bringt Spediteure mit Versendern auf seiner Plattform zusammen und bietet den Spediteuren Vorabinformationen, Preise und die Möglichkeit, eine Sendung zu buchen. Das Segment Freight umfasst auch Transportmanagement und andere Logistikdienstleistungen.</v>
    <v>1.2059</v>
    <v>146060720750</v>
    <v>New York Stock Exchange</v>
    <v>XNYS</v>
    <v>XNYS</v>
    <v>1725 3Rd Street, SAN FRANCISCO, CA, 94158 US</v>
    <v>72.7</v>
    <v>Software &amp; IT Services</v>
    <v>Aktie</v>
    <v>15.1442</v>
    <v>1709</v>
    <v>46113.999738483595</v>
    <v>34000</v>
    <v>UBER TECHNOLOGIES, INC.</v>
    <v>70.81</v>
    <v>UBER TECHNOLOGIES, INC.</v>
    <v>72.430000000000007</v>
    <v>71.709999999999994</v>
    <v>71.930000000000007</v>
    <v>UBER</v>
    <v>UBER TECHNOLOGIES, INC. (XNYS:UBER)</v>
    <v>2010</v>
    <v>9747</v>
    <v>18323904</v>
    <v>USD</v>
  </rv>
  <rv s="2">
    <v>1710</v>
  </rv>
  <rv s="3">
    <fb>69.180000000000007</fb>
    <v>6</v>
  </rv>
  <rv s="0">
    <v>https://www.bing.com/financeapi/forcetrigger?t=a1n7pr&amp;q=XNYS%3aAJG&amp;form=skydnc</v>
    <v>Learn more on Bing</v>
  </rv>
  <rv s="11">
    <v>33</v>
    <v>34</v>
    <v>ARTHUR J. GALLAGHER &amp; CO. (XNYS:AJG)</v>
    <v>3</v>
    <v>35</v>
    <v>Finance</v>
    <v>36</v>
    <v>de-DE</v>
    <v>a1n7pr</v>
    <v>268435456</v>
    <v>1</v>
    <v>Unterstützt von Refinitiv</v>
    <v>351.22500000000002</v>
    <v>195</v>
    <v>-0.24</v>
    <v>-1.108E-3</v>
    <v>256888100</v>
    <v>Arthur J. Gallagher &amp; Co. ist ein weltweit tätiges Unternehmen für Versicherungsmaklerdienste, Risikomanagement und Beratungsdienste. Zu den Geschäftsbereichen des Unternehmens gehören brokerage, risk management and corporate. Das brokerage segment bietet Makler- und Beratungsdienste für Unternehmen aller Art, einschließlich gewerblicher, gemeinnütziger und öffentlicher Einrichtungen, Versicherungsgesellschaften und Versicherungskapitalgeber sowie in geringerem Umfang auch für Privatpersonen, in den Bereichen Versicherungs- und Rückversicherungsplatzierung, Schadensrisikomanagement und Verwaltung von arbeitgeberfinanzierten Leistungsprogrammen. Das risk management segment bietet Vertragsschadenregulierung, Schadenverwaltung, Schadenskontrolldienste und Risikomanagementberatung für gewerbliche, gemeinnützige, firmeneigene und öffentliche Einrichtungen sowie verschiedene andere Organisationen, die sich für eine Selbstversicherung in der Schaden- und Unfallversicherung oder für die Inanspruchnahme einer externen Schadenverwaltungsorganisation anstelle der von einem Versicherungsunternehmen angebotenen Schadendienstleistungen entscheiden.</v>
    <v>0.68320000000000003</v>
    <v>55575171554</v>
    <v>New York Stock Exchange</v>
    <v>XNYS</v>
    <v>XNYS</v>
    <v>2850 Golf Road, ROLLING MEADOWS, IL, 60008-4050 US</v>
    <v>219.77</v>
    <v>Insurance</v>
    <v>Aktie</v>
    <v>37.585999999999999</v>
    <v>1713</v>
    <v>46113.958333356248</v>
    <v>72000</v>
    <v>ARTHUR J. GALLAGHER &amp; CO.</v>
    <v>215.47</v>
    <v>ARTHUR J. GALLAGHER &amp; CO.</v>
    <v>217.78</v>
    <v>216.34</v>
    <v>215</v>
    <v>216.58</v>
    <v>AJG</v>
    <v>ARTHUR J. GALLAGHER &amp; CO. (XNYS:AJG)</v>
    <v>1972</v>
    <v>-1.34</v>
    <v>-6.1939999999999999E-3</v>
    <v>1863963</v>
    <v>2304359</v>
    <v>USD</v>
  </rv>
  <rv s="2">
    <v>1714</v>
  </rv>
  <rv s="3">
    <fb>207.1</fb>
    <v>6</v>
  </rv>
  <rv s="0">
    <v>https://www.bing.com/financeapi/forcetrigger?t=a1xugh&amp;q=XNYS%3aMOH&amp;form=skydnc</v>
    <v>Learn more on Bing</v>
  </rv>
  <rv s="1">
    <v>0</v>
    <v>1</v>
    <v>MOLINA HEALTHCARE, INC. (XNYS:MOH)</v>
    <v>3</v>
    <v>4</v>
    <v>Finance</v>
    <v>5</v>
    <v>de-DE</v>
    <v>a1xugh</v>
    <v>268435456</v>
    <v>1</v>
    <v>Unterstützt von Refinitiv</v>
    <v>359.97</v>
    <v>121.06</v>
    <v>2.52</v>
    <v>1.8905000000000002E-2</v>
    <v>52091070</v>
    <v>Molina Healthcare, Inc. ist ein Anbieter von verwalteten Gesundheitsdiensten im Rahmen der Medicaid- und Medicare-Programme sowie über die staatlichen Versicherungsmärkte. Das Unternehmen ist in vier Segmenten tätig: Medicaid, Medicare, Marketplace und Sonstige. Die Segmente Medicaid, Medicare und Marketplace stellen die staatlich finanzierten oder gesponserten Programme dar, in deren Rahmen das Unternehmen verwaltete Gesundheitsdienstleistungen anbietet. Medicaid bietet einkommensschwachen Amerikanern Gesundheitsfürsorge und langfristige Dienstleistungen und Unterstützung. Medicare ist ein Bundesprogramm, das anspruchsberechtigten Personen ab 65 Jahren und einigen Behinderten eine Reihe von Krankenhaus-, Krankenversicherungs- und Medikamentenleistungen bietet. Die Marketplace-Versicherungsbörsen ermöglichen es Einzelpersonen und kleinen Gruppen, eine staatlich subventionierte Krankenversicherung abzuschließen. Sie arrangiert Gesundheitsleistungen für ihre Mitglieder durch Verträge mit einem Netz von Leistungserbringern, darunter unabhängige Ärzte und Arztgruppen, Krankenhäuser, Hilfsdienste und Apotheken.</v>
    <v>0.55400000000000005</v>
    <v>7075009127</v>
    <v>New York Stock Exchange</v>
    <v>XNYS</v>
    <v>XNYS</v>
    <v>200 Oceangate, Suite 100, LONG BEACH, CA, 90802 US</v>
    <v>138.82499999999999</v>
    <v>Healthcare Providers &amp; Services</v>
    <v>Aktie</v>
    <v>15.222200000000001</v>
    <v>1717</v>
    <v>46113.969045867969</v>
    <v>19000</v>
    <v>MOLINA HEALTHCARE, INC.</v>
    <v>131.5</v>
    <v>MOLINA HEALTHCARE, INC.</v>
    <v>133.02000000000001</v>
    <v>135.82</v>
    <v>133.30000000000001</v>
    <v>MOH</v>
    <v>MOLINA HEALTHCARE, INC. (XNYS:MOH)</v>
    <v>2002</v>
    <v>98</v>
    <v>1899570</v>
    <v>USD</v>
  </rv>
  <rv s="2">
    <v>1718</v>
  </rv>
  <rv s="3">
    <fb>134.03</fb>
    <v>6</v>
  </rv>
  <rv s="0">
    <v>https://www.bing.com/financeapi/forcetrigger?t=a1u4fr&amp;q=XNYS%3aGPC&amp;form=skydnc</v>
    <v>Learn more on Bing</v>
  </rv>
  <rv s="1">
    <v>0</v>
    <v>1</v>
    <v>GENUINE PARTS COMPANY (XNYS:GPC)</v>
    <v>3</v>
    <v>4</v>
    <v>Finance</v>
    <v>5</v>
    <v>de-DE</v>
    <v>a1u4fr</v>
    <v>268435456</v>
    <v>1</v>
    <v>Unterstützt von Refinitiv</v>
    <v>151.57</v>
    <v>96.08</v>
    <v>-0.56999999999999995</v>
    <v>-5.3900000000000007E-3</v>
    <v>139122100</v>
    <v>Genuine Parts Company ist ein globaler Anbieter von Automobil- und Industrieersatzteilen und Mehrwertlösungen. Die Segmente des Unternehmens umfassen die Automotive Parts Group (Automotive) und die Industrial Parts Group (Industrial). Das Segment Automotive vertreibt Ersatzteile (mit Ausnahme von Unfallteilen) für alle Marken und Modelle von PKWs, LKWs und anderen Fahrzeugen in Nordamerika, Europa und Australasien. Die wichtigsten Kunden des Automobilsegments sind Reparatur- und Wartungsbetriebe, die wichtigsten Kunden des Industriesegments sind Unternehmen, die Vertriebs-, Fertigungs- und Produktionsanlagen betreiben. Das Industriesegment vertreibt eine breite Palette von Industrielagern, mechanischen und fluidtechnischen Antriebssystemen, einschließlich hydraulischer und pneumatischer Produkte, Komponenten für den Materialtransport sowie zugehörige Teile und Zubehör. Das Industriegeschäft bietet Ersatzteile und Lösungen für Kunden aus den Bereichen Wartung, Reparatur und Betrieb (MRO) sowie für Erstausrüster (OEM).</v>
    <v>0.77159999999999995</v>
    <v>14632862478</v>
    <v>New York Stock Exchange</v>
    <v>XNYS</v>
    <v>XNYS</v>
    <v>2999 Wildwood Parkway, ATLANTA, GA, 30339 US</v>
    <v>105.94499999999999</v>
    <v>Automobiles &amp; Auto Parts</v>
    <v>Aktie</v>
    <v>222.1002</v>
    <v>1721</v>
    <v>46113.974190277346</v>
    <v>65000</v>
    <v>GENUINE PARTS COMPANY</v>
    <v>104.56</v>
    <v>GENUINE PARTS COMPANY</v>
    <v>105.75</v>
    <v>105.18</v>
    <v>105.75</v>
    <v>GPC</v>
    <v>GENUINE PARTS COMPANY (XNYS:GPC)</v>
    <v>1928</v>
    <v>1</v>
    <v>2135252</v>
    <v>USD</v>
  </rv>
  <rv s="2">
    <v>1722</v>
  </rv>
  <rv s="3">
    <fb>105.02</fb>
    <v>6</v>
  </rv>
  <rv s="0">
    <v>https://www.bing.com/financeapi/forcetrigger?t=a1mwoc&amp;q=XNAS%3aADSK&amp;form=skydnc</v>
    <v>Learn more on Bing</v>
  </rv>
  <rv s="1">
    <v>0</v>
    <v>1</v>
    <v>AUTODESK, INC. (XNAS:ADSK)</v>
    <v>3</v>
    <v>4</v>
    <v>Finance</v>
    <v>5</v>
    <v>de-DE</v>
    <v>a1mwoc</v>
    <v>268435456</v>
    <v>1</v>
    <v>Unterstützt von Refinitiv</v>
    <v>329.09</v>
    <v>215.01</v>
    <v>-1.53</v>
    <v>-6.391E-3</v>
    <v>211000000</v>
    <v>Autodesk, Inc. beschäftigt sich mit dreidimensionalen (3D) Design-, Konstruktions- und Unterhaltungstechnologielösungen in den Bereichen Architektur, Ingenieurwesen, Konstruktion, Produktdesign, Fertigung, Medien und Unterhaltung. Die Produkte des Unternehmens für Architektur, Ingenieurwesen, Bau und Betrieb verbessern die Art und Weise, wie Gebäude, Infrastruktur und Industrieprojekte entworfen, gebaut und betrieben werden. Die Produktentwicklungs- und Fertigungssoftware des Unternehmens bietet Herstellern in der Automobil-, Transport-, Industriemaschinen-, Konsumgüter- und Bauproduktbranche umfassende digitale Lösungen für Design, Konstruktion, Fertigung und Produktion. Das Produktangebot umfasst AutoCAD Civil 3D, Autodesk Build, BIM Collaborate Pro, Revit, Tandem, AutoCAD, AutoCAD LT, Inventor, Vault, Maya und 3ds Max. AutoCAD Civil 3D bietet eine Vermessungs-, Entwurfs-, Analyse- und Dokumentationslösung für das Bauwesen, einschließlich Landerschließung, Verkehr und Umweltprojekte.</v>
    <v>1.4337</v>
    <v>50190570000</v>
    <v>Nasdaq Stock Market</v>
    <v>XNAS</v>
    <v>XNAS</v>
    <v>One Market, Ste. 400., SAN FRANCISCO, CA, 94105 US</v>
    <v>240.49</v>
    <v>Software &amp; IT Services</v>
    <v>Aktie</v>
    <v>45.468800000000002</v>
    <v>1725</v>
    <v>46113.99374729141</v>
    <v>14300</v>
    <v>AUTODESK, INC.</v>
    <v>232.18</v>
    <v>AUTODESK, INC.</v>
    <v>238.86</v>
    <v>237.87</v>
    <v>239.4</v>
    <v>ADSK</v>
    <v>AUTODESK, INC. (XNAS:ADSK)</v>
    <v>1994</v>
    <v>181</v>
    <v>2273968</v>
    <v>USD</v>
  </rv>
  <rv s="2">
    <v>1726</v>
  </rv>
  <rv s="3">
    <fb>229.84</fb>
    <v>6</v>
  </rv>
  <rv s="0">
    <v>https://www.bing.com/financeapi/forcetrigger?t=a1ql9c&amp;q=XNYS%3aCVNA&amp;form=skydnc</v>
    <v>Learn more on Bing</v>
  </rv>
  <rv s="1">
    <v>0</v>
    <v>1</v>
    <v>CARVANA CO. (XNYS:CVNA)</v>
    <v>3</v>
    <v>4</v>
    <v>Finance</v>
    <v>5</v>
    <v>de-DE</v>
    <v>a1ql9c</v>
    <v>268435456</v>
    <v>1</v>
    <v>Unterstützt von Refinitiv</v>
    <v>486.89</v>
    <v>148.25</v>
    <v>-2.29</v>
    <v>-7.2840000000000005E-3</v>
    <v>219103200</v>
    <v>Carvana Co. Ist eine Holdinggesellschaft. Das Unternehmen betreibt eine E-Commerce-Plattform für den Kauf und Verkauf von Gebrauchtwagen. Das Unternehmen erwirbt hauptsächlich Gebrauchtwagenbestände direkt von Kunden, Gebrauchtwagenauktionen und Gebrauchtwagenherstellern, einschließlich Einzelhandelspartnern. Sobald das Unternehmen ein Fahrzeug erworben hat, nutzt das Unternehmen sein internes Logistiknetzwerk oder einen Anbieter, um das Fahrzeug zu einem seiner Inspektions- und Wiederaufbereitungszentren (IRC) oder Auktionsstellen mit Aufbereitungsmöglichkeiten zu transportieren. An diesem Punkt gelangt das Fahrzeug in sein Bestandsverwaltungssystem. Es bietet eine für Mobilgeräte optimierte Website, auf der potenzielle Autokäufer sofort mit dem Suchen, Suchen, Filtern und Identifizieren ihres bevorzugten Fahrzeugs beginnen können. Dort wird eine virtuelle Fahrzeugtour mit Anmerkungen angeboten, die eine 360-Grad-Ansicht des Innen- und Außenbereichs des Fahrzeugs umfasst. Darüber hinaus bietet das Unternehmen integrierte Finanzierungen über seine Plattform zur Kreditvergabe an.</v>
    <v>3.6135000000000002</v>
    <v>68379917687</v>
    <v>New York Stock Exchange</v>
    <v>XNYS</v>
    <v>XNYS</v>
    <v>300 E. Rio Salado Parkway, TEMPE, AZ, 85281 US</v>
    <v>322.25</v>
    <v>Specialty Retailers</v>
    <v>Aktie</v>
    <v>40.843299999999999</v>
    <v>1729</v>
    <v>46113.999955578125</v>
    <v>23100</v>
    <v>CARVANA CO.</v>
    <v>294.70999999999998</v>
    <v>CARVANA CO.</v>
    <v>316.67500000000001</v>
    <v>312.08999999999997</v>
    <v>314.38</v>
    <v>CVNA</v>
    <v>CARVANA CO. (XNYS:CVNA)</v>
    <v>2016</v>
    <v>3032</v>
    <v>3018535</v>
    <v>USD</v>
  </rv>
  <rv s="2">
    <v>1730</v>
  </rv>
  <rv s="3">
    <fb>302.04000000000002</fb>
    <v>6</v>
  </rv>
  <rv s="0">
    <v>https://www.bing.com/financeapi/forcetrigger?t=a22777&amp;q=XNYS%3aROP&amp;form=skydnc</v>
    <v>Learn more on Bing</v>
  </rv>
  <rv s="1">
    <v>0</v>
    <v>1</v>
    <v>ROPER TECHNOLOGIES, INC. (XNAS:ROP)</v>
    <v>3</v>
    <v>4</v>
    <v>Finance</v>
    <v>5</v>
    <v>de-DE</v>
    <v>a22777</v>
    <v>268435456</v>
    <v>1</v>
    <v>Unterstützt von Refinitiv</v>
    <v>593</v>
    <v>313.07</v>
    <v>2.0099999999999998</v>
    <v>5.6799999999999993E-3</v>
    <v>102927500</v>
    <v>Roper Technologies, Inc. Ist ein diversifiziertes Technologieunternehmen. Das Unternehmen betreibt Unternehmen, die vertikale Software- und technologiebasierte Produkte für eine Vielzahl von vertretbaren Nischenmärkten entwerfen und entwickeln. Das Unternehmen ist in drei Segmenten tätig: Anwendungssoftware, Netzwerksoftware und technologiefähige Produkte. Das Segment Anwendungssoftware umfasst Aderant, Clinisys, Data Innovations, Deltek, Frontline, IntelliTrans, PowerPlan, Procare, Strata, Transact/CBORD, und Vertafore. Das Segment Network Software umfasst ConstructConnect, DAT, Foundry, iPipeline, iTradeNetwork, Loadlink, MHA, SHP und SoftWriter. Das Segment Technology Enabled Products umfasst CIVCO Medical Solutions, FMI, Inovonics, IPA, Neptune, Northern Digital, rf IDEAS und Verathon. Aderant ist eine umfassende Managementsoftware für Anwaltskanzleien und andere professionelle Dienstleistungsunternehmen. Data Innovations ist eine Softwarelösung, die das Unternehmensmanagement von Krankenhäusern und unabhängigen Labors ermöglicht.</v>
    <v>0.89029999999999998</v>
    <v>36628809425</v>
    <v>Nasdaq Stock Market</v>
    <v>XNAS</v>
    <v>XNAS</v>
    <v>6496 University Parkway, SARASOTA, FL, 34240 US</v>
    <v>356.47</v>
    <v>Software &amp; IT Services</v>
    <v>Aktie</v>
    <v>25.067499999999999</v>
    <v>1733</v>
    <v>46113.995432140626</v>
    <v>19400</v>
    <v>ROPER TECHNOLOGIES, INC.</v>
    <v>347.54329999999999</v>
    <v>ROPER TECHNOLOGIES, INC.</v>
    <v>351.46499999999997</v>
    <v>355.87</v>
    <v>353.86</v>
    <v>ROP</v>
    <v>ROPER TECHNOLOGIES, INC. (XNAS:ROP)</v>
    <v>1981</v>
    <v>8</v>
    <v>1430617</v>
    <v>USD</v>
  </rv>
  <rv s="2">
    <v>1734</v>
  </rv>
  <rv s="3">
    <fb>344.42</fb>
    <v>6</v>
  </rv>
  <rv s="0">
    <v>https://www.bing.com/financeapi/forcetrigger?t=a1mnrw&amp;q=XNYS%3aA&amp;form=skydnc</v>
    <v>Learn more on Bing</v>
  </rv>
  <rv s="1">
    <v>0</v>
    <v>1</v>
    <v>AGILENT TECHNOLOGIES, INC. (XNYS:A)</v>
    <v>3</v>
    <v>4</v>
    <v>Finance</v>
    <v>5</v>
    <v>de-DE</v>
    <v>a1mnrw</v>
    <v>268435456</v>
    <v>1</v>
    <v>Unterstützt von Refinitiv</v>
    <v>160.27000000000001</v>
    <v>96.43</v>
    <v>0.56000000000000005</v>
    <v>4.9129999999999998E-3</v>
    <v>282602300</v>
    <v>Agilent Technologies, Inc. Ist auf Biowissenschaften, Diagnostik und angewandte Märkte spezialisiert und bietet anwendungsorientierte Lösungen an, die Instrumente, Software, Dienstleistungen und Verbrauchsmaterialien für den gesamten Workflow im Labor umfassen. Zu den Segmenten zählen Life Sciences and Diagnostics Markets, Agilent CrossLab und Applied Markets. Das Segment Life Sciences and Diagnostics Markets umfasst sieben Tätigkeitsbereiche. Es bietet pharmazeutische Wirkstoffe für Oligo-basierte Therapeutika sowie Lösungen, die Reagenzien, Instrumente, Software und Verbrauchsmaterialien umfassen. Das Segment Agilent CrossLab bietet neben Software- und Laborautomatisierungslösungen ein Portfolio an Dienstleistungen und Verbrauchsmaterialien, die das gesamte Labor abdecken. Das Segment Applied Markets bietet anwendungsorientierte Lösungen mit Instrumenten und Software, mit denen Kunden die physikalischen und biologischen Eigenschaften von Substanzen und Produkten identifizieren, quantifizieren und analysieren können.</v>
    <v>1.3030999999999999</v>
    <v>32369267442</v>
    <v>New York Stock Exchange</v>
    <v>XNYS</v>
    <v>XNYS</v>
    <v>5301 Stevens Creek Blvd, SANTA CLARA, CA, 95051 US</v>
    <v>115.72</v>
    <v>Healthcare Equipment &amp; Supplies</v>
    <v>Aktie</v>
    <v>25.284300000000002</v>
    <v>1737</v>
    <v>46113.998776191409</v>
    <v>18000</v>
    <v>AGILENT TECHNOLOGIES, INC.</v>
    <v>113.85</v>
    <v>AGILENT TECHNOLOGIES, INC.</v>
    <v>114.01</v>
    <v>114.54</v>
    <v>113.98</v>
    <v>A</v>
    <v>AGILENT TECHNOLOGIES, INC. (XNYS:A)</v>
    <v>1999</v>
    <v>1</v>
    <v>2595744</v>
    <v>USD</v>
  </rv>
  <rv s="2">
    <v>1738</v>
  </rv>
  <rv s="3">
    <fb>110.24</fb>
    <v>6</v>
  </rv>
  <rv s="0">
    <v>https://www.bing.com/financeapi/forcetrigger?t=a25par&amp;q=XNYS%3aWAT&amp;form=skydnc</v>
    <v>Learn more on Bing</v>
  </rv>
  <rv s="1">
    <v>0</v>
    <v>1</v>
    <v>WATERS CORPORATION (XNYS:WAT)</v>
    <v>3</v>
    <v>4</v>
    <v>Finance</v>
    <v>19</v>
    <v>de-DE</v>
    <v>a25par</v>
    <v>268435456</v>
    <v>1</v>
    <v>Unterstützt von Refinitiv</v>
    <v>414.15</v>
    <v>275.05</v>
    <v>2.09</v>
    <v>7.0179999999999999E-3</v>
    <v>98101870</v>
    <v>Waters Corporation bietet Analyseinstrumente, Trenntechnologien und Software an, die dem Leben, den Materialien, Lebensmittel- und Umweltwissenschaften. Zu den Segmenten des Unternehmens gehören Waters und TA. Das Unternehmen entwickelt, produziert, verkauft und betreut in erster Linie Hochleistungs-Flüssigkeitschromatographie (HPLC), Ultraleistungs-Flüssigkeitschromatographie (UPLC) und zusammen mit HPLC (LC) und Massenspektrometrie (MS)-Technologiesysteme und Supportprodukte, einschließlich Chromatographiesäulen, anderer Verbrauchsmaterialien und umfassender Servicepläne nach Garantiezeit. Das Unternehmen entwirft, produziert, verkauft und betreut thermische Analyseinstrumente, Rheometrie und Kalorimetrie über seine TA Instruments (TA) Produktlinie. Das Unternehmen ist außerdem Entwickler und Lieferant fortschrittlicher softwarebasierter Produkte, die mit den Instrumenten des Unternehmens sowie mit Instrumenten anderer Hersteller verbunden sind. Es ist direkt in über 35 Ländern tätig und bietet Produkte in mehr als 100 Ländern an.</v>
    <v>1.2032</v>
    <v>19469050674</v>
    <v>New York Stock Exchange</v>
    <v>XNYS</v>
    <v>XNYS</v>
    <v>34 MAPLE ST, MILFORD, MA, 01757-3604 US</v>
    <v>305.98</v>
    <v>Healthcare Equipment &amp; Supplies</v>
    <v>Aktie</v>
    <v>27.872900000000001</v>
    <v>1741</v>
    <v>46113.966186457816</v>
    <v>7900</v>
    <v>WATERS CORPORATION</v>
    <v>297.39</v>
    <v>WATERS CORPORATION</v>
    <v>301.93</v>
    <v>299.89</v>
    <v>297.8</v>
    <v>WAT</v>
    <v>WATERS CORPORATION (XNYS:WAT)</v>
    <v>1991</v>
    <v>911925</v>
    <v>1159580</v>
    <v>USD</v>
  </rv>
  <rv s="2">
    <v>1742</v>
  </rv>
  <rv s="3">
    <fb>289.16000000000003</fb>
    <v>6</v>
  </rv>
  <rv s="0">
    <v>https://www.bing.com/financeapi/forcetrigger?t=aa72pr&amp;q=XASX%3aWRK&amp;form=skydnc</v>
    <v>Learn more on Bing</v>
  </rv>
  <rv s="16">
    <v>52</v>
    <v>53</v>
    <v>WRKR LTD (XASX:WRK)</v>
    <v>3</v>
    <v>54</v>
    <v>Finance</v>
    <v>27</v>
    <v>de-DE</v>
    <v>aa72pr</v>
    <v>268435456</v>
    <v>1</v>
    <v>Unterstützt von Refinitiv</v>
    <v>0.17499999999999999</v>
    <v>5.3999999999999999E-2</v>
    <v>0</v>
    <v>0</v>
    <v>1980513000</v>
    <v>INTEGRATED PAYMENT TECHNOLOGIES LIMITED ist ein in Australien ansässiges Unternehmen, das sich mit der Entwicklung einer Technologie beschäftigt, um die sichere Speicherung und Übermittlung von Daten über Zahlungen zu erleichtern. Die Dienstleistungen des Unternehmens sind in drei Unterkategorien unterteilt: ClickSuper Service, Payment Adviser Service und Bill Exchange Service. Der ClickSuper Service ist eine Clearing-Stelle für die Zahlung von Rentenbeiträge, Lohnabrechnungen, Gehälter und Australian Taxation Office (ATO) bezogenen Zahlungen. Der Payment Adviser Service erleichtert die Zahlung und Übermittlung von Daten über die Zahlung zwischen dem Zahler/Anbieter und dem Zahlungsempfänger/Empfänger. Der Bill Exchange-Service ist ein Rechnungsaggregator mit Schwerpunkt auf der Immobilienverwaltung. Der Bill Exchange-Service ist ein Service, der Immobilienagenturen-Daten für Rechnungsstellungen zur Verfügung stellt, wie z. B. Mitteilung über Referenzsätze und Einzelheiten der Zahlung für den Rechnungsersteller.</v>
    <v>0.9899</v>
    <v>313512500</v>
    <v>Australian Securities Exchange</v>
    <v>XASX</v>
    <v>XASX</v>
    <v>Suite 1, Level 3, 104-112 Commonwealth Street, Surry Hills, NEW SOUTH WALES, 2010 AU</v>
    <v>0.11</v>
    <v>Software &amp; IT Services</v>
    <v>Aktie</v>
    <v>1745</v>
    <v>46114.326388888891</v>
    <v>WRKR LTD</v>
    <v>0.105</v>
    <v>WRKR LTD</v>
    <v>0.105</v>
    <v>0.11</v>
    <v>0.11</v>
    <v>WRK</v>
    <v>WRKR LTD (XASX:WRK)</v>
    <v>2016</v>
    <v>39649</v>
    <v>431230</v>
    <v>AUD</v>
  </rv>
  <rv s="2">
    <v>1746</v>
  </rv>
  <rv s="3">
    <fb>0.105</fb>
    <v>28</v>
  </rv>
  <rv s="0">
    <v>https://www.bing.com/financeapi/forcetrigger?t=brjvjc&amp;q=XNAS%3aDDOG&amp;form=skydnc</v>
    <v>Learn more on Bing</v>
  </rv>
  <rv s="1">
    <v>0</v>
    <v>1</v>
    <v>DATADOG, INC. (XNAS:DDOG)</v>
    <v>3</v>
    <v>4</v>
    <v>Finance</v>
    <v>5</v>
    <v>de-DE</v>
    <v>brjvjc</v>
    <v>268435456</v>
    <v>1</v>
    <v>Unterstützt von Refinitiv</v>
    <v>201.69</v>
    <v>81.63</v>
    <v>0.62</v>
    <v>5.2519999999999997E-3</v>
    <v>353851300</v>
    <v>Datadog, Inc. Bietet eine Beobachtungs- und Sicherheitsplattform für Cloud-Anwendungen. Die SaaS-Plattform des Unternehmens integriert und automatisiert Infrastrukturüberwachung, Überwachung der Anwendungsleistung, Protokollverwaltung, Überwachung der Benutzererfahrung, Cloud-Sicherheit und viele andere Funktionen, um eine einheitliche Echtzeitbeobachtung und Sicherheit für den gesamten Technologiepaket seiner Kunden zu gewährleisten. Die Plattform besteht aus Produkten, die einzeln oder als einheitliche Lösung verwendet werden können, und umfasst eine Marketplace-Site, auf der Kunden auf Produkte zugreifen können, die von ihren Partnern auf der Datadog-Plattform erstellt wurden. Zu den Produkten gehören Infrastrukturüberwachung, Anwendungsleistungsüberwachung, Protokollverwaltung, Digital Experience Monitoring, Continuous Profiler, Datenbanküberwachung, Datenbeobachtung, Universal Service Monitoring, Netzwerküberwachung und andere. Das Unternehmen besitzt Metaplane, eine End-to-End-Plattform zur Datenbeobachtung, die auf maschinellem Lernen basierende Überwachung und Abstammung auf Spaltenebene ermöglicht.</v>
    <v>1.294</v>
    <v>41991533771</v>
    <v>Nasdaq Stock Market</v>
    <v>XNAS</v>
    <v>XNAS</v>
    <v>620 8th Avenue, 45th Floor, NEW YORK, NY, 10018 US</v>
    <v>121.99</v>
    <v>Software &amp; IT Services</v>
    <v>Aktie</v>
    <v>377.11329999999998</v>
    <v>1749</v>
    <v>46113.998416770315</v>
    <v>8100</v>
    <v>DATADOG, INC.</v>
    <v>116.99</v>
    <v>DATADOG, INC.</v>
    <v>120.53</v>
    <v>118.67</v>
    <v>118.05</v>
    <v>DDOG</v>
    <v>DATADOG, INC. (XNAS:DDOG)</v>
    <v>2010</v>
    <v>1752</v>
    <v>4761907</v>
    <v>USD</v>
  </rv>
  <rv s="2">
    <v>1750</v>
  </rv>
  <rv s="3">
    <fb>114.48</fb>
    <v>6</v>
  </rv>
  <rv s="0">
    <v>https://www.bing.com/financeapi/forcetrigger?t=a1q8r7&amp;q=XNAS%3aCPRT&amp;form=skydnc</v>
    <v>Learn more on Bing</v>
  </rv>
  <rv s="1">
    <v>0</v>
    <v>1</v>
    <v>COPART, INC. (XNAS:CPRT)</v>
    <v>3</v>
    <v>4</v>
    <v>Finance</v>
    <v>19</v>
    <v>de-DE</v>
    <v>a1q8r7</v>
    <v>268435456</v>
    <v>1</v>
    <v>Unterstützt von Refinitiv</v>
    <v>63.85</v>
    <v>32.200000000000003</v>
    <v>-0.18</v>
    <v>-5.4219999999999997E-3</v>
    <v>963308400</v>
    <v>Copart, Inc. Ist ein Anbieter von Online-Auktionen und Remarketing-Dienstleistungen für Fahrzeuge. Das Unternehmen bietet Fahrzeugverkäufern über die Internet-Auktionstechnologie Virtual Bidding Third Generation (VB3) des Unternehmens eine umfassende Palette von Dienstleistungen zur Verarbeitung und zum Verkauf von Fahrzeugen über das Internet. Das Unternehmen verkauft hauptsächlich an lizenzierte Demontage-, Wiederaufbaubetriebe, Reparaturlizenznehmer, Gebrauchtwagenhändler, Exporteure, und direkt an die breite Öffentlichkeit. Fahrzeugverkäufer bestehen in erster Linie aus Versicherungsgesellschaften, aber auch aus Händlern, Einzelpersonen, Wohltätigkeitsorganisationen, Vermietungen, Banken, Finanzgesellschaften und Flottenbetreiber. Es betreibt mehr als 200 Standorte in 11 Ländern und verfügt täglich über mehr als 175.000 Fahrzeuge zur Auktion. Das Unternehmen ist in den USA, Großbritannien, Deutschland, Brasilien, Kanada, Vereinigte Arabische Emirate, Spanien, Finnland, Oman, Republik Irland und Bahrain. Sie ist sowohl als Agent als auch auf Hauptbasis tätig.</v>
    <v>1.1426000000000001</v>
    <v>31808443368</v>
    <v>Nasdaq Stock Market</v>
    <v>XNAS</v>
    <v>XNAS</v>
    <v>14185 DALLAS PARKWAY, SUITE 300, DALLAS, TX, 75254 US</v>
    <v>33.5199</v>
    <v>Software &amp; IT Services</v>
    <v>Aktie</v>
    <v>20.716000000000001</v>
    <v>1753</v>
    <v>46113.999866342187</v>
    <v>11600</v>
    <v>COPART, INC.</v>
    <v>32.909999999999997</v>
    <v>COPART, INC.</v>
    <v>33.130000000000003</v>
    <v>33.020000000000003</v>
    <v>33.200000000000003</v>
    <v>CPRT</v>
    <v>COPART, INC. (XNAS:CPRT)</v>
    <v>2012</v>
    <v>170</v>
    <v>9384803</v>
    <v>USD</v>
  </rv>
  <rv s="2">
    <v>1754</v>
  </rv>
  <rv s="3">
    <fb>32.43</fb>
    <v>6</v>
  </rv>
  <rv s="0">
    <v>https://www.bing.com/financeapi/forcetrigger?t=a1yjxm&amp;q=XNYS%3aNKE&amp;form=skydnc</v>
    <v>Learn more on Bing</v>
  </rv>
  <rv s="1">
    <v>0</v>
    <v>1</v>
    <v>NIKE, INC. (XNYS:NKE)</v>
    <v>3</v>
    <v>4</v>
    <v>Finance</v>
    <v>5</v>
    <v>de-DE</v>
    <v>a1yjxm</v>
    <v>268435456</v>
    <v>1</v>
    <v>Unterstützt von Refinitiv</v>
    <v>80.165000000000006</v>
    <v>44.56</v>
    <v>-8.1999999999999993</v>
    <v>-0.15524399999999999</v>
    <v>1480383000</v>
    <v>NIKE, Inc. Entwickelt, vermarktet und vertreibt Sportschuhe, Bekleidung, Ausrüstung und Zubehör sowie Dienstleistungen für Sport- und Fitnessaktivitäten. Zu den operativen Segmenten des Unternehmens gehören Nordamerika, Europa, Naher Osten und Afrika (EMEA), Großchina sowie Asien-Pazifik und Lateinamerika (APLA). Unter dem Markennamen NIKE verkauft das Unternehmen eine Reihe von Ausrüstung und Zubehör, darunter Taschen, Socken, Sportbälle, Brillen, Zeitmesser, digitale Geräte, Fledermäuse, Handschuhe, Schutzausrüstung und andere Ausrüstung für sportliche Aktivitäten. Außerdem werden Produkte speziell für die Marke Jordan und Converse entwickelt. Die Marke Jordan entwirft, vertreibt und lizenziert sportliche und legere Schuhe, Bekleidung und Accessoires, die hauptsächlich auf Basketball-Performance und -Kultur ausgerichtet sind, und verwendet die Marke Jumpman. Das Unternehmen entwirft, vertreibt und lizenziert auch Freizeitschuhe, Bekleidung und Accessoires unter den Marken Chuck Taylor, All Star, One Star, Star Chevron und Jack Purcell.</v>
    <v>1.3192999999999999</v>
    <v>66054689460</v>
    <v>New York Stock Exchange</v>
    <v>XNYS</v>
    <v>XNYS</v>
    <v>One Bowerman Dr, BEAVERTON, OR, 97005-6453 US</v>
    <v>46.83</v>
    <v>Textiles &amp; Apparel</v>
    <v>Aktie</v>
    <v>26.169699999999999</v>
    <v>1757</v>
    <v>46113.999977279687</v>
    <v>77800</v>
    <v>NIKE, INC.</v>
    <v>44.56</v>
    <v>NIKE, INC.</v>
    <v>46.555</v>
    <v>44.62</v>
    <v>52.82</v>
    <v>NKE</v>
    <v>NIKE, INC. (XNYS:NKE)</v>
    <v>1969</v>
    <v>180447</v>
    <v>16210072</v>
    <v>USD</v>
  </rv>
  <rv s="2">
    <v>1758</v>
  </rv>
  <rv s="3">
    <fb>51.37</fb>
    <v>6</v>
  </rv>
  <rv s="0">
    <v>https://www.bing.com/financeapi/forcetrigger?t=a1qhz2&amp;q=XNAS%3aCTSH&amp;form=skydnc</v>
    <v>Learn more on Bing</v>
  </rv>
  <rv s="1">
    <v>0</v>
    <v>1</v>
    <v>COGNIZANT TECHNOLOGY SOLUTIONS CORPORATION (XNAS:CTSH)</v>
    <v>3</v>
    <v>4</v>
    <v>Finance</v>
    <v>5</v>
    <v>de-DE</v>
    <v>a1qhz2</v>
    <v>268435456</v>
    <v>1</v>
    <v>Unterstützt von Refinitiv</v>
    <v>87.03</v>
    <v>58.835000000000001</v>
    <v>-0.1</v>
    <v>-1.6300000000000002E-3</v>
    <v>478246900</v>
    <v>Cognizant Technology Solutions Corporation entwickelt moderne Unternehmen. Zu den Dienstleistungen gehören künstliche Intelligenz (KI) und andere Technologiedienstleistungen und -lösungen, Beratung, Anwendungsentwicklung, Systemintegration, Qualitätsentwicklung und -sicherung, Anwendungswartung, Infrastruktur und Sicherheit sowie Geschäftsprozessdienstleistungen und Automatisierung. Zu seinen Segmenten gehören Health Sciences (HS), Financial Services (FS), Products and Resources (P&amp;R) sowie Communications, Media and Technology (CMT). Das HS-Segment besteht aus Gesundheitsdienstleistern und Kostenträgern sowie aus Unternehmen der Biowissenschaften. Das FS-Segment umfasst Banken, Kapitalmärkte, Zahlungsverkehrs- und Versicherungsunternehmen. Das Segment P&amp;R umfasst Hersteller, Automobilhersteller, Einzelhändler, Konsumgüterunternehmen, Reise- und Gastgewerbeunternehmen sowie Unternehmen, die Logistik-, Energie- und Versorgungsdienstleistungen anbieten. Das Segment CMT umfasst Unternehmen aus den Bereichen Kommunikation, Medien und Unterhaltung, Bildung, Informationsdienste und Technologie.</v>
    <v>0.97619999999999996</v>
    <v>29292622625</v>
    <v>Nasdaq Stock Market</v>
    <v>XNAS</v>
    <v>XNAS</v>
    <v>300 Frank W. Burr Blvd., Ste. 36, 6 Fl., TEANECK, NJ, 07666 US</v>
    <v>61.715000000000003</v>
    <v>Software &amp; IT Services</v>
    <v>Aktie</v>
    <v>11.436999999999999</v>
    <v>1761</v>
    <v>46113.929191851559</v>
    <v>351600</v>
    <v>COGNIZANT TECHNOLOGY SOLUTIONS CORPORATION</v>
    <v>59.73</v>
    <v>COGNIZANT TECHNOLOGY SOLUTIONS CORPORATION</v>
    <v>61.32</v>
    <v>61.25</v>
    <v>61.35</v>
    <v>CTSH</v>
    <v>COGNIZANT TECHNOLOGY SOLUTIONS CORPORATION (XNAS:CTSH)</v>
    <v>1988</v>
    <v>131</v>
    <v>6769340</v>
    <v>USD</v>
  </rv>
  <rv s="2">
    <v>1762</v>
  </rv>
  <rv s="3">
    <fb>59.73</fb>
    <v>6</v>
  </rv>
  <rv s="0">
    <v>https://www.bing.com/financeapi/forcetrigger?t=a1q3jc&amp;q=XNYS%3aCOF&amp;form=skydnc</v>
    <v>Learn more on Bing</v>
  </rv>
  <rv s="1">
    <v>0</v>
    <v>1</v>
    <v>CAPITAL ONE FINANCIAL CORPORATION (XNYS:COF)</v>
    <v>3</v>
    <v>4</v>
    <v>Finance</v>
    <v>5</v>
    <v>de-DE</v>
    <v>a1q3jc</v>
    <v>268435456</v>
    <v>1</v>
    <v>Unterstützt von Refinitiv</v>
    <v>259.63499999999999</v>
    <v>143.22</v>
    <v>2.0699999999999998</v>
    <v>1.1347000000000001E-2</v>
    <v>621925100</v>
    <v>Capital One Financial Corporation ist eine diversifizierte Holdinggesellschaft für Finanzdienstleistungen mit Banken- und nicht-Banking-Tochtergesellschaften. Das Unternehmen bietet Verbrauchern, kleinen Unternehmen und gewerblichen Kunden über eine Vielzahl von Kanälen ein breites Spektrum an Finanzprodukten und -Dienstleistungen an. Das Unternehmen ist in drei Segmenten tätig: Kreditkarten-, Consumer Banking- und Commercial Banking. Das Kreditkartensegment besteht aus dem Kreditgeschäft für Privatkunden und Kleinunternehmen sowie internationalen Kartengeschäften in Großbritannien und Kanada. Das Segment Consumer Banking umfasst die Einlagenbeschaffung und Kreditvergabe an Verbraucher und kleine Unternehmen sowie die nationale Autokreditvergabe. Das Geschäftsfeld Commercial Banking umfasst seine Kreditvergabe, Einlagenbeschaffung, Kapitalmärkte und Treasury Management-Dienstleistungen für gewerbliche Immobilien sowie gewerbliche und industrielle Kunden. Ihre wichtigste operative Tochtergesellschaft ist Capital One, National Association, die Bankprodukte und Finanzdienstleistungen anbietet.</v>
    <v>1.1445000000000001</v>
    <v>114745180950</v>
    <v>New York Stock Exchange</v>
    <v>XNYS</v>
    <v>XNYS</v>
    <v>1680 Capital One Drive, MCLEAN, VA, 22102 US</v>
    <v>187.405</v>
    <v>Banking Services</v>
    <v>Aktie</v>
    <v>54.910699999999999</v>
    <v>1765</v>
    <v>46113.998386075778</v>
    <v>76300</v>
    <v>CAPITAL ONE FINANCIAL CORPORATION</v>
    <v>183.67</v>
    <v>CAPITAL ONE FINANCIAL CORPORATION</v>
    <v>185.61</v>
    <v>184.5</v>
    <v>182.43</v>
    <v>COF</v>
    <v>CAPITAL ONE FINANCIAL CORPORATION (XNYS:COF)</v>
    <v>1994</v>
    <v>427</v>
    <v>5567103</v>
    <v>USD</v>
  </rv>
  <rv s="2">
    <v>1766</v>
  </rv>
  <rv s="3">
    <fb>176.1</fb>
    <v>6</v>
  </rv>
  <rv s="0">
    <v>https://www.bing.com/financeapi/forcetrigger?t=a24mnm&amp;q=XNAS%3aTTWO&amp;form=skydnc</v>
    <v>Learn more on Bing</v>
  </rv>
  <rv s="1">
    <v>0</v>
    <v>1</v>
    <v>TAKE-TWO INTERACTIVE SOFTWARE, INC. (XNAS:TTWO)</v>
    <v>3</v>
    <v>4</v>
    <v>Finance</v>
    <v>5</v>
    <v>de-DE</v>
    <v>a24mnm</v>
    <v>268435456</v>
    <v>1</v>
    <v>Unterstützt von Refinitiv</v>
    <v>264.78500000000003</v>
    <v>187.63</v>
    <v>0.7</v>
    <v>3.5439999999999998E-3</v>
    <v>185175500</v>
    <v>Take-Two Interactive Software, Inc. Entwickelt, veröffentlicht und vermarktet interaktive Unterhaltung für Verbraucher auf der ganzen Welt. Das Unternehmen entwickelt und veröffentlicht Produkte hauptsächlich über Rockstar Games, 2K und Zynga. Seine Produkte wurden für Konsolen-Gaming-Systeme entwickelt, darunter Sony Computer Entertainment, Inc. (Sony) PlayStation4 (PS4) und PlayStation5 (PS5), Microsoft Corporation (Microsoft) Xbox One (Xbox One) und Xbox Series XS (Xbox Series XS) und Nintendo Switch (Switch) sowie Mobilgeräte (Smartphones und Tablets) und PCs (PC). Die Produkte werden über physische Einzelhandelsgeschäfte, digitale Downloads, Online-Plattformen und Cloud-Streaming-Services bereitgestellt. Das Unternehmen verkauft Softwaretitel sowohl digital als auch physisch über direkte Beziehungen zu digitalen Storefronts und Plattformpartnern, großen Einzelhandelskunden und Drittanbietern. Darüber hinaus verkauft das Unternehmen Werbung in einer Reihe seiner Spiele, hauptsächlich im Mobilbereich.</v>
    <v>0.96550000000000002</v>
    <v>36701784100</v>
    <v>Nasdaq Stock Market</v>
    <v>XNAS</v>
    <v>XNAS</v>
    <v>110 West 44Th Street, NEW YORK, NY, 10036 US</v>
    <v>199.48</v>
    <v>Software &amp; IT Services</v>
    <v>Aktie</v>
    <v>0</v>
    <v>1769</v>
    <v>46113.997666885938</v>
    <v>12928</v>
    <v>TAKE-TWO INTERACTIVE SOFTWARE, INC.</v>
    <v>196.54499999999999</v>
    <v>TAKE-TWO INTERACTIVE SOFTWARE, INC.</v>
    <v>198</v>
    <v>198.2</v>
    <v>197.5</v>
    <v>TTWO</v>
    <v>TAKE-TWO INTERACTIVE SOFTWARE, INC. (XNAS:TTWO)</v>
    <v>1993</v>
    <v>1636</v>
    <v>2021062</v>
    <v>USD</v>
  </rv>
  <rv s="2">
    <v>1770</v>
  </rv>
  <rv s="3">
    <fb>189.69</fb>
    <v>6</v>
  </rv>
  <rv s="0">
    <v>https://www.bing.com/financeapi/forcetrigger?t=a1rrh7&amp;q=XNYS%3aEFX&amp;form=skydnc</v>
    <v>Learn more on Bing</v>
  </rv>
  <rv s="1">
    <v>0</v>
    <v>1</v>
    <v>EQUIFAX INC. (XNYS:EFX)</v>
    <v>3</v>
    <v>4</v>
    <v>Finance</v>
    <v>19</v>
    <v>de-DE</v>
    <v>a1rrh7</v>
    <v>268435456</v>
    <v>1</v>
    <v>Unterstützt von Refinitiv</v>
    <v>281.02999999999997</v>
    <v>166.02</v>
    <v>-0.41</v>
    <v>-2.2769999999999999E-3</v>
    <v>120634600</v>
    <v>Equifax Inc. Ist ein globales Unternehmen für Daten, Analysen und Technologie. Das Unternehmen unterstützt Finanzinstitutionen, Unternehmen, Arbeitgeber und Regierungsbehörden dabei, wichtige Entscheidungen zu treffen. Das Segment Workforce Solutions des Unternehmens bietet Dienstleistungen an, die es Kunden ermöglichen, Einkommen, Beschäftigung, Bildungsgeschichte, Strafrechtsdaten, Zulassung von Angehörigen des Gesundheitswesens und Sanktionen gegen Menschen in den Vereinigten Staaten zu überprüfen. Das Segment U.S. Information Solutions (USIS) des Unternehmens bietet Unternehmen in den USA Lösungen für Verbraucher und Handel, darunter Online-Informationen, Lösungen für Entscheidungstechnologien, Identitätsmanagement, analytische Dienstleistungen, Dienstleistungen im Bereich des elektronischen Geschäftsverkehrs und des Ausgleichsschutzes, Dienstleistungen im Bereich Portfoliomanagement, Hypothekeninformationen und Marketingdienstleistungen. Das internationale Segment des Unternehmens bietet ähnliche Produkte und Dienstleistungen an wie im USIS-Segment, jedoch mit unterschiedlichen geografischen Regionen.</v>
    <v>1.5590999999999999</v>
    <v>21673212236</v>
    <v>New York Stock Exchange</v>
    <v>XNYS</v>
    <v>XNYS</v>
    <v>1550 Peachtree St NW, ATLANTA, GA, 30309-2402 US</v>
    <v>180.32</v>
    <v>Professional &amp; Commercial Services</v>
    <v>Aktie</v>
    <v>33.766199999999998</v>
    <v>1773</v>
    <v>46113.958333356248</v>
    <v>15000</v>
    <v>EQUIFAX INC.</v>
    <v>176.67</v>
    <v>EQUIFAX INC.</v>
    <v>179.17</v>
    <v>179.66</v>
    <v>180.07</v>
    <v>EFX</v>
    <v>EQUIFAX INC. (XNYS:EFX)</v>
    <v>1913</v>
    <v>4244676</v>
    <v>1566810</v>
    <v>USD</v>
  </rv>
  <rv s="2">
    <v>1774</v>
  </rv>
  <rv s="3">
    <fb>171.85</fb>
    <v>6</v>
  </rv>
  <rv s="0">
    <v>http://zh.wikipedia.org/wiki/味可美</v>
    <v>Wikipedia</v>
  </rv>
  <rv s="6">
    <v>35</v>
    <v>1777</v>
  </rv>
  <rv s="7">
    <v>18</v>
    <v>https://www.bing.com/th?id=AMMS_8d96836a886471f7120ce0135f3ca8bd&amp;qlt=95</v>
    <v>1778</v>
    <v>0</v>
    <v>https://www.bing.com/images/search?form=xlimg&amp;q=mccormick+%26+company</v>
    <v>Image of MCCORMICK &amp; COMPANY, INCORPORATED</v>
  </rv>
  <rv s="0">
    <v>https://www.bing.com/financeapi/forcetrigger?t=a1xoc7&amp;q=XNYS%3aMKC&amp;form=skydnc</v>
    <v>Learn more on Bing</v>
  </rv>
  <rv s="8">
    <v>13</v>
    <v>14</v>
    <v>MCCORMICK &amp; COMPANY, INCORPORATED (XNYS:MKC)</v>
    <v>16</v>
    <v>17</v>
    <v>Finance</v>
    <v>19</v>
    <v>de-DE</v>
    <v>a1xoc7</v>
    <v>268435456</v>
    <v>1</v>
    <v>Unterstützt von Refinitiv</v>
    <v>82.9</v>
    <v>48.052500000000002</v>
    <v>-2.0550000000000002</v>
    <v>-4.0740999999999999E-2</v>
    <v>268438200</v>
    <v>McCormick &amp; Company, Incorporated produziert, vermarktet und vertreibt Kräuter, Gewürze, Würzmittel und Aromen für die gesamte Lebensmittel- und Getränkeindustrie, einschließlich Einzelhändler, Lebensmittelhersteller und Foodservice-Unternehmen. Das Unternehmen ist in zwei Segmenten tätig: Consumer und Flavor Solutions. Das consumer segment verkauft unter der Marke McCormick und einer Vielzahl von Marken auf der ganzen Welt, darunter French's, Frank's RedHot, Lawry's, Zatarain's, Simply Asia, Thai Kitchen, Ducros, Vahine, Cholula, Schwartz, Club House, Kamis, DaQiao, La Drogheria, Stubb's, OLD BAY, Gourmet Garden und andere, an Einzelhandelskanäle, darunter Lebensmittelgeschäfte, Massenware, Lagerhausclubs, Discounter und Drogerien sowie an den elektronischen Handel. Im flavor solutions segment bietet das Unternehmen eine Reihe von Produkten für multinationale Lebensmittelhersteller und Foodservice-Kunden an. Die Foodservice-Kunden werden sowohl direkt vom Unternehmen als auch indirekt über Vertriebshändler mit verpackten Markenprodukten beliefert.</v>
    <v>0.70699999999999996</v>
    <v>1779</v>
    <v>12988382307</v>
    <v>New York Stock Exchange</v>
    <v>XNYS</v>
    <v>XNYS</v>
    <v>24 Schilling Road, Suite 1, HUNT VALLEY, MD, 21031 US</v>
    <v>50.977499999999999</v>
    <v>Food &amp; Tobacco</v>
    <v>Aktie</v>
    <v>16.510200000000001</v>
    <v>1780</v>
    <v>46113.999715323436</v>
    <v>14100</v>
    <v>MCCORMICK &amp; COMPANY, INCORPORATED</v>
    <v>48.052500000000002</v>
    <v>MCCORMICK &amp; COMPANY, INCORPORATED</v>
    <v>50.25</v>
    <v>48.384999999999998</v>
    <v>50.44</v>
    <v>MKC</v>
    <v>MCCORMICK &amp; COMPANY, INCORPORATED (XNYS:MKC)</v>
    <v>1915</v>
    <v>308</v>
    <v>3970472</v>
    <v>USD</v>
  </rv>
  <rv s="2">
    <v>1781</v>
  </rv>
  <rv s="3">
    <fb>53.07</fb>
    <v>6</v>
  </rv>
  <rv s="0">
    <v>https://www.bing.com/financeapi/forcetrigger?t=a1np4c&amp;q=XNYS%3aARE&amp;form=skydnc</v>
    <v>Learn more on Bing</v>
  </rv>
  <rv s="1">
    <v>0</v>
    <v>1</v>
    <v>ALEXANDRIA REAL ESTATE EQUITIES, INC. (XNYS:ARE)</v>
    <v>3</v>
    <v>4</v>
    <v>Finance</v>
    <v>5</v>
    <v>de-DE</v>
    <v>a1np4c</v>
    <v>268435456</v>
    <v>1</v>
    <v>Unterstützt von Refinitiv</v>
    <v>93.54</v>
    <v>43.25</v>
    <v>-3.13</v>
    <v>-6.7428000000000002E-2</v>
    <v>173300400</v>
    <v>Alexandria Real Estate Equities, Inc. Ist ein Investmentfonds für Life Science-Immobilien. Das Unternehmen ist Eigentümer, Betreiber und Entwickler von kollaborativen Biowissenschaften, Agrartechnologie (agtech) und Mega-Campussen in AAA-Innovationsclusterstandorten, darunter Greater Boston, San Francisco Bay Area, New York City, San Diego, Seattle, Maryland, und Forschungsdreieck. Das Unternehmen stellt über seine Risikokapitalplattform strategisches Kapital für Unternehmen aus den Bereichen Life Science, Agrifoodtech, Klimainnovationen und Technologie bereit. Zu den Pächtern gehören multinationale Pharmaunternehmen, öffentliche und private Biotechnologieunternehmen, Life Science-Produkte, Dienstleistungen und Medizinprodukte, digitale Gesundheits-, Technologie- und agtech-Unternehmen, akademische und medizinische Forschungseinrichtungen, Forschungsagenturen der US-Regierung, gemeinnützige Organisationen und Risikokapitalfirmen. Es verfügt über eine Anlagenbasis von Labspace, die sich hauptsächlich auf Märkte mit Marktzutrittsschranken konzentriert.</v>
    <v>1.3435999999999999</v>
    <v>7502174316</v>
    <v>New York Stock Exchange</v>
    <v>XNYS</v>
    <v>XNYS</v>
    <v>26 North Euclid Avenue, PASADENA, CA, 91101 US</v>
    <v>46.5</v>
    <v>Residential &amp; Commercial REIT</v>
    <v>Aktie</v>
    <v>0</v>
    <v>1784</v>
    <v>46113.996013575779</v>
    <v>514</v>
    <v>ALEXANDRIA REAL ESTATE EQUITIES, INC.</v>
    <v>43.25</v>
    <v>ALEXANDRIA REAL ESTATE EQUITIES, INC.</v>
    <v>46.5</v>
    <v>43.29</v>
    <v>46.42</v>
    <v>ARE</v>
    <v>ALEXANDRIA REAL ESTATE EQUITIES, INC. (XNYS:ARE)</v>
    <v>1994</v>
    <v>329</v>
    <v>2524976</v>
    <v>USD</v>
  </rv>
  <rv s="2">
    <v>1785</v>
  </rv>
  <rv s="3">
    <fb>46.04</fb>
    <v>6</v>
  </rv>
  <rv s="0">
    <v>https://www.bing.com/financeapi/forcetrigger?t=a1o76h&amp;q=XNYS%3aBAX&amp;form=skydnc</v>
    <v>Learn more on Bing</v>
  </rv>
  <rv s="5">
    <v>10</v>
    <v>11</v>
    <v>BAXTER INTERNATIONAL INC. (XNYS:BAX)</v>
    <v>3</v>
    <v>12</v>
    <v>Finance</v>
    <v>5</v>
    <v>de-DE</v>
    <v>a1o76h</v>
    <v>268435456</v>
    <v>1</v>
    <v>Unterstützt von Refinitiv</v>
    <v>34.29</v>
    <v>15.73</v>
    <v>-0.02</v>
    <v>-1.1899999999999999E-3</v>
    <v>516252500</v>
    <v>Baxter International Inc. ist ein weltweit tätiges Medizintechnikunternehmen. Zu seinen Segmenten gehören Medizinische Produkte und Therapien, Gesundheitssysteme und -technologien sowie Pharmazeutika. Das Segment Medizinische Produkte und Therapien umfasst den Verkauf von sterilen IV-Lösungen, Infusionssystemen, Verabreichungssets, parenteralen Ernährungstherapien und chirurgischen Hämostatika, Dichtungsmitteln und Produkten zur Adhäsionsprävention. Das Segment Gesundheitssysteme und -technologien umfasst die Verkäufe seiner vernetzten Pflegelösungen und Kollaborationstools, einschließlich intelligenter Bettsysteme, Patientenüberwachungssysteme und Diagnosetechnologien, Geräte für die Atemwegsgesundheit und fortschrittliche Ausrüstung für den chirurgischen Bereich, einschließlich Technologien zur Integration in den Operationssaal, Präzisionspositionierungsgeräte und anderes Zubehör. Das Segment Pharmazeutika umfasst den Verkauf von injizierbaren Spezialarzneimitteln, Inhalationsanästhetika und die Herstellung von Arzneimitteln. Es bietet ein Portfolio von Produkten für die Bereiche Diagnostik, Intensivmedizin, Ernährung, Krankenhaus und Chirurgie.</v>
    <v>0.61670000000000003</v>
    <v>8662716950</v>
    <v>New York Stock Exchange</v>
    <v>XNYS</v>
    <v>XNYS</v>
    <v>One Baxter Parkway, DEERFIELD, IL, 60015 US</v>
    <v>17.2</v>
    <v>Healthcare Equipment &amp; Supplies</v>
    <v>Aktie</v>
    <v>1788</v>
    <v>46113.983230867969</v>
    <v>37500</v>
    <v>BAXTER INTERNATIONAL INC.</v>
    <v>16.760000000000002</v>
    <v>BAXTER INTERNATIONAL INC.</v>
    <v>17</v>
    <v>16.78</v>
    <v>16.8</v>
    <v>BAX</v>
    <v>BAXTER INTERNATIONAL INC. (XNYS:BAX)</v>
    <v>1931</v>
    <v>1748</v>
    <v>10637369</v>
    <v>USD</v>
  </rv>
  <rv s="2">
    <v>1789</v>
  </rv>
  <rv s="3">
    <fb>15.97</fb>
    <v>6</v>
  </rv>
  <rv s="0">
    <v>https://www.bing.com/financeapi/forcetrigger?t=a24xlh&amp;q=XNYS%3aUNH&amp;form=skydnc</v>
    <v>Learn more on Bing</v>
  </rv>
  <rv s="1">
    <v>0</v>
    <v>1</v>
    <v>UNITEDHEALTH GROUP INCORPORATED (XNYS:UNH)</v>
    <v>3</v>
    <v>4</v>
    <v>Finance</v>
    <v>5</v>
    <v>de-DE</v>
    <v>a24xlh</v>
    <v>268435456</v>
    <v>1</v>
    <v>Unterstützt von Refinitiv</v>
    <v>606.36</v>
    <v>234.6</v>
    <v>3.39</v>
    <v>1.2527999999999999E-2</v>
    <v>907675800</v>
    <v>UnitedHealth Group Incorporated ist ein Unternehmen für Gesundheit und Wohlbefinden. Zu den Segmenten zählen Optum Health, Optum Insight, Optum Rx und UnitedHealthcare, zu denen UnitedHealthcare Employer &amp; Individual, UnitedHealthcare Medicare &amp; Retirement und UnitedHealthcare Community &amp; State gehören. Optum Health bietet eine umfassende und patientenorientierte Versorgung, die auf das körperliche, geistige, soziale und finanzielle Wohlbefinden abzielt. Optum Health bietet primär-, Spezial- und chirurgische Versorgung; hilft Patienten und Anbietern bei der Navigation und Bewältigung komplexer, chronischer und verhaltensbedingter Gesundheitsbedürfnisse. Optum Insight verbindet das Gesundheitssystem mit Dienstleistungen, Analysen und Plattformen, die klinische, administrative und finanzielle Prozesse für alle Teilnehmer des Gesundheitssystems einfacher und effizienter machen. Optum Rx bietet eine Reihe von Apothekenpflegedienstleistungen über Einzelhandelspapotheken, über Hauslieferungen, Spezial- und Gemeindeapotheken und die Bereitstellung von Infusion-Dienstleistungen zu Hause und in der Gemeinde.</v>
    <v>0.40860000000000002</v>
    <v>248685015684</v>
    <v>New York Stock Exchange</v>
    <v>XNYS</v>
    <v>XNYS</v>
    <v>1 HEALTH DRIVE, EDEN PRAIRIE, MN, 55344 US</v>
    <v>275.298</v>
    <v>Healthcare Providers &amp; Services</v>
    <v>Aktie</v>
    <v>20.765799999999999</v>
    <v>1792</v>
    <v>46113.999661978909</v>
    <v>390000</v>
    <v>UNITEDHEALTH GROUP INCORPORATED</v>
    <v>270.76</v>
    <v>UNITEDHEALTH GROUP INCORPORATED</v>
    <v>274.20999999999998</v>
    <v>273.98</v>
    <v>270.58999999999997</v>
    <v>UNH</v>
    <v>UNITEDHEALTH GROUP INCORPORATED (XNYS:UNH)</v>
    <v>2015</v>
    <v>29595</v>
    <v>8920878</v>
    <v>USD</v>
  </rv>
  <rv s="2">
    <v>1793</v>
  </rv>
  <rv s="3">
    <fb>259.02</fb>
    <v>6</v>
  </rv>
  <rv s="0">
    <v>https://www.bing.com/financeapi/forcetrigger?t=a1x6m7&amp;q=XNAS%3aLULU&amp;form=skydnc</v>
    <v>Learn more on Bing</v>
  </rv>
  <rv s="1">
    <v>0</v>
    <v>1</v>
    <v>LULULEMON ATHLETICA INC. (XNAS:LULU)</v>
    <v>3</v>
    <v>4</v>
    <v>Finance</v>
    <v>5</v>
    <v>de-DE</v>
    <v>a1x6m7</v>
    <v>268435456</v>
    <v>1</v>
    <v>Unterstützt von Refinitiv</v>
    <v>340.25</v>
    <v>143.96</v>
    <v>5.71</v>
    <v>3.7296000000000003E-2</v>
    <v>115598600</v>
    <v>lululemon athletica inc. Ist ein Unternehmen für technische Sportbekleidung, Schuhe und Accessoires. Das Unternehmen organisiert seine Aktivitäten in vier regionale Märkte: Nord- und Südamerika, China Festland, Asien-Pazifik-Raum (APAC) und Europa und Mittlerer Osten (EMEA). Das Unternehmen betreibt seine Geschäfte über eine Reihe unterschiedlicher Kanäle in jedem Markt, einschließlich der unternehmenseigenen Geschäfte, des elektronischen Geschäftsverkehrs, der temporären Standorte, des Großhandels, der Verkaufsstellen, ein Wiederverkaufsprogramm sowie Lizenz- und Liefervereinbarungen. Das Unternehmen bietet ein umfassendes Sortiment an technischer Sportbekleidung, Schuhen und Accessoires, die unter der Marke Lululemon vermarktet werden. Das Bekleidungssortiment umfasst Artikel wie Shorts, Oberteile und Jacken, die für einen gesunden Lebensstil entwickelt wurden, einschließlich sportlicher Aktivitäten wie Yoga, Laufen, Training und die meisten anderen Aktivitäten. Außerdem bietet er Bekleidung für unterwegs und von Fitness inspirierte Accessoires. Sie betreibt Geschäfte in den USA, Kanada, China, Australien, Südkorea und anderen Ländern.</v>
    <v>1.0706</v>
    <v>18358213666</v>
    <v>Nasdaq Stock Market</v>
    <v>XNAS</v>
    <v>XNAS</v>
    <v>1818 Cornwall Avenue, VANCOUVER, BC, V6J 1C7 CA</v>
    <v>161</v>
    <v>Textiles &amp; Apparel</v>
    <v>Aktie</v>
    <v>11.0471</v>
    <v>1796</v>
    <v>46113.999740844534</v>
    <v>39000</v>
    <v>LULULEMON ATHLETICA INC.</v>
    <v>150.80000000000001</v>
    <v>LULULEMON ATHLETICA INC.</v>
    <v>150.93</v>
    <v>158.81</v>
    <v>153.1</v>
    <v>LULU</v>
    <v>LULULEMON ATHLETICA INC. (XNAS:LULU)</v>
    <v>2005</v>
    <v>2084</v>
    <v>3018070</v>
    <v>USD</v>
  </rv>
  <rv s="2">
    <v>1797</v>
  </rv>
  <rv s="3">
    <fb>145.85</fb>
    <v>6</v>
  </rv>
  <rv s="0">
    <v>https://www.bing.com/financeapi/forcetrigger?t=a1ou77&amp;q=XNYS%3aBRO&amp;form=skydnc</v>
    <v>Learn more on Bing</v>
  </rv>
  <rv s="1">
    <v>0</v>
    <v>1</v>
    <v>BROWN &amp; BROWN, INC. (XNYS:BRO)</v>
    <v>3</v>
    <v>4</v>
    <v>Finance</v>
    <v>5</v>
    <v>de-DE</v>
    <v>a1ou77</v>
    <v>268435456</v>
    <v>1</v>
    <v>Unterstützt von Refinitiv</v>
    <v>125.675</v>
    <v>63.29</v>
    <v>-0.81</v>
    <v>-1.2421E-2</v>
    <v>339559200</v>
    <v>Brown &amp; Brown, Inc. Ist ein Versicherungsmaklerunternehmen, das Risikomanagementlösungen bereitstellt. Das Unternehmen vermarktet und verkauft Versicherungsprodukte und -Dienstleistungen, vor allem in den Bereichen Schaden, Unfall und Arbeitnehmerleistungen. Zu seinen Segmenten gehören das Segment Retail, das eine Reihe von Versicherungsprodukten und -Dienstleistungen für gewerbliche, öffentliche und quasi-öffentliche, professionelle und individuelle Versicherte sowie nicht-Versicherungsdienstleistungen und -Produkte über seine F&amp;I-Bereiche für Autohändler anbietet; das Segment Programs ist auf die Entwicklung, das Underwriting und das Management von Versicherungsprogrammgeschäften spezialisiert, die häufig für Nischenmärkte und unterversorgte Märkte konzipiert sind, und verteilt diese Deckungen an Einzelhandelsunternehmen sowie Affinitätsgruppen, Großhandelsunternehmen und direkt an Verbraucher verkauft werden; und das Segment Wholesale Brokerage vermarktet und verkauft Überschussversicherungen und Überschussversicherungen in gewerblichen und privaten Bereichen, hauptsächlich über unabhängige Agenten und Makler sowie Einzelhandelsvermittler von Brown &amp; Brown.</v>
    <v>0.82609999999999995</v>
    <v>21867612480</v>
    <v>New York Stock Exchange</v>
    <v>XNYS</v>
    <v>XNYS</v>
    <v>300 N. Beach Street, DAYTONA BEACH, FL, 32114 US</v>
    <v>65.42</v>
    <v>Insurance</v>
    <v>Aktie</v>
    <v>19.104700000000001</v>
    <v>1800</v>
    <v>46113.958333356248</v>
    <v>14531</v>
    <v>BROWN &amp; BROWN, INC.</v>
    <v>63.725000000000001</v>
    <v>BROWN &amp; BROWN, INC.</v>
    <v>64.8</v>
    <v>64.400000000000006</v>
    <v>65.209999999999994</v>
    <v>BRO</v>
    <v>BROWN &amp; BROWN, INC. (XNYS:BRO)</v>
    <v>1959</v>
    <v>1</v>
    <v>3424101</v>
    <v>USD</v>
  </rv>
  <rv s="2">
    <v>1801</v>
  </rv>
  <rv s="3">
    <fb>63.43</fb>
    <v>6</v>
  </rv>
  <rv s="0">
    <v>https://www.bing.com/financeapi/forcetrigger?t=a1mw4c&amp;q=XNAS%3aADP&amp;form=skydnc</v>
    <v>Learn more on Bing</v>
  </rv>
  <rv s="1">
    <v>0</v>
    <v>1</v>
    <v>AUTOMATIC DATA PROCESSING, INC. (XNAS:ADP)</v>
    <v>3</v>
    <v>4</v>
    <v>Finance</v>
    <v>5</v>
    <v>de-DE</v>
    <v>a1mw4c</v>
    <v>268435456</v>
    <v>1</v>
    <v>Unterstützt von Refinitiv</v>
    <v>329.92950000000002</v>
    <v>197.08</v>
    <v>-1.9</v>
    <v>-9.3509999999999999E-3</v>
    <v>402644300</v>
    <v>Automatic Data Processing, Inc. Ist ein Anbieter cloudbasierter Lösungen für das Human Capital Management (HCM). Zu den Segmenten gehören Arbeitgeberdienste und Berufsverbände (PEO). Das Segment Employer Services betreut Kunden, von kleinen Einzelunternehmen bis hin zu Großunternehmen mit Zehntausenden von Mitarbeitern auf der ganzen Welt, und bietet eine Reihe technologiebasierter HCM-Lösungen, einschließlich Cloud-basierter Plattformen und HR-Outsourcing-Lösungen (außer PEO). Zu den Angeboten gehören Lohn- und Gehaltsabrechnung, Leistungsverwaltung, Talentmanagement, Personalmanagement, Personalmanagement, Compliance Services, Versicherungsdienstleistungen und Altersvorsorge. Das PEO-Geschäft, ADP TotalSource, bietet Kunden Beratung, Technologie, umfassende Leistungen für Mitarbeiter, Risikomanagement, Sicherheit, und Arbeitnehmerentgeltprogramm. Die Vergütungsmanagementsoftware unterstützt die Anforderungen der Vergütungsplanung.</v>
    <v>0.85609999999999997</v>
    <v>81044244704</v>
    <v>Nasdaq Stock Market</v>
    <v>XNAS</v>
    <v>XNAS</v>
    <v>One ADP Boulevard, ROSELAND, NJ, 07068 US</v>
    <v>204.43989999999999</v>
    <v>Software &amp; IT Services</v>
    <v>Aktie</v>
    <v>19.335699999999999</v>
    <v>1804</v>
    <v>46113.993795589842</v>
    <v>67000</v>
    <v>AUTOMATIC DATA PROCESSING, INC.</v>
    <v>197.08</v>
    <v>AUTOMATIC DATA PROCESSING, INC.</v>
    <v>203.35</v>
    <v>201.28</v>
    <v>203.18</v>
    <v>ADP</v>
    <v>AUTOMATIC DATA PROCESSING, INC. (XNAS:ADP)</v>
    <v>1961</v>
    <v>21</v>
    <v>4300902</v>
    <v>USD</v>
  </rv>
  <rv s="2">
    <v>1805</v>
  </rv>
  <rv s="3">
    <fb>201.25</fb>
    <v>6</v>
  </rv>
  <rv s="0">
    <v>https://www.bing.com/financeapi/forcetrigger?t=a1tdvh&amp;q=XNAS%3aFSLR&amp;form=skydnc</v>
    <v>Learn more on Bing</v>
  </rv>
  <rv s="1">
    <v>0</v>
    <v>1</v>
    <v>FIRST SOLAR, INC. (XNAS:FSLR)</v>
    <v>3</v>
    <v>4</v>
    <v>Finance</v>
    <v>5</v>
    <v>de-DE</v>
    <v>a1tdvh</v>
    <v>268435456</v>
    <v>1</v>
    <v>Unterstützt von Refinitiv</v>
    <v>285.99</v>
    <v>116.5625</v>
    <v>2.16</v>
    <v>1.095E-2</v>
    <v>107311000</v>
    <v>First Solar, Inc. Ist ein Photovoltaik- (PV) Solartechnologie- und Produktionsunternehmen. Mit seiner fortschrittlichen Dünnschicht-PV-Technologie ist es darauf ausgerichtet, die Anforderungen an die Stromerzeugung zu erfüllen. Das Hauptsegment des Unternehmens ist sein Modulgeschäft, das den Entwurf, die Herstellung und den Verkauf von CdTe-Solarmodulen umfasst, die Sonnenlicht in Strom umwandeln. Zu den externen Kunden des Segments gehören Systementwickler, unabhängige Stromerzeuger, Versorgungsunternehmen, gewerbliche und industrielle Unternehmen sowie andere Systemeigentümer und -Betreiber. Zu den Produkten des Unternehmens gehören das Modul der Serie 7 und das Modul der Serie 6 Plus. Das Modul der Serie 6 Plus besteht aus einem Glaslaminat mit einer Größe von ca. 1,2 m x 1,6 m, das Dünnschicht-PV-Halbleitermaterialien verkapselt. Das Modul der Serie 7 hat einen größeren Formfaktor von ca. 1,8 m x 1,8 m. Die Module Serie 6 Plus und Serie 7 hatten eine durchschnittliche Ausgangsleistung von 459 Watt bzw. 531 Watt.</v>
    <v>1.6074999999999999</v>
    <v>21399959620</v>
    <v>Nasdaq Stock Market</v>
    <v>XNAS</v>
    <v>XNAS</v>
    <v>4300 E Camelback Road, Suite 220, PHOENIX, AZ, 85018 US</v>
    <v>200.73</v>
    <v>Renewable Energy</v>
    <v>Aktie</v>
    <v>14.0359</v>
    <v>1808</v>
    <v>46113.996232407029</v>
    <v>7900</v>
    <v>FIRST SOLAR, INC.</v>
    <v>196.38</v>
    <v>FIRST SOLAR, INC.</v>
    <v>198.02</v>
    <v>199.42</v>
    <v>197.26</v>
    <v>FSLR</v>
    <v>FIRST SOLAR, INC. (XNAS:FSLR)</v>
    <v>2003</v>
    <v>605</v>
    <v>2319873</v>
    <v>USD</v>
  </rv>
  <rv s="2">
    <v>1809</v>
  </rv>
  <rv s="3">
    <fb>190.29</fb>
    <v>6</v>
  </rv>
  <rv s="0">
    <v>https://www.bing.com/financeapi/forcetrigger?t=a1slm7&amp;q=XNAS%3aMETA&amp;form=skydnc</v>
    <v>Learn more on Bing</v>
  </rv>
  <rv s="1">
    <v>0</v>
    <v>1</v>
    <v>META PLATFORMS, INC. (XNAS:META)</v>
    <v>3</v>
    <v>4</v>
    <v>Finance</v>
    <v>5</v>
    <v>de-DE</v>
    <v>a1slm7</v>
    <v>268435456</v>
    <v>1</v>
    <v>Unterstützt von Refinitiv</v>
    <v>796.25</v>
    <v>479.8</v>
    <v>7.1</v>
    <v>1.2410000000000001E-2</v>
    <v>2529555000</v>
    <v>Meta Platforms, Inc. Baut auf künstlicher Intelligenz und immersiven Technologien menschliche Verbindungen auf. Die Produkte des Unternehmens ermöglichen es Menschen, über mobile Geräte, PCs, Virtual Reality (VR) und Mixed Reality (MR) Headsets, Augmented Reality (AR) und Wearables mit Freunden und Familie zu kommunizieren und mit ihnen zu teilen. Darüber hinaus hilft es Menschen, herauszufinden und mehr darüber zu erfahren, was in der Welt um sie herum vor sich geht, und ermöglicht es Menschen, ihre Erfahrungen, Ideen, Fotos, Videos und andere Inhalte mit Zielgruppen zu teilen, die von ihren engsten Familienmitgliedern und Freunden bis hin zur breiten Öffentlichkeit reichen. Zu den Segmenten des Unternehmens gehören Family of Apps (FOA) und Reality Labs (RL). FOA-Segment umfasst Facebook, Instagram, Messenger, WhatsApp und Threads. Das RL-Segment umfasst seine virtuelle, erweiterte und gemischte Realität-bezogene Hardware, -Software und -Inhalte für Verbraucher. Zu den Produktangeboten für VR gehören Meta Quest-Geräte sowie Software und Inhalte, die im Meta Horizon Store erhältlich sind.</v>
    <v>1.3095000000000001</v>
    <v>1465194142650</v>
    <v>Nasdaq Stock Market</v>
    <v>XNAS</v>
    <v>XNAS</v>
    <v>1 Meta Way, MENLO PARK, CA, 94025 US</v>
    <v>592.54650000000004</v>
    <v>Software &amp; IT Services</v>
    <v>Aktie</v>
    <v>19.815899999999999</v>
    <v>1812</v>
    <v>46113.999966990625</v>
    <v>78865</v>
    <v>META PLATFORMS, INC.</v>
    <v>573.82000000000005</v>
    <v>META PLATFORMS, INC.</v>
    <v>580.13</v>
    <v>579.23</v>
    <v>572.13</v>
    <v>META</v>
    <v>META PLATFORMS, INC. (XNAS:META)</v>
    <v>2004</v>
    <v>73818</v>
    <v>15608210</v>
    <v>USD</v>
  </rv>
  <rv s="2">
    <v>1813</v>
  </rv>
  <rv s="3">
    <fb>525.72</fb>
    <v>6</v>
  </rv>
  <rv s="0">
    <v>https://www.bing.com/financeapi/forcetrigger?t=a1x7oc&amp;q=XNYS%3aLW&amp;form=skydnc</v>
    <v>Learn more on Bing</v>
  </rv>
  <rv s="1">
    <v>0</v>
    <v>1</v>
    <v>LAMB WESTON HOLDINGS, INC. (XNYS:LW)</v>
    <v>3</v>
    <v>4</v>
    <v>Finance</v>
    <v>5</v>
    <v>de-DE</v>
    <v>a1x7oc</v>
    <v>268435456</v>
    <v>1</v>
    <v>Unterstützt von Refinitiv</v>
    <v>67.069999999999993</v>
    <v>38.18</v>
    <v>-3.78</v>
    <v>-8.9445999999999998E-2</v>
    <v>138879900</v>
    <v>Lamb Weston Holdings, Inc. Ist ein weltweit tätiger Hersteller, Distributor und Vermarkter von Mehrwertprodukten für gefrorene Kartoffeln. Das Unternehmen ist ein Lieferant von Tiefkühlkartoffeln, Süßkartoffeln, Vorspeisen und Gemüseprodukten für Restaurants und Einzelhändler auf der ganzen Welt. Zu den Segmenten des Unternehmens gehören Nordamerika und International. Die gefrorenen Kartoffelprodukte des Unternehmens werden in Nordamerika und auf internationalen Märkten im Allgemeinen an nordamerikanische Restaurantketten und internationale Kunden verkauft, die sich aus globalen und regionalen Schnellservice- und Full-Service-Restaurantketten, Gastronomiebetrieben und Einzelhändlern zusammensetzen. Das Produktportfolio umfasst gefrorene Kartoffeln und Vorspeisen, die unter der Marke Lamb Weston verkauft werden, sowie viele Kundenlabels. Die Produktkategorien des Unternehmens umfassen klassische Pommes Frites, extra knusprige Pommes Frites, Süßkartoffeln und andere Produkte. Zu den Rezepten gehören Vorspeisen, Desserts, Dips, Soßen und Gewürze, Hauptgericht, Salat, Beilagen, belegt und beladen.</v>
    <v>0.4773</v>
    <v>5344098552</v>
    <v>New York Stock Exchange</v>
    <v>XNYS</v>
    <v>XNYS</v>
    <v>599 S. RIVERSHORE LANE, EAGLE, ID, 83616 US</v>
    <v>42.69</v>
    <v>Food &amp; Tobacco</v>
    <v>Aktie</v>
    <v>13.845700000000001</v>
    <v>1816</v>
    <v>46113.998904293752</v>
    <v>10100</v>
    <v>LAMB WESTON HOLDINGS, INC.</v>
    <v>38.18</v>
    <v>LAMB WESTON HOLDINGS, INC.</v>
    <v>41.51</v>
    <v>38.479999999999997</v>
    <v>42.26</v>
    <v>LW</v>
    <v>LAMB WESTON HOLDINGS, INC. (XNYS:LW)</v>
    <v>2016</v>
    <v>117</v>
    <v>4072991</v>
    <v>USD</v>
  </rv>
  <rv s="2">
    <v>1817</v>
  </rv>
  <rv s="3">
    <fb>41.6</fb>
    <v>6</v>
  </rv>
  <rv s="0">
    <v>https://www.bing.com/financeapi/forcetrigger?t=a26fww&amp;q=XNAS%3aZBRA&amp;form=skydnc</v>
    <v>Learn more on Bing</v>
  </rv>
  <rv s="1">
    <v>0</v>
    <v>1</v>
    <v>ZEBRA TECHNOLOGIES CORPORATION (XNAS:ZBRA)</v>
    <v>3</v>
    <v>4</v>
    <v>Finance</v>
    <v>19</v>
    <v>de-DE</v>
    <v>a26fww</v>
    <v>268435456</v>
    <v>1</v>
    <v>Unterstützt von Refinitiv</v>
    <v>352.66</v>
    <v>199.05</v>
    <v>-1.8</v>
    <v>-8.6090000000000003E-3</v>
    <v>49191700</v>
    <v>Zebra Technologies Corporation ist in der Branche der automatischen Identifikation und Datenerfassung (AIDC) tätig. Das Unternehmen unterstützt Organisationen bei der Überwachung, Vorwegnahme und Beschleunigung von Arbeitsabläufen, indem es ihre Mitarbeiter stärkt und sicherstellt, dass alle und alles sichtbar, vernetzt und vollständig optimiert ist. Das Portfolio umfasst Hardware, Software und Services. Das Unternehmen ist in zwei Segmenten tätig: Asset Intelligence &amp; Tracking (AIT) und Enterprise Visibility &amp; Mobility (EVM). Das Segment AIT beschäftigt sich mit Barcode-Druck und Technologien zur Anlagenverfolgung. Zu den Produktlinien gehören Barcode- und Kartendrucker, RFID-Geräte (Radio Frequency Identification Devices) und Echtzeit-Ortungssysteme (RTLS) sowie Zubehör, einschließlich Etiketten zur Temperaturüberwachung, und Services. Das Segment EVM beschäftigt sich mit Lösungen zur automatischen Informations- und Datenerfassung. Zu den Produktlinien gehören Mobile Computing, Datenerfassung, stationäres industrielles Scannen und maschinelles Sehen, Services und Lösungen zur Workflow-Optimierung.</v>
    <v>1.6551</v>
    <v>10196455576</v>
    <v>Nasdaq Stock Market</v>
    <v>XNAS</v>
    <v>XNAS</v>
    <v>3 Overlook Point, LINCOLNSHIRE, IL, 60069 US</v>
    <v>210.19</v>
    <v>Electronic Equipment &amp; Parts</v>
    <v>Aktie</v>
    <v>25.379000000000001</v>
    <v>1820</v>
    <v>46113.977013217191</v>
    <v>10700</v>
    <v>ZEBRA TECHNOLOGIES CORPORATION</v>
    <v>204.72</v>
    <v>ZEBRA TECHNOLOGIES CORPORATION</v>
    <v>208.91</v>
    <v>207.28</v>
    <v>209.08</v>
    <v>ZBRA</v>
    <v>ZEBRA TECHNOLOGIES CORPORATION (XNAS:ZBRA)</v>
    <v>1991</v>
    <v>708690</v>
    <v>751141</v>
    <v>USD</v>
  </rv>
  <rv s="2">
    <v>1821</v>
  </rv>
  <rv s="3">
    <fb>202.64</fb>
    <v>6</v>
  </rv>
  <rv s="0">
    <v>http://en.wikipedia.org/wiki/Qualcomm</v>
    <v>Wikipedia</v>
  </rv>
  <rv s="6">
    <v>35</v>
    <v>1824</v>
  </rv>
  <rv s="7">
    <v>18</v>
    <v>https://www.bing.com/th?id=AMMS_2b1c176dae370ecc0d55a1517537f595&amp;qlt=95</v>
    <v>1825</v>
    <v>0</v>
    <v>https://www.bing.com/images/search?form=xlimg&amp;q=qualcomm</v>
    <v>Image of QUALCOMM INCORPORATED</v>
  </rv>
  <rv s="0">
    <v>https://www.bing.com/financeapi/forcetrigger?t=a21k2w&amp;q=XNAS%3aQCOM&amp;form=skydnc</v>
    <v>Learn more on Bing</v>
  </rv>
  <rv s="8">
    <v>13</v>
    <v>14</v>
    <v>QUALCOMM INCORPORATED (XNAS:QCOM)</v>
    <v>16</v>
    <v>17</v>
    <v>Finance</v>
    <v>5</v>
    <v>de-DE</v>
    <v>a21k2w</v>
    <v>268435456</v>
    <v>1</v>
    <v>Unterstützt von Refinitiv</v>
    <v>205.95</v>
    <v>120.8019</v>
    <v>-1.5</v>
    <v>-1.1648E-2</v>
    <v>1067000000</v>
    <v>Qualcomm Incorporated ist in der Entwicklung und Vermarktung von grundlegenden Technologien für die drahtlose Industrie tätig, darunter drahtlose Konnektivität der dritten Generation (3G), vierten Generation (4G) und fünften Generation (5G) sowie Hochleistungs- und Low-Power-Computing, einschließlich künstlicher Intelligenz auf dem Gerät. Zu den Segmenten gehören Qualcomm CDMA Technologies (QCT), Qualcomm Technology Licensing (QTL) und Qualcomm Strategic Initiatives. QCT entwickelt und liefert integrierte Schaltkreise und Systemsoftware auf der Grundlage von 3G/4G/5G und anderen Technologien, einschließlich Hochfrequenz-Frontend, digitalem Cockpit und fortschrittlicher Fahrerassistenz und automatischem Fahren, Internet der Dinge einschließlich Unterhaltungselektronik, Industriegeräte und Edge-Netzwerkprodukte. QTL gewährt Lizenzen oder gewährt anderweitig Rechte zur Nutzung von Teilen seines Portfolios an geistigem Eigentum, die bestimmte Patentrechte enthalten, die für die Herstellung und den Verkauf bestimmter drahtloser Produkte von wesentlicher Bedeutung und/oder nützlich sind.</v>
    <v>1.2794000000000001</v>
    <v>1826</v>
    <v>135807760000</v>
    <v>Nasdaq Stock Market</v>
    <v>XNAS</v>
    <v>XNAS</v>
    <v>5775 Morehouse Drive, SAN DIEGO, CA, 92121 US</v>
    <v>130.22999999999999</v>
    <v>Semiconductors &amp; Semiconductor Equipment</v>
    <v>Aktie</v>
    <v>26.295300000000001</v>
    <v>1827</v>
    <v>46113.999765578126</v>
    <v>52000</v>
    <v>QUALCOMM INCORPORATED</v>
    <v>126.98</v>
    <v>QUALCOMM INCORPORATED</v>
    <v>128</v>
    <v>127.28</v>
    <v>128.78</v>
    <v>QCOM</v>
    <v>QUALCOMM INCORPORATED (XNAS:QCOM)</v>
    <v>1991</v>
    <v>9785</v>
    <v>12518220</v>
    <v>USD</v>
  </rv>
  <rv s="2">
    <v>1828</v>
  </rv>
  <rv s="3">
    <fb>127.11</fb>
    <v>6</v>
  </rv>
  <rv s="0">
    <v>https://www.bing.com/financeapi/forcetrigger?t=aw2c52&amp;q=XNYS%3aIQV&amp;form=skydnc</v>
    <v>Learn more on Bing</v>
  </rv>
  <rv s="1">
    <v>0</v>
    <v>1</v>
    <v>IQVIA HOLDINGS INC (XNYS:IQV)</v>
    <v>3</v>
    <v>4</v>
    <v>Finance</v>
    <v>5</v>
    <v>de-DE</v>
    <v>aw2c52</v>
    <v>268435456</v>
    <v>1</v>
    <v>Unterstützt von Refinitiv</v>
    <v>247.04499999999999</v>
    <v>134.64500000000001</v>
    <v>1.86</v>
    <v>1.0907E-2</v>
    <v>167866300</v>
    <v>IQVIA Holdings Inc. Ist ein Anbieter von fortschrittlichen Analytik-, Technologielösungen und klinischen Forschungsdienstleistungen für die Biowissenschaften-Industrie. Zu den Segmenten zählen Technologie- und Analyselösungen, Forschungs- und Entwicklungslösungen sowie Contract Sales &amp; Medical Solutions. Das Segment Technology &amp; Analytics Solutions bietet seinen Kunden im Bereich Life Science unternehmenskritische Informationen, Technologielösungen und praxisnahe Einblicke und Services. Das Segment Research &amp; Development Solutions bedient biopharmazeutische Kunden und bietet ausgelagerte Dienstleistungen für klinische Forschung und klinische Studien. Das Segment Contract Sales &amp; Medical Solutions bietet Gesundheitsdienstleistern (einschließlich Vertragsvertrieb) und Dienstleistungen zur Patientenbindung sowohl für biopharmazeutische Kunden als auch für den breiteren Gesundheitsmarkt. Die Connected Intelligence liefert Erkenntnisse und Lösungen, die es Kunden ermöglichen, die klinische Entwicklung und Kommerzialisierung medizinischer Behandlungen zu beschleunigen, die die Behandlungsergebnisse für Patienten verbessern.</v>
    <v>1.3913</v>
    <v>28940150120</v>
    <v>New York Stock Exchange</v>
    <v>XNYS</v>
    <v>XNYS</v>
    <v>2400 ELLIS ROAD, DURHAM, NC, 27703 US</v>
    <v>174.27</v>
    <v>Biotechnology &amp; Medical Research</v>
    <v>Aktie</v>
    <v>21.9937</v>
    <v>1831</v>
    <v>46113.986587453124</v>
    <v>93000</v>
    <v>IQVIA HOLDINGS INC</v>
    <v>169.78</v>
    <v>IQVIA HOLDINGS INC</v>
    <v>171.86</v>
    <v>172.4</v>
    <v>170.54</v>
    <v>IQV</v>
    <v>IQVIA HOLDINGS INC (XNYS:IQV)</v>
    <v>2016</v>
    <v>1</v>
    <v>1923411</v>
    <v>USD</v>
  </rv>
  <rv s="2">
    <v>1832</v>
  </rv>
  <rv s="3">
    <fb>163.85</fb>
    <v>6</v>
  </rv>
  <rv s="0">
    <v>https://www.bing.com/financeapi/forcetrigger?t=a213kr&amp;q=XNAS%3aPOOL&amp;form=skydnc</v>
    <v>Learn more on Bing</v>
  </rv>
  <rv s="1">
    <v>0</v>
    <v>1</v>
    <v>POOL CORPORATION (XNAS:POOL)</v>
    <v>3</v>
    <v>4</v>
    <v>Finance</v>
    <v>5</v>
    <v>de-DE</v>
    <v>a213kr</v>
    <v>268435456</v>
    <v>1</v>
    <v>Unterstützt von Refinitiv</v>
    <v>345</v>
    <v>197.125</v>
    <v>-2.25</v>
    <v>-1.1120000000000001E-2</v>
    <v>36700580</v>
    <v>Pool Corporation ist ein Großhändler für Schwimmbadzubehör, -ausrüstung und zugehörige Freizeitprodukte. Das Unternehmen vertreibt in den USA auch Bewässerungs- und Landschaftsprodukte. Das Unternehmen betreibt über seine fünf Vertriebsnetze rund 448 Verkaufszentren in Nordamerika, Europa und Australien: SCP Distributors (SCP), Superior Pool Products (Superior), Horizon Distributors (Horizon), National Pool Tile (NPT) und Sun Wholesale Supply (Sun Wholesale). Das Unternehmen vertreibt Schwimmbadzubehör, -ausrüstung und zugehörige Freizeitprodukte im Inland über seine Vertriebsnetze SCP und Superior. Seine Horizon-Verkaufszentren bieten organische Düngemittel, organische Pestizide sowie Bewässerungs- und Entwässerungsprodukte zur Reduzierung des Wasserverbrauchs und der Bodenerosion. Sun Wholesale vertreibt Schwimmbadzubehör, -ausrüstung und zugehörige Freizeitprodukte und beliefert hauptsächlich die unabhängigen Franchise-Standorte von Pinch A Penny, Inc.</v>
    <v>1.2624</v>
    <v>7343052046</v>
    <v>Nasdaq Stock Market</v>
    <v>XNAS</v>
    <v>XNAS</v>
    <v>109 Northpark Boulevard, COVINGTON, LA, 70433-5001 US</v>
    <v>203.83</v>
    <v>Leisure Products</v>
    <v>Aktie</v>
    <v>18.4724</v>
    <v>1835</v>
    <v>46113.971487245311</v>
    <v>6000</v>
    <v>POOL CORPORATION</v>
    <v>199.92</v>
    <v>POOL CORPORATION</v>
    <v>202.48</v>
    <v>200.08</v>
    <v>202.33</v>
    <v>POOL</v>
    <v>POOL CORPORATION (XNAS:POOL)</v>
    <v>1993</v>
    <v>61</v>
    <v>757088</v>
    <v>USD</v>
  </rv>
  <rv s="2">
    <v>1836</v>
  </rv>
  <rv s="3">
    <fb>198.74</fb>
    <v>6</v>
  </rv>
  <rv s="0">
    <v>https://www.bing.com/financeapi/forcetrigger?t=a21d7w&amp;q=XNAS%3aPTC&amp;form=skydnc</v>
    <v>Learn more on Bing</v>
  </rv>
  <rv s="1">
    <v>0</v>
    <v>1</v>
    <v>PTC INC. (XNAS:PTC)</v>
    <v>3</v>
    <v>4</v>
    <v>Finance</v>
    <v>19</v>
    <v>de-DE</v>
    <v>a21d7w</v>
    <v>268435456</v>
    <v>1</v>
    <v>Unterstützt von Refinitiv</v>
    <v>219.69</v>
    <v>133.38</v>
    <v>0.03</v>
    <v>2.1049999999999999E-4</v>
    <v>118996100</v>
    <v>PTC Inc. ist ein weltweit tätiges Softwareunternehmen, das es Industrie- und Fertigungsunternehmen ermöglicht, die Art und Weise, wie sie physische Produkte entwickeln, herstellen und warten, digital zu verändern. Die Lösungen des Portfolios für computergestütztes Design (CAD) ermöglichen es Unternehmen, Produktdaten zu erstellen. Die Lösungen des PLM-Portfolios (Product Lifecycle Management) ermöglichen es Unternehmen, Produktdaten zu verwalten und Prozesse zu orchestrieren. Die Software kann vor Ort, in der Cloud oder in einem Hybridmodell bereitgestellt werden. Zu den PLM-Produkten und -Dienstleistungen gehören Windchill PLM, ThingWorx, ServiceMax, Arena, Codebeamer, Servigistics, FlexPLM und Kepware. Zu den CAD-Produkten und -Dienstleistungen gehören Creo 3D, Onshape, Vuforia und Arbortext. Die Windchill PLM-Anwendungssuite verwaltet alle Aspekte des Produktentwicklungslebenszyklus - vom Konzept bis zur Wartung und Ausmusterung - indem sie einen digitalen Faden von Produktteilen, Materialien und Konfigurationsinformationen ermöglicht. Die ThingWorx-Plattform ist flexibel und wurde speziell für das industrielle Internet der Dinge entwickelt.</v>
    <v>1.0577000000000001</v>
    <v>16959324172</v>
    <v>Nasdaq Stock Market</v>
    <v>XNAS</v>
    <v>XNAS</v>
    <v>121 Seaport Blvd., BOSTON, MA, 02210 US</v>
    <v>143.94999999999999</v>
    <v>Software &amp; IT Services</v>
    <v>Aktie</v>
    <v>20.9923</v>
    <v>1839</v>
    <v>46113.924365103907</v>
    <v>7642</v>
    <v>PTC INC.</v>
    <v>140.11000000000001</v>
    <v>PTC INC.</v>
    <v>142.49</v>
    <v>142.52000000000001</v>
    <v>142.49</v>
    <v>PTC</v>
    <v>PTC INC. (XNAS:PTC)</v>
    <v>1985</v>
    <v>770929</v>
    <v>1126874</v>
    <v>USD</v>
  </rv>
  <rv s="2">
    <v>1840</v>
  </rv>
  <rv s="3">
    <fb>137.61000000000001</fb>
    <v>6</v>
  </rv>
  <rv s="0">
    <v>https://www.bing.com/financeapi/forcetrigger?t=a1tvzr&amp;q=XNYS%3aGIS&amp;form=skydnc</v>
    <v>Learn more on Bing</v>
  </rv>
  <rv s="1">
    <v>0</v>
    <v>1</v>
    <v>GENERAL MILLS, INC. (XNYS:GIS)</v>
    <v>3</v>
    <v>4</v>
    <v>Finance</v>
    <v>5</v>
    <v>de-DE</v>
    <v>a1tvzr</v>
    <v>268435456</v>
    <v>1</v>
    <v>Unterstützt von Refinitiv</v>
    <v>62.61</v>
    <v>35.634999999999998</v>
    <v>-0.01</v>
    <v>-2.6870000000000003E-4</v>
    <v>533681200</v>
    <v>General Mills, Inc. Ist ein weltweit tätiger Hersteller und Vermarkter von Markenprodukten für Konsumgüter. Zu den Segmenten gehören North America Retail, International, North America PET und North America Foodservice. Das Segment North America Retail spiegelt das Geschäft mit einer Vielzahl von Lebensmittelgeschäften, Massenwarenhändlern, Mitgliedsläden, natürlichen Lebensmittelketten, Drogen-, Dollar- und Rabattketten, 24-Stunden-Geschäfte und E-Commerce-Lebensmittelanbieter. Das Segment International umfasst Einzelhandel und Gastronomie außerhalb der USA und Kanadas. Zu den Produktkategorien gehören erstklassiges Eis und Tiefkühldesserts, Essenskits, salzige Snacks, Snackbars, Dessert- und Backmischungen sowie haltbares Gemüse. Das Segment Heimtierfutter in Nordamerika umfasst Heimtierfutterprodukte, die in den USA und Kanada in nationalen Haustiereinzelhandelsketten, E-Commerce-Einzelhändlern und Lebensmittelgeschäften verkauft werden. Die Produktkategorien des Produktsegments North America Foodservice umfassen verzehrfertige Müsli, Snacks und Backmischungen.</v>
    <v>0</v>
    <v>19858277452</v>
    <v>New York Stock Exchange</v>
    <v>XNYS</v>
    <v>XNYS</v>
    <v>Number One General Mills Blvd, MINNEAPOLIS, MN, 55426 US</v>
    <v>37.409999999999997</v>
    <v>Food &amp; Tobacco</v>
    <v>Aktie</v>
    <v>7.9831000000000003</v>
    <v>1843</v>
    <v>46113.995821700781</v>
    <v>33000</v>
    <v>GENERAL MILLS, INC.</v>
    <v>36.57</v>
    <v>GENERAL MILLS, INC.</v>
    <v>37.06</v>
    <v>37.21</v>
    <v>37.22</v>
    <v>GIS</v>
    <v>GENERAL MILLS, INC. (XNYS:GIS)</v>
    <v>1928</v>
    <v>56</v>
    <v>10190504</v>
    <v>USD</v>
  </rv>
  <rv s="2">
    <v>1844</v>
  </rv>
  <rv s="3">
    <fb>36.450000000000003</fb>
    <v>6</v>
  </rv>
  <rv s="0">
    <v>https://www.bing.com/financeapi/forcetrigger?t=a1zgm7&amp;q=XNAS%3aPANW&amp;form=skydnc</v>
    <v>Learn more on Bing</v>
  </rv>
  <rv s="1">
    <v>0</v>
    <v>1</v>
    <v>PALO ALTO NETWORKS, INC. (XNAS:PANW)</v>
    <v>3</v>
    <v>4</v>
    <v>Finance</v>
    <v>5</v>
    <v>de-DE</v>
    <v>a1zgm7</v>
    <v>268435456</v>
    <v>1</v>
    <v>Unterstützt von Refinitiv</v>
    <v>223.61</v>
    <v>139.57060000000001</v>
    <v>0.35</v>
    <v>2.183E-3</v>
    <v>811000000</v>
    <v>Palo Alto Networks, Inc. Bietet umfassende Sicherheitslösungen auf Basis künstlicher Intelligenz (KI) für Netzwerk, Cloud, Sicherheitsvorgänge und KI. Das Unternehmen konzentriert sich auf vier Bereiche: Netzwerksicherheit, Cloud-Sicherheit, Security Operations und Threat Intelligence and Advisory Services (Einheit 42). Die Netzwerksicherheitsplattform umfasst ML-basierte Firewalls, AI Runtime Security und ein SASE-Framework (Secure Access Service Edge), das Prisma Access, Prisma SD-WAN und Prisma Access Browser umfasst, um Remote-Mitarbeiter und Zweigstellen zu schützen. Die Cloud-Sicherheit wird über Prisma Cloud bereitgestellt, eine Code-to-Cloud-Plattform, die Anwendungen, Daten, GenAI-Umgebungen und den Cloud-nativen Stack während des gesamten Entwicklungslebenszyklus schützt. Der Geschäftsbereich Unit 42 bietet Intelligence-geführte Beratung, Vorfallsreaktion, verwaltete Erkennung und Reaktion sowie Services zur Bedrohungssuche. Prisma ALES ist eine KI-Sicherheitsplattform, die Anwendungen, Agenten, Modelle und Daten schützt.</v>
    <v>0.76629999999999998</v>
    <v>130303369999</v>
    <v>Nasdaq Stock Market</v>
    <v>XNAS</v>
    <v>XNAS</v>
    <v>3000 Tannery Way, SANTA CLARA, CA, 95054 US</v>
    <v>161.79499999999999</v>
    <v>Software &amp; IT Services</v>
    <v>Aktie</v>
    <v>88.966999999999999</v>
    <v>1847</v>
    <v>46113.999857962503</v>
    <v>17027</v>
    <v>PALO ALTO NETWORKS, INC.</v>
    <v>157.30000000000001</v>
    <v>PALO ALTO NETWORKS, INC.</v>
    <v>161.44499999999999</v>
    <v>160.66999999999999</v>
    <v>160.32</v>
    <v>PANW</v>
    <v>PALO ALTO NETWORKS, INC. (XNAS:PANW)</v>
    <v>2005</v>
    <v>8932</v>
    <v>8460478</v>
    <v>USD</v>
  </rv>
  <rv s="2">
    <v>1848</v>
  </rv>
  <rv s="3">
    <fb>147.02000000000001</fb>
    <v>6</v>
  </rv>
  <rv s="0">
    <v>https://www.bing.com/financeapi/forcetrigger?t=bq8rqh&amp;q=XNAS%3aCRWD&amp;form=skydnc</v>
    <v>Learn more on Bing</v>
  </rv>
  <rv s="1">
    <v>0</v>
    <v>1</v>
    <v>CROWDSTRIKE HOLDINGS, INC. (XNAS:CRWD)</v>
    <v>3</v>
    <v>4</v>
    <v>Finance</v>
    <v>5</v>
    <v>de-DE</v>
    <v>bq8rqh</v>
    <v>268435456</v>
    <v>1</v>
    <v>Unterstützt von Refinitiv</v>
    <v>566.9</v>
    <v>298</v>
    <v>2.9</v>
    <v>7.4280000000000006E-3</v>
    <v>253614100</v>
    <v>CrowdStrike Holdings, Inc. Ist ein weltweit tätiges Unternehmen für Cybersicherheit, das Cloud-basierten Schutz von Endpoints, Cloud-Workloads, Identitäten und Daten bietet. Die Falcon-Plattform wurde speziell für die Konsolidierung der Cybersicherheit entwickelt und wurde speziell entwickelt, um Sicherheitsverletzungen zu verhindern. Die Plattformen erfassen und integrieren Daten aus dem gesamten Unternehmen, einschließlich Endpoints, Cloud-Workloads, Identitäten und Quellen von Drittanbietern. Es bietet 29 Cloud-Module auf seiner Falcon-Plattform über ein SaaS-Abonnement (Software as a Service) an, das mehrere große Märkte abdeckt, darunter Unternehmensendpoint- und Cloud-Workload-Sicherheit, Managed Security Services, Security and Vulnerability Management, IT-Betriebsmanagement (IT), Identitätsschutz, Security Information and Event Management (SIEM) und Protokollmanagement der nächsten Generation, Threat Intelligence Services, Datenschutz, SaaS Security Posture Management, Automatisierung und Reaktion (SOAR) und Workflowautomatisierung auf künstlicher Intelligenz.</v>
    <v>1.0727</v>
    <v>99748961671</v>
    <v>Nasdaq Stock Market</v>
    <v>XNAS</v>
    <v>XNAS</v>
    <v>206 E. 9TH STREET, SUITE 1400, AUSTIN, TX, 78701 US</v>
    <v>396.94</v>
    <v>Software &amp; IT Services</v>
    <v>Aktie</v>
    <v>0</v>
    <v>1851</v>
    <v>46113.999874524998</v>
    <v>10698</v>
    <v>CROWDSTRIKE HOLDINGS, INC.</v>
    <v>386.37009999999998</v>
    <v>CROWDSTRIKE HOLDINGS, INC.</v>
    <v>396.75</v>
    <v>393.31</v>
    <v>390.41</v>
    <v>CRWD</v>
    <v>CROWDSTRIKE HOLDINGS, INC. (XNAS:CRWD)</v>
    <v>2011</v>
    <v>10622</v>
    <v>4366738</v>
    <v>USD</v>
  </rv>
  <rv s="2">
    <v>1852</v>
  </rv>
  <rv s="3">
    <fb>369.58</fb>
    <v>6</v>
  </rv>
  <rv s="0">
    <v>https://www.bing.com/financeapi/forcetrigger?t=a1mthw&amp;q=XNYS%3aACN&amp;form=skydnc</v>
    <v>Learn more on Bing</v>
  </rv>
  <rv s="1">
    <v>0</v>
    <v>1</v>
    <v>ACCENTURE PUBLIC LIMITED COMPANY (XNYS:ACN)</v>
    <v>3</v>
    <v>4</v>
    <v>Finance</v>
    <v>5</v>
    <v>de-DE</v>
    <v>a1mthw</v>
    <v>268435456</v>
    <v>1</v>
    <v>Unterstützt von Refinitiv</v>
    <v>325.70999999999998</v>
    <v>187</v>
    <v>-1.23</v>
    <v>-6.2029999999999993E-3</v>
    <v>613939300</v>
    <v>Accenture plc ist ein weltweit tätiges Dienstleistungsunternehmen. Das Unternehmen bietet eine Reihe von Services und Lösungen in den Bereichen Strategie und Beratung, Technologie, Betrieb, Industrie X und Song. Zu den Services gehören Anwendungsservices, künstliche Intelligenz, Automatisierung, Outsourcing von Geschäftsprozessen, Geschäftsstrategie, Change Management, Cloud, Customer Experience, Daten und Analysen, Ökosystempartner, Finanzberatung, Industrie X, Infrastruktur, Marketing, Fusionen und Übernahmen, Betriebsmodelle, Sicherheit, Supply Chain Management, Nachhaltigkeit, Technologieberatung, Technologieinnovation und Zero-Based Budgeting (ZBB). Das Unternehmen ist auf die SAP-Plattform für Geschäftstechnologien spezialisiert, die digitale Produkte und Erlebnisse für Unternehmenskunden entwickelt, einschließlich kundenspezifischer Portale, Weblösungen und mobiler Anwendungen. Sie bietet Kunden quantitative und qualitative Risikomanagement- und Compliance-Services. Es ist auf Beratung, Management-Services und Cybersicherheit spezialisiert.</v>
    <v>1.2363999999999999</v>
    <v>120982878458</v>
    <v>New York Stock Exchange</v>
    <v>XNYS</v>
    <v>XNYS</v>
    <v>1 Grand Canal Square, Grand Canal Harbour, Dublin 2, DUBLIN, DUBLIN IE</v>
    <v>198.5</v>
    <v>Software &amp; IT Services</v>
    <v>Aktie</v>
    <v>16.291599999999999</v>
    <v>1855</v>
    <v>46113.999680532033</v>
    <v>779000</v>
    <v>ACCENTURE PUBLIC LIMITED COMPANY</v>
    <v>192</v>
    <v>ACCENTURE PUBLIC LIMITED COMPANY</v>
    <v>197.14</v>
    <v>197.06</v>
    <v>198.29</v>
    <v>ACN</v>
    <v>ACCENTURE PUBLIC LIMITED COMPANY (XNYS:ACN)</v>
    <v>2009</v>
    <v>272</v>
    <v>8286101</v>
    <v>USD</v>
  </rv>
  <rv s="2">
    <v>1856</v>
  </rv>
  <rv s="3">
    <fb>192.6</fb>
    <v>6</v>
  </rv>
  <rv s="0">
    <v>http://de.wikipedia.org/wiki/Lennar</v>
    <v>Wikipedia</v>
  </rv>
  <rv s="6">
    <v>35</v>
    <v>1859</v>
  </rv>
  <rv s="7">
    <v>18</v>
    <v>https://www.bing.com/th?id=AMMS_53583359b2caf7766f03578d319fe529&amp;qlt=95</v>
    <v>1860</v>
    <v>0</v>
    <v>https://www.bing.com/images/search?form=xlimg&amp;q=lennar+corporation</v>
    <v>Image of LENNAR CORPORATION</v>
  </rv>
  <rv s="0">
    <v>https://www.bing.com/financeapi/forcetrigger?t=a1wucw&amp;q=XNYS%3aLEN&amp;form=skydnc</v>
    <v>Learn more on Bing</v>
  </rv>
  <rv s="8">
    <v>13</v>
    <v>14</v>
    <v>LENNAR CORPORATION (XNYS:LEN)</v>
    <v>16</v>
    <v>17</v>
    <v>Finance</v>
    <v>5</v>
    <v>de-DE</v>
    <v>a1wucw</v>
    <v>268435456</v>
    <v>1</v>
    <v>Unterstützt von Refinitiv</v>
    <v>144.23500000000001</v>
    <v>84.38</v>
    <v>-1.4</v>
    <v>-1.6122000000000001E-2</v>
    <v>247621200</v>
    <v>Lennar Corporation baut Häuser und vergibt Hypothekendarlehen für Wohn- und Gewerbeimmobilien. Das Unternehmen ist auch ein Anbieter von Rechtsschutzversicherungen und Abschlussdienstleistungen und ein Entwickler von Mehrfamilien-Mietimmobilien. Zu den Segmenten des Unternehmens gehören Homebuilding East, Homebuilding Central, Homebuilding Texas, Homebuilding West, Financial Services, Multifamily und Lennar Others. Die Homebuilding-Segmente umfassen in erster Linie den Bau und Verkauf von Ein- und Zweifamilienhäusern sowie den Kauf, die Erschließung und den Verkauf von Wohnbauland direkt oder über nicht konsolidierte Unternehmen. Das Financial Services-Segment des Unternehmens bietet in erster Linie Hypothekenfinanzierungen, Eigentums- und Abschlussdienstleistungen für Käufer von Eigenheimen sowie Sach- und Unfallversicherungen an. Das Segment Multifamily des Unternehmens befasst sich mit der Entwicklung, dem Bau und der Verwaltung von Mehrfamilien-Mietobjekten. Das Segment Lennar Other umfasst Fondsanlagen.</v>
    <v>1.4938</v>
    <v>1861</v>
    <v>21156755328</v>
    <v>New York Stock Exchange</v>
    <v>XNYS</v>
    <v>XNYS</v>
    <v>5505 WATERFORD DISTRICT DRIVE, MIAMI, FL, 33126 US</v>
    <v>87.614999999999995</v>
    <v>Homebuilding &amp; Construction Supplies</v>
    <v>Aktie</v>
    <v>10.6953</v>
    <v>1862</v>
    <v>46113.999579120311</v>
    <v>12532</v>
    <v>LENNAR CORPORATION</v>
    <v>85.306299999999993</v>
    <v>LENNAR CORPORATION</v>
    <v>86.88</v>
    <v>85.44</v>
    <v>86.84</v>
    <v>LEN</v>
    <v>LENNAR CORPORATION (XNYS:LEN)</v>
    <v>1991</v>
    <v>849</v>
    <v>3407464</v>
    <v>USD</v>
  </rv>
  <rv s="2">
    <v>1863</v>
  </rv>
  <rv s="3">
    <fb>90.25</fb>
    <v>6</v>
  </rv>
  <rv s="0">
    <v>https://www.bing.com/financeapi/forcetrigger?t=a1qc1h&amp;q=XNYS%3aCRM&amp;form=skydnc</v>
    <v>Learn more on Bing</v>
  </rv>
  <rv s="1">
    <v>0</v>
    <v>1</v>
    <v>SALESFORCE, INC. (XNYS:CRM)</v>
    <v>3</v>
    <v>4</v>
    <v>Finance</v>
    <v>5</v>
    <v>de-DE</v>
    <v>a1qc1h</v>
    <v>268435456</v>
    <v>1</v>
    <v>Unterstützt von Refinitiv</v>
    <v>296.05</v>
    <v>174.57</v>
    <v>-0.43</v>
    <v>-2.3040000000000001E-3</v>
    <v>923000000</v>
    <v>Salesforce, Inc. Ist ein Anbieter von CRM-Technologie (Customer Relationship Management). Das Unternehmen unterstützt Unternehmen jeder Größe bei der Neuausrichtung ihres Unternehmens für die Welt der künstlichen Intelligenz (KI). Mit Agentforce, der Plattform, können Unternehmen Menschen mit KI-Agenten zusammenbringen, um den Kundenerfolg auf einer einheitlichen Plattform zu fördern. Mit der Salesforce-Plattform stellt sie eine zentrale Quelle der Wahrheit bereit und verbindet Kundendaten mit integrierter KI über Systeme, Apps und Geräte hinweg, um Unternehmen bei Verkauf, Service, Vermarktung und Geschäftsabwicklung von überall aus zu unterstützen. Agentforce ist eine neue Ebene der Salesforce-Plattform, die es Unternehmen ermöglicht, KI-Agenten zu erstellen und bereitzustellen, die auf Eingaben reagieren, Entscheidungen treffen und autonom handeln können. Agentforce enthält eine Suite anpassbarer Agenten für Vertrieb, Service, Marketing und Handel. Datablazer ist ein datenbasierter Innovator, der die Plattform des Unternehmens nutzt, um Erkenntnisse zu gewinnen und Entscheidungen zu treffen.</v>
    <v>1.2885</v>
    <v>171899520000</v>
    <v>New York Stock Exchange</v>
    <v>XNYS</v>
    <v>XNYS</v>
    <v>SALESFORCE TOWER, 415 MISSION STREET 3RD FL, SAN FRANCISCO, CA, 94105 US</v>
    <v>188.98</v>
    <v>Software &amp; IT Services</v>
    <v>Aktie</v>
    <v>23.851199999999999</v>
    <v>1866</v>
    <v>46113.999857106253</v>
    <v>83334</v>
    <v>SALESFORCE, INC.</v>
    <v>183.01</v>
    <v>SALESFORCE, INC.</v>
    <v>186.85</v>
    <v>186.24</v>
    <v>186.67</v>
    <v>CRM</v>
    <v>SALESFORCE, INC. (XNYS:CRM)</v>
    <v>1999</v>
    <v>6670</v>
    <v>14164660</v>
    <v>USD</v>
  </rv>
  <rv s="2">
    <v>1867</v>
  </rv>
  <rv s="3">
    <fb>179.31</fb>
    <v>6</v>
  </rv>
  <rv s="0">
    <v>https://www.bing.com/financeapi/forcetrigger?t=a1q7jc&amp;q=XNYS%3aCPB&amp;form=skydnc</v>
    <v>Learn more on Bing</v>
  </rv>
  <rv s="1">
    <v>0</v>
    <v>1</v>
    <v>THE CAMPBELL'S COMPANY (XNAS:CPB)</v>
    <v>3</v>
    <v>4</v>
    <v>Finance</v>
    <v>5</v>
    <v>de-DE</v>
    <v>a1q7jc</v>
    <v>268435456</v>
    <v>1</v>
    <v>Unterstützt von Refinitiv</v>
    <v>40.44</v>
    <v>20.62</v>
    <v>0.11</v>
    <v>4.9389999999999998E-3</v>
    <v>298146500</v>
    <v>Die Campbell's Company, früher Campbell Soup Company, bietet preiswerte Speisen und Getränke. Das Unternehmen konzentriert sich auf die Marke Powerhouse in zwei Geschäftsbereichen: Mahlzeiten &amp; Getränke und Snacks. Das Portfolio des Unternehmens umfasst etwa 16 Marken wie Campbell's, Cape Cod, Chunky, Goldfish, Kettle Brand, Lance, Ende Juli, Pace, Pacific Foods, Pepperidge Farm, Prego, Rao's, Snyder Factory Bretzel Crisps, Snyder's aus Hannover, Swanson und V8. Es bietet nahrhafte, praktische Speisen für kanadische Familien. Der Geschäftsbereich North American Foodservice bietet Lebensmittel, Rezepte und maßgeschneiderte Lösungen für eine Vielzahl von Segmenten an, darunter Gesundheitseinrichtungen, Restaurants und Spezialitätencafés, Schulen, Verkaufsautomaten und Mikromärkte sowie Unterkünfte in ganz Nordamerika. Pacific Foods ist ein Hersteller von Bio-Brühe und Suppen. Die Suppen bieten eine große Auswahl an leckeren Bio- und pflanzlichen Gerichten, darunter cremig geröstete rote Paprika und Tomaten sowie neue servierfertige Suppen aus Dosen.</v>
    <v>2.4899999999999999E-2</v>
    <v>6672518670</v>
    <v>Nasdaq Stock Market</v>
    <v>XNAS</v>
    <v>XNAS</v>
    <v>Campbell Pl, CAMDEN, NJ, 08103 US</v>
    <v>22.46</v>
    <v>Food &amp; Tobacco</v>
    <v>Aktie</v>
    <v>11.3864</v>
    <v>1870</v>
    <v>46113.99832570547</v>
    <v>13700</v>
    <v>THE CAMPBELL'S COMPANY</v>
    <v>21.84</v>
    <v>THE CAMPBELL'S COMPANY</v>
    <v>22.15</v>
    <v>22.38</v>
    <v>22.27</v>
    <v>CPB</v>
    <v>THE CAMPBELL'S COMPANY (XNAS:CPB)</v>
    <v>1922</v>
    <v>31</v>
    <v>10929976</v>
    <v>USD</v>
  </rv>
  <rv s="2">
    <v>1871</v>
  </rv>
  <rv s="3">
    <fb>21.99</fb>
    <v>6</v>
  </rv>
  <rv s="0">
    <v>https://www.bing.com/financeapi/forcetrigger?t=a1swsm&amp;q=XNYS%3aFIS&amp;form=skydnc</v>
    <v>Learn more on Bing</v>
  </rv>
  <rv s="11">
    <v>33</v>
    <v>34</v>
    <v>FIDELITY NATIONAL INFORMATION SERVICES, INC. (XNYS:FIS)</v>
    <v>3</v>
    <v>35</v>
    <v>Finance</v>
    <v>36</v>
    <v>de-DE</v>
    <v>a1swsm</v>
    <v>268435456</v>
    <v>1</v>
    <v>Unterstützt von Refinitiv</v>
    <v>82.74</v>
    <v>44.561999999999998</v>
    <v>-1.74</v>
    <v>-3.7092E-2</v>
    <v>514403700</v>
    <v>Fidelity National Information Services, Inc. ist ein Finanztechnologieunternehmen, das Lösungen für Finanzinstitute, Unternehmen und Entwickler anbietet. Zu den Geschäftsbereichen des Unternehmens gehören Banking Solutions (Banking), Capital Market Solutions (Capital Markets) sowie Corporate und Other. Das Segment Banking konzentriert sich auf die Versorgung von Finanzinstituten mit Kernverarbeitungssoftware, Transaktionsverarbeitungssoftware und ergänzenden Anwendungen und Dienstleistungen, von denen viele direkt mit der Kernverarbeitungssoftware interagieren. Das Unternehmen vertreibt diese Lösungen entweder gebündelt oder als Einzellösungen. Das Segment Capital Markets konzentriert sich darauf, globale Finanzdienstleistungskunden und Unternehmen mit einer Reihe von Buy- und Sell-Side-, Treasury-, Risikomanagement- und Kreditlösungen zu bedienen. Die Lösungen umfassen eine Vielzahl von geschäftskritischen Buy- und Sell-Side-Anwendungen für Recordkeeping, Daten und Analysen, Handel und Finanzierung sowie Corporate Treasury- und Risikomanagement-Anwendungen.</v>
    <v>0.91390000000000005</v>
    <v>23235615129</v>
    <v>New York Stock Exchange</v>
    <v>XNYS</v>
    <v>XNYS</v>
    <v>347 Riverside Avenue, JACKSONVILLE, FL, 32202 US</v>
    <v>47.02</v>
    <v>Financial Technology (Fintech) &amp; Infrastructure</v>
    <v>Aktie</v>
    <v>62.219299999999997</v>
    <v>1874</v>
    <v>46113.997646875003</v>
    <v>44000</v>
    <v>FIDELITY NATIONAL INFORMATION SERVICES, INC.</v>
    <v>44.561999999999998</v>
    <v>FIDELITY NATIONAL INFORMATION SERVICES, INC.</v>
    <v>46.92</v>
    <v>45.17</v>
    <v>44.9</v>
    <v>46.91</v>
    <v>FIS</v>
    <v>FIDELITY NATIONAL INFORMATION SERVICES, INC. (XNYS:FIS)</v>
    <v>2001</v>
    <v>-0.27</v>
    <v>-5.9769999999999997E-3</v>
    <v>7528704</v>
    <v>6053727</v>
    <v>USD</v>
  </rv>
  <rv s="2">
    <v>1875</v>
  </rv>
  <rv s="3">
    <fb>46.89</fb>
    <v>6</v>
  </rv>
  <rv s="0">
    <v>https://www.bing.com/financeapi/forcetrigger?t=a1s2fr&amp;q=XNYS%3aEPAM&amp;form=skydnc</v>
    <v>Learn more on Bing</v>
  </rv>
  <rv s="11">
    <v>33</v>
    <v>34</v>
    <v>EPAM SYSTEMS, INC. (XNYS:EPAM)</v>
    <v>3</v>
    <v>35</v>
    <v>Finance</v>
    <v>36</v>
    <v>de-DE</v>
    <v>a1s2fr</v>
    <v>268435456</v>
    <v>1</v>
    <v>Unterstützt von Refinitiv</v>
    <v>222.53</v>
    <v>125.57</v>
    <v>-0.28000000000000003</v>
    <v>-2.068E-3</v>
    <v>54139970</v>
    <v>EPAM Systems, Inc. Ist ein globaler Anbieter von Digital Engineering-, Cloud- und KI-basierten Transformationsservices und ist ein Business and Experience Consulting Partner für globale Unternehmen und Start-ups. Das Unternehmen bewältigt die Transformationsherausforderungen seiner Kunden, indem es die integrierte Strategie, Erfahrung und Technologieberatung von EPAM Continuum zusammenführt. Über Plattformen wie EPAM AI/RUN und Initiativen wie DIALX Lab integriert das Unternehmen fortschrittliche KI-Technologien in maßgeschneiderte Geschäftsstrategien, wodurch die Auswirkungen der Branche gesteigert und kontinuierliche Innovationen gefördert werden. Zu den Strategieservices gehören die Optimierung für Wachstum, Talentförderung, Fusionen und Akquisitionen, Projekt-zu-Produkt, generative KI-Beratung, und transformative Forschung und Erkenntnisse. Die Engineering-Services umfassen Plattform- und Produktentwicklung, agile Arbeitsweisen, Qualitätstechnik, Open Source und Metaverse. Es bedient verschiedene Branchen, darunter Finanzdienstleistungen, Telekommunikation, Medien und Unterhaltung sowie Life Sciences &amp; Healthcare.</v>
    <v>1.7298</v>
    <v>7315392746</v>
    <v>New York Stock Exchange</v>
    <v>XNYS</v>
    <v>XNYS</v>
    <v>SUITE 202, 41 UNIVERSITY DRIVE, NEWTOWN, PA, 18940 US</v>
    <v>136.62</v>
    <v>Software &amp; IT Services</v>
    <v>Aktie</v>
    <v>20.0763</v>
    <v>1878</v>
    <v>46113.996978599222</v>
    <v>62850</v>
    <v>EPAM SYSTEMS, INC.</v>
    <v>130.9</v>
    <v>EPAM SYSTEMS, INC.</v>
    <v>135.41999999999999</v>
    <v>135.12</v>
    <v>135.4</v>
    <v>135.4</v>
    <v>EPAM</v>
    <v>EPAM SYSTEMS, INC. (XNYS:EPAM)</v>
    <v>2002</v>
    <v>0.28000000000000003</v>
    <v>2.0720000000000001E-3</v>
    <v>934727</v>
    <v>1261116</v>
    <v>USD</v>
  </rv>
  <rv s="2">
    <v>1879</v>
  </rv>
  <rv s="3">
    <fb>135.19</fb>
    <v>6</v>
  </rv>
  <rv s="0">
    <v>https://en.wikipedia.org/wiki/Microsoft</v>
    <v>Wikipedia</v>
  </rv>
  <rv s="6">
    <v>35</v>
    <v>1882</v>
  </rv>
  <rv s="7">
    <v>18</v>
    <v>https://www.bing.com/th?id=AMMS_e6e837c7bf3a77408619758b7447855a&amp;qlt=95</v>
    <v>1883</v>
    <v>0</v>
    <v>https://www.bing.com/images/search?form=xlimg&amp;q=microsoft</v>
    <v>Image of MICROSOFT CORPORATION</v>
  </rv>
  <rv s="0">
    <v>https://www.bing.com/financeapi/forcetrigger?t=a1xzim&amp;q=XNAS%3aMSFT&amp;form=skydnc</v>
    <v>Learn more on Bing</v>
  </rv>
  <rv s="8">
    <v>13</v>
    <v>14</v>
    <v>MICROSOFT CORPORATION (XNAS:MSFT)</v>
    <v>16</v>
    <v>17</v>
    <v>Finance</v>
    <v>5</v>
    <v>de-DE</v>
    <v>a1xzim</v>
    <v>268435456</v>
    <v>1</v>
    <v>Unterstützt von Refinitiv</v>
    <v>555.45000000000005</v>
    <v>344.79</v>
    <v>-0.8</v>
    <v>-2.1609999999999997E-3</v>
    <v>7425629000</v>
    <v>Microsoft Corporation ist ein Technologieunternehmen. Das Unternehmen entwickelt und unterstützt Software, Services, Geräte und Lösungen. Zu den Segmenten des Unternehmens gehören Produktivität und Geschäftsprozesse, Intelligent Cloud und mehr Personal Computing. Das Segment Produktivität und Geschäftsprozesse umfasst Produkte und Dienstleistungen in seinem Portfolio an Produktivitäts-, Kommunikations- und Informationsdiensten. Dieses Segment umfasst hauptsächlich: Office Commercial, Office Consumer, LinkedIn und Dynamics Business Solutions. Das Segment Intelligent Cloud besteht aus Serverprodukten und Cloud-Services, einschließlich Azure und anderen Cloud-Services, SQL Server, Windows Server, Visual Studio, System Center, und zugehörige Client Access Licenses (CALs) sowie Nuance und GitHub und Enterprise Services, einschließlich Enterprise Services, Enterprise Support Services, Branchenlösungen und Nuance Professional Services. Das Segment mehr Personal Computing umfasst in erster Linie Windows, Geräte, Gaming sowie Such- und Nachrichtenwerbung.</v>
    <v>1.1076999999999999</v>
    <v>1884</v>
    <v>2742804583730</v>
    <v>Nasdaq Stock Market</v>
    <v>XNAS</v>
    <v>XNAS</v>
    <v>One Microsoft Way, REDMOND, WA, 98052 US</v>
    <v>373.99</v>
    <v>Software &amp; IT Services</v>
    <v>Aktie</v>
    <v>23.111000000000001</v>
    <v>1885</v>
    <v>46113.999965462499</v>
    <v>228000</v>
    <v>MICROSOFT CORPORATION</v>
    <v>368.2</v>
    <v>MICROSOFT CORPORATION</v>
    <v>373.49</v>
    <v>369.37</v>
    <v>370.17</v>
    <v>MSFT</v>
    <v>MICROSOFT CORPORATION (XNAS:MSFT)</v>
    <v>1993</v>
    <v>107198</v>
    <v>34987467</v>
    <v>USD</v>
  </rv>
  <rv s="2">
    <v>1886</v>
  </rv>
  <rv s="3">
    <fb>356.77</fb>
    <v>6</v>
  </rv>
  <rv s="0">
    <v>https://www.bing.com/financeapi/forcetrigger?t=a1oxur&amp;q=XNYS%3aBSX&amp;form=skydnc</v>
    <v>Learn more on Bing</v>
  </rv>
  <rv s="1">
    <v>0</v>
    <v>1</v>
    <v>BOSTON SCIENTIFIC CORPORATION (XNYS:BSX)</v>
    <v>3</v>
    <v>4</v>
    <v>Finance</v>
    <v>5</v>
    <v>de-DE</v>
    <v>a1oxur</v>
    <v>268435456</v>
    <v>1</v>
    <v>Unterstützt von Refinitiv</v>
    <v>109.5</v>
    <v>61.244999999999997</v>
    <v>-0.75</v>
    <v>-1.1952000000000001E-2</v>
    <v>1486175000</v>
    <v>Boston Scientific Corporation ist ein weltweit tätiger Entwickler, Hersteller und Vermarkter von medizinischen Geräten, die in einer Reihe von interventionellen medizinischen Fachgebieten eingesetzt werden. Das Segment MedSurg des Unternehmens umfasst die Bereiche Endoskopie, Urologie und Neuromodulation. Der Geschäftsbereich Endoskopie entwickelt und fertigt Geräte zur Diagnose und Behandlung einer Reihe von Magen-Darm-Erkrankungen mit weniger invasiven Technologien. Der Geschäftsbereich Urologie entwickelt und produziert Geräte zur Behandlung verschiedener urologischer Erkrankungen sowohl für die männliche als auch für die weibliche Anatomie, einschließlich Nierensteinen, gutartiger Prostatahyperplasie, Prostatakrebs, erektiler Dysfunktion und Inkontinenz. Das Geschäftsfeld Neuromodulation entwickelt und fertigt Geräte zur Behandlung verschiedener neurologischer Bewegungsstörungen und zur Behandlung chronischer Schmerzen. Das Segment Herz-Kreislauf umfasst die Bereiche Kardiologie und periphere Interventionen. Die Kardiologie umfasst interventionelle kardiologische Therapien, Watchman, Herzrhythmus-Management und Elektrophysiologie.</v>
    <v>0.78169999999999995</v>
    <v>92142850000</v>
    <v>New York Stock Exchange</v>
    <v>XNYS</v>
    <v>XNYS</v>
    <v>300 Boston Scientific Way, MARLBOROUGH, MA, 01752-1234 US</v>
    <v>64.23</v>
    <v>Healthcare Equipment &amp; Supplies</v>
    <v>Aktie</v>
    <v>31.973400000000002</v>
    <v>1889</v>
    <v>46113.99884288125</v>
    <v>59000</v>
    <v>BOSTON SCIENTIFIC CORPORATION</v>
    <v>61.954999999999998</v>
    <v>BOSTON SCIENTIFIC CORPORATION</v>
    <v>63.72</v>
    <v>62</v>
    <v>62.75</v>
    <v>BSX</v>
    <v>BOSTON SCIENTIFIC CORPORATION (XNYS:BSX)</v>
    <v>1979</v>
    <v>461</v>
    <v>15077574</v>
    <v>USD</v>
  </rv>
  <rv s="2">
    <v>1890</v>
  </rv>
  <rv s="3">
    <fb>69.17</fb>
    <v>6</v>
  </rv>
  <rv s="0">
    <v>https://www.bing.com/financeapi/forcetrigger?t=a21icw&amp;q=XNAS%3aPYPL&amp;form=skydnc</v>
    <v>Learn more on Bing</v>
  </rv>
  <rv s="1">
    <v>0</v>
    <v>1</v>
    <v>PAYPAL HOLDINGS, INC. (XNAS:PYPL)</v>
    <v>3</v>
    <v>4</v>
    <v>Finance</v>
    <v>5</v>
    <v>de-DE</v>
    <v>a21icw</v>
    <v>268435456</v>
    <v>1</v>
    <v>Unterstützt von Refinitiv</v>
    <v>79.5</v>
    <v>38.46</v>
    <v>-0.6</v>
    <v>-1.3266E-2</v>
    <v>920664600</v>
    <v>PayPal Holdings, Inc. Bietet eine Technologieplattform an. Die Produkte des Unternehmens wurden entwickelt, um digitale Zahlungen zu ermöglichen und den Handel für Verbraucher und Händler zu vereinfachen, um das Verkaufen, Einkaufen, Senden und Empfangen von Geld einfach, personalisiert und sicher zu gestalten, online oder offline, einschließlich mobil. Sie bietet Verbrauchern eine digitale Geldbörse, die es ihnen ermöglicht, Zahlungen sicher an Händler zu senden. Dazu gehören ein Bankkonto, ein PayPal- oder Venmo-Kontostand, seine Kreditprodukte, eine Kreditkarte, eine Debitkarte, bestimmte Kryptowährungen oder andere Wertprodukte. Das Unternehmen betreibt ein globales, zweiseitiges Netzwerk, das Kunden und Händler mit 434 Millionen aktiven Konten in rund 200 Märkten miteinander verbindet. Zu den Marken zählen PayPal, Braintree, Venmo, Xoom, Hyperwallet, PayPal Zettle, PayPal Honey und Paidy. Es bietet Finanzierungsprodukte über das PayPal Working Capital (PPWC) und das PayPal Business Loan (PPBL) an.</v>
    <v>1.4116</v>
    <v>41089261098</v>
    <v>Nasdaq Stock Market</v>
    <v>XNAS</v>
    <v>XNAS</v>
    <v>2211 N 1st St, SAN JOSE, CA, 95131 US</v>
    <v>45.5</v>
    <v>Professional &amp; Commercial Services</v>
    <v>Aktie</v>
    <v>8.2331000000000003</v>
    <v>1893</v>
    <v>46113.999459687497</v>
    <v>23800</v>
    <v>PAYPAL HOLDINGS, INC.</v>
    <v>44</v>
    <v>PAYPAL HOLDINGS, INC.</v>
    <v>45.29</v>
    <v>44.63</v>
    <v>45.23</v>
    <v>PYPL</v>
    <v>PAYPAL HOLDINGS, INC. (XNAS:PYPL)</v>
    <v>2015</v>
    <v>12117</v>
    <v>20451865</v>
    <v>USD</v>
  </rv>
  <rv s="2">
    <v>1894</v>
  </rv>
  <rv s="3">
    <fb>43.59</fb>
    <v>6</v>
  </rv>
  <rv s="0">
    <v>https://www.bing.com/financeapi/forcetrigger?t=a1wrf2&amp;q=XNYS%3aBBWI&amp;form=skydnc</v>
    <v>Learn more on Bing</v>
  </rv>
  <rv s="1">
    <v>0</v>
    <v>1</v>
    <v>BATH &amp; BODY WORKS, INC. (XNYS:BBWI)</v>
    <v>3</v>
    <v>4</v>
    <v>Finance</v>
    <v>19</v>
    <v>de-DE</v>
    <v>a1wrf2</v>
    <v>268435456</v>
    <v>1</v>
    <v>Unterstützt von Refinitiv</v>
    <v>34.659999999999997</v>
    <v>14.275</v>
    <v>0.66</v>
    <v>3.5351E-2</v>
    <v>201134300</v>
    <v>Bath &amp; Body Works, Inc. Ist ein weltweit tätiger Omnichannel-Einzelhändler, der sich auf Körperpflegeprodukte und Duftstoffe konzentriert. Das Unternehmen bietet eine Reihe von Duftstoffen für den Körper und zu Hause an, einschließlich des Verkaufs von Kollektionen für 3-Dochtkerzen, Duftdiffusoren für Zuhause, feinen Duftnebeln, flüssigen Handseifen, Körperlotionen und Körpercremes. Es liefert Kunden ihre Duftstoffe in verschiedenen Formen und Kategorien. Das Unternehmen verkauft Waren über seine Einzelhandelsgeschäfte in den USA und Kanada sowie über seine Websites und andere Kanäle unter den Marken Bath &amp; Body Works, White Barn und anderen Markennamen. Das internationale Geschäft des Unternehmens wird über Franchise-, Lizenz- und Großhandelspartner abgewickelt. Es bietet in-Store-Erlebnisse an mehr als 1.890 unternehmenseigenen Standorten in Bath &amp; Body Works in den USA und Kanada, mehr als 525 internationale Franchise-Standorte und einen Online-Shop unter bathandbodyworks.com. Darüber hinaus bietet es die Option „Online Pick-up in-Store“ (BOPIS) an.</v>
    <v>1.4975000000000001</v>
    <v>3887926018</v>
    <v>New York Stock Exchange</v>
    <v>XNYS</v>
    <v>XNYS</v>
    <v>THREE LIMITED PKWY, P O BOX 16000, COLUMBUS, OH, 43230 US</v>
    <v>19.43</v>
    <v>Specialty Retailers</v>
    <v>Aktie</v>
    <v>5.9069000000000003</v>
    <v>1897</v>
    <v>46113.993725253909</v>
    <v>9071</v>
    <v>BATH &amp; BODY WORKS, INC.</v>
    <v>18.53</v>
    <v>BATH &amp; BODY WORKS, INC.</v>
    <v>18.559999999999999</v>
    <v>19.329999999999998</v>
    <v>18.670000000000002</v>
    <v>BBWI</v>
    <v>BATH &amp; BODY WORKS, INC. (XNYS:BBWI)</v>
    <v>1982</v>
    <v>5490532</v>
    <v>6104367</v>
    <v>USD</v>
  </rv>
  <rv s="2">
    <v>1898</v>
  </rv>
  <rv s="3">
    <fb>16.8</fb>
    <v>6</v>
  </rv>
  <rv s="0">
    <v>https://www.bing.com/financeapi/forcetrigger?t=a1wj9c&amp;q=XNYS%3aKKR&amp;form=skydnc</v>
    <v>Learn more on Bing</v>
  </rv>
  <rv s="1">
    <v>0</v>
    <v>1</v>
    <v>KKR &amp; CO. INC. (XNYS:KKR)</v>
    <v>3</v>
    <v>4</v>
    <v>Finance</v>
    <v>5</v>
    <v>de-DE</v>
    <v>a1wj9c</v>
    <v>268435456</v>
    <v>1</v>
    <v>Unterstützt von Refinitiv</v>
    <v>153.87</v>
    <v>82.67</v>
    <v>-1.1399999999999999</v>
    <v>-1.2324E-2</v>
    <v>891550900</v>
    <v>KKR &amp; Co. Inc. Ist eine globale Investmentfirma, die alternative Vermögensverwaltung sowie Kapitalmärkte und Versicherungslösungen anbietet. Zu den Segmenten des Unternehmens gehören Asset Management, Insurance und Strategic Holdings. Das Segment Asset Management bietet eine Reihe von Anlageverwaltungsdienstleistungen für Investmentfonds, Fahrzeuge und Konten und erbringt Kapitalmarktdienstleistungen für Portfoliounternehmen und Dritte. Das Segment Asset Management umfasst fünf Geschäftsbereiche: Private Equity, Real Assets, Kredit- und Liquid-Strategien, Kapitalmärkte und Kapitalaktivitäten. Das Versicherungssegment wird von Global Atlantic betrieben, einem US-amerikanischen Pensions- und Lebensversicherungsunternehmen, das Kunden auf individuellen und institutionellen Märkten eine Reihe von Schutz-, Legacy- und Sparprodukten sowie Rückversicherungslösungen anbietet. Global Atlantic bietet Privatpersonen feste Renten und andere. Das Segment Strategic Holdings repräsentiert seine Beteiligung an der Kernstrategie von Private Equity.</v>
    <v>1.9273</v>
    <v>81452090224</v>
    <v>New York Stock Exchange</v>
    <v>XNYS</v>
    <v>XNYS</v>
    <v>30 Hudson Yards, NEW YORK, NY, 10001 US</v>
    <v>93.66</v>
    <v>Investment Banking &amp; Investment Services</v>
    <v>Aktie</v>
    <v>39.042700000000004</v>
    <v>1901</v>
    <v>46113.994220902343</v>
    <v>5043</v>
    <v>KKR &amp; CO. INC.</v>
    <v>90.39</v>
    <v>KKR &amp; CO. INC.</v>
    <v>93.22</v>
    <v>91.36</v>
    <v>92.5</v>
    <v>KKR</v>
    <v>KKR &amp; CO. INC. (XNYS:KKR)</v>
    <v>2021</v>
    <v>486</v>
    <v>8931301</v>
    <v>USD</v>
  </rv>
  <rv s="2">
    <v>1902</v>
  </rv>
  <rv s="3">
    <fb>88.5</fb>
    <v>6</v>
  </rv>
  <rv s="0">
    <v>https://www.bing.com/financeapi/forcetrigger?t=a1sqcw&amp;q=XNYS%3aFDS&amp;form=skydnc</v>
    <v>Learn more on Bing</v>
  </rv>
  <rv s="1">
    <v>0</v>
    <v>1</v>
    <v>FACTSET RESEARCH SYSTEMS INC. (XNYS:FDS)</v>
    <v>3</v>
    <v>4</v>
    <v>Finance</v>
    <v>19</v>
    <v>de-DE</v>
    <v>a1sqcw</v>
    <v>268435456</v>
    <v>1</v>
    <v>Unterstützt von Refinitiv</v>
    <v>474.79</v>
    <v>185</v>
    <v>7.87</v>
    <v>3.6269000000000003E-2</v>
    <v>37099260</v>
    <v>FactSet Research Systems Inc. Ist ein globaler Anbieter digitaler Finanzplattformen und Unternehmenslösungen. Die Lösungen des Unternehmens liefern Finanzdaten, Analysen und offene Technologien für globale Kunden, einschließlich einzelner Benutzer. Zu den Segmenten zählen Nord- und Südamerika, EMEA und Asien-Pazifik. Es liefert Finanzdaten und Marktinformationen zu Wertpapieren, Unternehmen, Branchen und Menschen, damit seine Kunden Investitionsideen recherchieren und ihre Portfolios analysieren, überwachen und verwalten können. Es unterstützt verschiedene Workflows, darunter Investmentforschung, quantitative Forschung, Portfoliomanagement und -Handel, Portfoliomanagement, Vermögensverwaltung, ESG-Investitionslösungen, Branchenanalysen und Datenlösungen. Zu den Kunden zählen Vermögensverwaltung, Vermögenseigentümer, Banken, Unternehmen, Hedgefonds, Versicherungen, Private Equity und Risikokapital sowie Vermögensverwalter. Es bietet offene und flexible Technologieangebote, darunter eine konfigurierbare Desktop- und mobile Plattform sowie umfassende Datenfeeds.</v>
    <v>0.72409999999999997</v>
    <v>8342139603</v>
    <v>New York Stock Exchange</v>
    <v>XNYS</v>
    <v>XNYS</v>
    <v>45 Glover Avenue, NORWALK, CT, 06850 US</v>
    <v>227.45</v>
    <v>Professional &amp; Commercial Services</v>
    <v>Aktie</v>
    <v>14.3072</v>
    <v>1905</v>
    <v>46113.990483622656</v>
    <v>12886</v>
    <v>FACTSET RESEARCH SYSTEMS INC.</v>
    <v>214.24</v>
    <v>FACTSET RESEARCH SYSTEMS INC.</v>
    <v>215.85499999999999</v>
    <v>224.86</v>
    <v>216.99</v>
    <v>FDS</v>
    <v>FACTSET RESEARCH SYSTEMS INC. (XNYS:FDS)</v>
    <v>1984</v>
    <v>145</v>
    <v>1012779</v>
    <v>USD</v>
  </rv>
  <rv s="2">
    <v>1906</v>
  </rv>
  <rv s="3">
    <fb>198.33</fb>
    <v>6</v>
  </rv>
  <rv s="0">
    <v>https://www.bing.com/financeapi/forcetrigger?t=a1p2ar&amp;q=XNYS%3aBX&amp;form=skydnc</v>
    <v>Learn more on Bing</v>
  </rv>
  <rv s="1">
    <v>0</v>
    <v>1</v>
    <v>BLACKSTONE INC. (XNYS:BX)</v>
    <v>3</v>
    <v>4</v>
    <v>Finance</v>
    <v>5</v>
    <v>de-DE</v>
    <v>a1p2ar</v>
    <v>268435456</v>
    <v>1</v>
    <v>Unterstützt von Refinitiv</v>
    <v>190.08500000000001</v>
    <v>101.73</v>
    <v>-0.66</v>
    <v>-5.7399999999999994E-3</v>
    <v>1187767000</v>
    <v>Blackstone Inc. ist ein alternativer Vermögensverwalter. Seine Vermögensverwaltung umfasst globale Anlagestrategien mit Schwerpunkt auf Immobilien, Private Equity, Infrastruktur, Biowissenschaften, Wachstumskapital, Krediten, Sachwerten, Sekundärmärkten und Hedgefonds. Der Bereich Immobilien umfasst die Verwaltung von opportunistischen Immobilienfonds, Core+-Immobilienfonds und Immobilienkreditstrategien. Der Bereich Private Equity umfasst die Verwaltung von Flaggschiff-Corporate-Private-Equity-Fonds, branchen- und geografisch fokussierten Corporate-Private-Equity-Fonds, Core-Private-Equity-Fonds, einer Investitionsplattform und anderen. Das Segment „Kredite und Versicherungen” besteht aus Blackstone Credit &amp; Insurance, das in drei übergeordnete Strategien unterteilt ist: private Unternehmenskredite, liquide Unternehmenskredite sowie infrastruktur- und vermögensbasierte Kredite. Das Segment „Multi-Asset-Investitionen” ist in vier Anlageplattformen unterteilt: Absolute Return, Multi-Strategy, Total Portfolio Management und Public Real Assets.</v>
    <v>1.7349000000000001</v>
    <v>135797401110</v>
    <v>New York Stock Exchange</v>
    <v>XNYS</v>
    <v>XNYS</v>
    <v>345 Park Avenue, NEW YORK, NY, 10154 US</v>
    <v>116.88</v>
    <v>Investment Banking &amp; Investment Services</v>
    <v>Aktie</v>
    <v>29.531600000000001</v>
    <v>1909</v>
    <v>46113.999135647653</v>
    <v>5285</v>
    <v>BLACKSTONE INC.</v>
    <v>112.68</v>
    <v>BLACKSTONE INC.</v>
    <v>116.88</v>
    <v>114.33</v>
    <v>114.99</v>
    <v>BX</v>
    <v>BLACKSTONE INC. (XNYS:BX)</v>
    <v>2007</v>
    <v>1384</v>
    <v>10978325</v>
    <v>USD</v>
  </rv>
  <rv s="2">
    <v>1910</v>
  </rv>
  <rv s="3">
    <fb>108.07</fb>
    <v>6</v>
  </rv>
  <rv s="0">
    <v>http://es.wikipedia.org/wiki/Adobe_(empresa)</v>
    <v>Wikipedia</v>
  </rv>
  <rv s="6">
    <v>35</v>
    <v>1913</v>
  </rv>
  <rv s="7">
    <v>18</v>
    <v>https://www.bing.com/th?id=AMMS_503c684ccc667ad525fe1d703881df2c&amp;qlt=95</v>
    <v>1914</v>
    <v>0</v>
    <v>https://www.bing.com/images/search?form=xlimg&amp;q=adobe+systems</v>
    <v>Image of ADOBE INC.</v>
  </rv>
  <rv s="0">
    <v>https://www.bing.com/financeapi/forcetrigger?t=a1mv7w&amp;q=XNAS%3aADBE&amp;form=skydnc</v>
    <v>Learn more on Bing</v>
  </rv>
  <rv s="8">
    <v>13</v>
    <v>14</v>
    <v>ADOBE INC. (XNAS:ADBE)</v>
    <v>16</v>
    <v>17</v>
    <v>Finance</v>
    <v>5</v>
    <v>de-DE</v>
    <v>a1mv7w</v>
    <v>268435456</v>
    <v>1</v>
    <v>Unterstützt von Refinitiv</v>
    <v>422.95</v>
    <v>233.155</v>
    <v>-1.71</v>
    <v>-7.0350000000000005E-3</v>
    <v>404200000</v>
    <v>Adobe Inc. ist ein globales Technologieunternehmen. Die Produkte, Dienstleistungen und Lösungen des Unternehmens werden weltweit eingesetzt, um Inhalte über verschiedene Oberflächen hinweg zu konzipieren, zu erstellen, zu verwalten, bereitzustellen, zu messen, zu optimieren und zu nutzen sowie digitale Erlebnisse zu fördern. Zu seinen Segmenten gehören Digitale Medien, Digitales Erlebnis sowie Publishing und Werbung. Im Mittelpunkt des Segments Digital Media stehen Adobe Creative Cloud und Adobe Document Cloud, zu denen Adobe Express, Adobe Firefly, Photoshop und andere Produkte gehören, die eine Vielzahl von Werkzeugen für Kreativprofis, Kommunikatoren und andere Verbraucher bieten. Das Segment Digital Experience bietet eine integrierte Plattform und eine Reihe von Produkten, Diensten und Lösungen über Adobe Experience Cloud. Das Segment Publishing and Advertising umfasst ältere Produkte und Dienstleistungen. Darüber hinaus ermöglicht die Lösung Adobe GenStudio Unternehmen die Vereinfachung ihrer Content-Supply-Chain-Prozesse durch generative künstliche Intelligenz (KI) und intelligente Automatisierung.</v>
    <v>1.5181</v>
    <v>1915</v>
    <v>97561754000</v>
    <v>Nasdaq Stock Market</v>
    <v>XNAS</v>
    <v>XNAS</v>
    <v>345 Park Avenue, SAN JOSE, CA, 95110-2704 US</v>
    <v>243.48</v>
    <v>Software &amp; IT Services</v>
    <v>Aktie</v>
    <v>14.456899999999999</v>
    <v>1916</v>
    <v>46113.999971133591</v>
    <v>31360</v>
    <v>ADOBE INC.</v>
    <v>235</v>
    <v>ADOBE INC.</v>
    <v>241.96</v>
    <v>241.37</v>
    <v>243.08</v>
    <v>ADBE</v>
    <v>ADOBE INC. (XNAS:ADBE)</v>
    <v>1997</v>
    <v>2848</v>
    <v>6313409</v>
    <v>USD</v>
  </rv>
  <rv s="2">
    <v>1917</v>
  </rv>
  <rv s="3">
    <fb>234.84</fb>
    <v>6</v>
  </rv>
  <rv s="0">
    <v>https://www.bing.com/financeapi/forcetrigger?t=a1mpc7&amp;q=XNAS%3aAXON&amp;form=skydnc</v>
    <v>Learn more on Bing</v>
  </rv>
  <rv s="1">
    <v>0</v>
    <v>1</v>
    <v>AXON ENTERPRISE, INC. (XNAS:AXON)</v>
    <v>3</v>
    <v>4</v>
    <v>Finance</v>
    <v>5</v>
    <v>de-DE</v>
    <v>a1mpc7</v>
    <v>268435456</v>
    <v>1</v>
    <v>Unterstützt von Refinitiv</v>
    <v>885.91499999999996</v>
    <v>396.41</v>
    <v>-1.1200000000000001</v>
    <v>-2.637E-3</v>
    <v>80397680</v>
    <v>Axon Enterprise, Inc. Ist ein Technologieunternehmen im Bereich der globalen öffentlichen Sicherheit. Sie baut das Betriebssystem für die öffentliche Sicherheit auf, indem sie eine Reihe von Hardwaregeräten und Cloud-Softwarelösungen integriert, die die moderne Polizeiarbeit vorantreiben. Zu den Segmenten gehören Connected Devices und Software &amp; Services. Das Segment Connected Devices umfasst die Entwicklung, Herstellung und den Verkauf von vollständig integrierten Hardwarelösungen wie Leitungsgebundene Energiegeräte (CEDs), Körperkameras, Drohnen, Zubehör, erweiterte Garantien und andere Hardwareprodukte. Das Segment Software &amp; Services umfasst die Entwicklung und den Verkauf vollständig integrierter Cloud-basierter Softwarelösungen wie Axon Evidence, Records Management System, Draft One und andere Software und Services, die es den Strafverfolgungsbehörden ermöglichen, Videos sicher zu speichern, zu verwalten, zu teilen und zu analysieren und Betriebsabläufe zu verwalten. Der weltweite Kundenstamm umfasst Ersthelfer aus internationalen, föderalen, staatlichen und lokalen Strafverfolgungsbehörden, Feuerwehr-, Strafvollzugsbehörden und medizinischen Notdiensten.</v>
    <v>1.6052</v>
    <v>34054045317</v>
    <v>Nasdaq Stock Market</v>
    <v>XNAS</v>
    <v>XNAS</v>
    <v>17800 N 85th St, SCOTTSDALE, AZ, 85255-6311 US</v>
    <v>439.50549999999998</v>
    <v>Aerospace &amp; Defense</v>
    <v>Aktie</v>
    <v>277.73259999999999</v>
    <v>1920</v>
    <v>46113.998109501561</v>
    <v>5100</v>
    <v>AXON ENTERPRISE, INC.</v>
    <v>422.04</v>
    <v>AXON ENTERPRISE, INC.</v>
    <v>432.52</v>
    <v>423.57</v>
    <v>424.69</v>
    <v>AXON</v>
    <v>AXON ENTERPRISE, INC. (XNAS:AXON)</v>
    <v>2001</v>
    <v>218</v>
    <v>1055050</v>
    <v>USD</v>
  </rv>
  <rv s="2">
    <v>1921</v>
  </rv>
  <rv s="3">
    <fb>429.94</fb>
    <v>6</v>
  </rv>
  <rv s="0">
    <v>https://www.bing.com/financeapi/forcetrigger?t=a1ossm&amp;q=XNYS%3aBR&amp;form=skydnc</v>
    <v>Learn more on Bing</v>
  </rv>
  <rv s="1">
    <v>0</v>
    <v>1</v>
    <v>BROADRIDGE FINANCIAL SOLUTIONS, INC. (XNYS:BR)</v>
    <v>3</v>
    <v>4</v>
    <v>Finance</v>
    <v>19</v>
    <v>de-DE</v>
    <v>a1ossm</v>
    <v>268435456</v>
    <v>1</v>
    <v>Unterstützt von Refinitiv</v>
    <v>271.91000000000003</v>
    <v>155.54</v>
    <v>-2.5</v>
    <v>-1.5387E-2</v>
    <v>116748700</v>
    <v>Broadridge Financial Solutions, Inc. Ist ein weltweit tätiges Finanztechnologieunternehmen. Sie bietet Banken, Maklern und Vermögensverwaltern technologieorientierte Lösungen. Zu den Segmenten gehören Investor Communication Solutions (ICS) und Global Technology and Operations. Das ICS-Segment bietet Lösungen für regulatorische Vorschriften, datengesteuerte Fondslösungen, Lösungen für Corporate Emittent und Lösungen für die Kundenkommunikation. Das ICs-Geschäft umfasst die Verarbeitung und Verteilung von Proxy-Materialien an Anleger in Aktien und Investmentfonds sowie die Erleichterung der entsprechenden Stimmabgabe. Der Geschäftsbereich Global Technology and Operations bietet den globalen Finanzmärkten eine unternehmenskritische, skalierbare Infrastruktur. Die komponentenbasierte Plattform automatisiert den Lebenszyklus von Transaktionen von Front-to-Back-Aktien, Investmentfonds, festverzinslichen und Devisen- und börsengehandelten Derivaten. Darüber hinaus ist es auf das Onboarding von Teilnehmern, die emotionale Bindung und die Analyse von Lösungen für die Altersvorsorge spezialisiert.</v>
    <v>1.0147999999999999</v>
    <v>18677457026</v>
    <v>New York Stock Exchange</v>
    <v>XNYS</v>
    <v>XNYS</v>
    <v>5 Dakota Drive, LAKE SUCCESS, NY, 11042 US</v>
    <v>162.41</v>
    <v>Professional &amp; Commercial Services</v>
    <v>Aktie</v>
    <v>17.707999999999998</v>
    <v>1924</v>
    <v>46113.998576365622</v>
    <v>15000</v>
    <v>BROADRIDGE FINANCIAL SOLUTIONS, INC.</v>
    <v>155.54</v>
    <v>BROADRIDGE FINANCIAL SOLUTIONS, INC.</v>
    <v>162.41</v>
    <v>159.97999999999999</v>
    <v>162.47999999999999</v>
    <v>BR</v>
    <v>BROADRIDGE FINANCIAL SOLUTIONS, INC. (XNYS:BR)</v>
    <v>2006</v>
    <v>2504030</v>
    <v>1753904</v>
    <v>USD</v>
  </rv>
  <rv s="2">
    <v>1925</v>
  </rv>
  <rv s="3">
    <fb>157.41999999999999</fb>
    <v>6</v>
  </rv>
  <rv s="0">
    <v>https://www.bing.com/financeapi/forcetrigger?t=a1zha2&amp;q=XNYS%3aPAYC&amp;form=skydnc</v>
    <v>Learn more on Bing</v>
  </rv>
  <rv s="1">
    <v>0</v>
    <v>1</v>
    <v>PAYCOM SOFTWARE, INC. (XNYS:PAYC)</v>
    <v>3</v>
    <v>4</v>
    <v>Finance</v>
    <v>5</v>
    <v>de-DE</v>
    <v>a1zha2</v>
    <v>268435456</v>
    <v>1</v>
    <v>Unterstützt von Refinitiv</v>
    <v>267.76</v>
    <v>104.9</v>
    <v>-0.74</v>
    <v>-6.0889999999999998E-3</v>
    <v>53161060</v>
    <v>Paycom Software, Inc. Ist ein Anbieter einer umfassenden, cloudbasierten HCM-Lösung (Human Capital Management), die als SaaS (Software as a Service) bereitgestellt wird. Das Unternehmen bietet Funktionen und Datenanalysen, die Unternehmen benötigen, um den gesamten Beschäftigungslebenszyklus von der Rekrutierung bis zum Ruhestand zu verwalten. Die Lösung erfordert praktisch keine Anpassung und basiert auf einem zentralen Datensatzsystem, das in einer einzigen Datenbank für alle HCM-Funktionen verwaltet wird, einschließlich Personalgewinnung, Zeitmanagement, Gehaltsabrechnung, Talentmanagement und Personalmanagement (HR). Die Anwendungen des Unternehmens rationalisieren die Kundenprozesse und bieten Kunden und ihren Mitarbeitern die Möglichkeit, direkt auf administrative Prozesse zuzugreifen und diese zu verwalten. Dazu gehören Anwendungen zur Identifizierung von Kandidaten, Mitarbeitern an Bord, zur Verwaltung von Zeit- und Arbeitszeiten, zur Verwaltung von Abzügen und Leistungen für Gehaltsabrechnungen, zur Verwaltung der Leistung, zur Kündigung von Mitarbeitern und zur Verwaltung von Gesundheitsleistungen nach Beendigung der Beendigung des Arbeitsverhältnisses, wie z. B. COBRA.</v>
    <v>0.79659999999999997</v>
    <v>6421856048</v>
    <v>New York Stock Exchange</v>
    <v>XNYS</v>
    <v>XNYS</v>
    <v>7501 W Memorial Rd, OKLAHOMA CITY, OK, 73142 US</v>
    <v>122.87</v>
    <v>Software &amp; IT Services</v>
    <v>Aktie</v>
    <v>14.9551</v>
    <v>1928</v>
    <v>46113.986592430469</v>
    <v>5770</v>
    <v>PAYCOM SOFTWARE, INC.</v>
    <v>117.505</v>
    <v>PAYCOM SOFTWARE, INC.</v>
    <v>121.51</v>
    <v>120.8</v>
    <v>121.54</v>
    <v>PAYC</v>
    <v>PAYCOM SOFTWARE, INC. (XNYS:PAYC)</v>
    <v>2013</v>
    <v>5</v>
    <v>2295878</v>
    <v>USD</v>
  </rv>
  <rv s="2">
    <v>1929</v>
  </rv>
  <rv s="3">
    <fb>117.06</fb>
    <v>6</v>
  </rv>
  <rv s="0">
    <v>https://www.bing.com/financeapi/forcetrigger?t=a213c7&amp;q=XNAS%3aPODD&amp;form=skydnc</v>
    <v>Learn more on Bing</v>
  </rv>
  <rv s="11">
    <v>33</v>
    <v>34</v>
    <v>INSULET CORPORATION (XNAS:PODD)</v>
    <v>3</v>
    <v>35</v>
    <v>Finance</v>
    <v>36</v>
    <v>de-DE</v>
    <v>a213c7</v>
    <v>268435456</v>
    <v>1</v>
    <v>Unterstützt von Refinitiv</v>
    <v>354.88</v>
    <v>203.09</v>
    <v>-2.8</v>
    <v>-1.3343000000000001E-2</v>
    <v>70395850</v>
    <v>Insulet Corporation ist ein Medizinprodukteunternehmen. Das Unternehmen beschäftigt sich in erster Linie mit der Entwicklung, Herstellung und dem Verkauf seiner kontinuierlichen Insulinverabreichungssysteme für Menschen mit insulinabhängigem Diabetes. Das Omnipod System umfasst das Omnipod 5 Automated Insulin Delivery System (Omnipod 5), das Omnipod DASH Insulin Management System und das Omnipod Insulin Management System. Die Omnipod-Plattform bietet eine kontinuierliche Insulinverabreichung, die verschiedene Vorteile der Insulinpumpentherapie auf eine Weise bietet, ohne dass bei herkömmlichen Pumpen externe Schläuche erforderlich sind. Das kleine, leichte, selbstklebende, tubeless Omnipod-Einweg-Gerät (Pod) kann an verschiedenen Stellen getragen werden, einschließlich Bauch, Hüfte, Oberarmrücken, Oberschenkel oder Unterschenkel. Das Insulin wird über einen kleinen flexiblen Schlauch in den Körper abgegeben. Außerdem werden Pads für Amgen zur Verwendung im Neulasta Onpro-Kit hergestellt, einem Verabreichungssystem für Amgen Neulasta, um das Risiko einer Infektion nach intensiver Chemotherapie zu verringern.</v>
    <v>1.4694</v>
    <v>14574756784</v>
    <v>Nasdaq Stock Market</v>
    <v>XNAS</v>
    <v>XNAS</v>
    <v>100 Nagog Park, ACTON, MA, 01720-3440 US</v>
    <v>212.715</v>
    <v>Healthcare Equipment &amp; Supplies</v>
    <v>Aktie</v>
    <v>59.143000000000001</v>
    <v>1932</v>
    <v>46113.924382870311</v>
    <v>5400</v>
    <v>INSULET CORPORATION</v>
    <v>203.09</v>
    <v>INSULET CORPORATION</v>
    <v>210.18</v>
    <v>207.04</v>
    <v>207.04</v>
    <v>209.84</v>
    <v>PODD</v>
    <v>INSULET CORPORATION (XNAS:PODD)</v>
    <v>2000</v>
    <v>0</v>
    <v>0</v>
    <v>1169755</v>
    <v>978230</v>
    <v>USD</v>
  </rv>
  <rv s="2">
    <v>1933</v>
  </rv>
  <rv s="3">
    <fb>208.22</fb>
    <v>6</v>
  </rv>
  <rv s="0">
    <v>https://www.bing.com/financeapi/forcetrigger?t=a1npa2&amp;q=XNYS%3aARES&amp;form=skydnc</v>
    <v>Learn more on Bing</v>
  </rv>
  <rv s="1">
    <v>0</v>
    <v>1</v>
    <v>ARES MANAGEMENT CORPORATION (XNYS:ARES)</v>
    <v>3</v>
    <v>4</v>
    <v>Finance</v>
    <v>19</v>
    <v>de-DE</v>
    <v>a1npa2</v>
    <v>268435456</v>
    <v>1</v>
    <v>Unterstützt von Refinitiv</v>
    <v>195.26</v>
    <v>95.8</v>
    <v>-3.3</v>
    <v>-3.0247000000000003E-2</v>
    <v>329472700</v>
    <v>Ares Management Corporation ist ein alternativer Investmentmanager, der Kunden ergänzende primäre und sekundäre Anlagelösungen für verschiedene Anlageklassen anbietet. Zu den Segmenten zählen Kreditgruppe, Private Equity Group, Real Assets Group, Secondaries Group und Sonstiges. Das Segment Credit Group verwaltet Kreditstrategien für das gesamte Spektrum liquider und illiquider Kredite, einschließlich liquider Kredite, alternativer Kredite, Direktkredite und APAC-Kredite. Das Segment Private Equity Group kategorisiert seine Anlagestrategien als Corporate Private Equity, Special Opportunities und APAC Private Equity. Das Segment Real Assets Group verwaltet umfassende Aktien- und Fremdkapitalstrategien für Immobilien- und Infrastrukturinvestitionen. Das Segment Secondaries Group investiert in Sekundärmärkte für eine Reihe alternativer Anlageklassen-Strategien, darunter Private Equity, Immobilien, Infrastruktur und Kredite. Das Unternehmen ist in Nordamerika, Südamerika, Europa, dem asiatisch-pazifischen Raum und dem Nahen Osten tätig.</v>
    <v>1.5364</v>
    <v>34858211660</v>
    <v>New York Stock Exchange</v>
    <v>XNYS</v>
    <v>XNYS</v>
    <v>1800 Ave Of The Stars, Suite 1400, LOS ANGELES, CA, 90067 US</v>
    <v>109.99</v>
    <v>Investment Banking &amp; Investment Services</v>
    <v>Aktie</v>
    <v>60.5107</v>
    <v>1936</v>
    <v>46113.988010300782</v>
    <v>4250</v>
    <v>ARES MANAGEMENT CORPORATION</v>
    <v>104.83</v>
    <v>ARES MANAGEMENT CORPORATION</v>
    <v>109.16</v>
    <v>105.8</v>
    <v>109.1</v>
    <v>ARES</v>
    <v>ARES MANAGEMENT CORPORATION (XNYS:ARES)</v>
    <v>2013</v>
    <v>2938621</v>
    <v>4321409</v>
    <v>USD</v>
  </rv>
  <rv s="2">
    <v>1937</v>
  </rv>
  <rv s="3">
    <fb>106.28</fb>
    <v>6</v>
  </rv>
  <rv s="0">
    <v>https://www.bing.com/financeapi/forcetrigger?t=a1olgh&amp;q=XNYS%3aBLDR&amp;form=skydnc</v>
    <v>Learn more on Bing</v>
  </rv>
  <rv s="11">
    <v>33</v>
    <v>34</v>
    <v>BUILDERS FIRSTSOURCE, INC. (XNYS:BLDR)</v>
    <v>3</v>
    <v>35</v>
    <v>Finance</v>
    <v>36</v>
    <v>de-DE</v>
    <v>a1olgh</v>
    <v>268435456</v>
    <v>1</v>
    <v>Unterstützt von Refinitiv</v>
    <v>151.03</v>
    <v>78.55</v>
    <v>-1.36</v>
    <v>-1.6518999999999999E-2</v>
    <v>110605100</v>
    <v>Builders FirstSource, Inc. Ist ein Anbieter von Bauprodukten, Fertigteilen und Mehrwertdienstleistungen für das professionelle Marktsegment für Neubau, Reparatur und Umbau von Wohngebäuden. Sie bietet Kunden eine integrierte Lösung für den Hausbau, die Herstellung, Lieferung, Lieferung und Installation einer kompletten Palette von strukturellen und verwandten Bauprodukten anbietet. Zu den Produktkategorien gehören Fertigprodukte, Fenster, Türen und Mühlen, spezielle Bauprodukte und Dienstleistungen sowie Holz- und Holzbleche. Es bedient Kunden aus Vertriebs- und Produktionsstätten (von denen einige an einem Standort sind), die Mehrwertprodukte wie Dach- und Bodenbinder, Wandpaneele, Treppen, Vinylfenster, kundenspezifische Fräsarbeiten und vorhängende Türen herstellen. Darüber hinaus vertreibt das Unternehmen dimensionale Holz- und Holzblechprodukte, Fräsarbeiten, Fenster, Innen- und Außentüren sowie andere Spezialprodukte für den Bau. Sie ist in 43 bundesstaaten mit etwa 585 Standorten tätig.</v>
    <v>1.6355999999999999</v>
    <v>8955694947</v>
    <v>New York Stock Exchange</v>
    <v>XNYS</v>
    <v>XNYS</v>
    <v>6031 CONNECTION DR., STE. 400, IRVING, TX, 75039 US</v>
    <v>83.09</v>
    <v>Homebuilding &amp; Construction Supplies</v>
    <v>Aktie</v>
    <v>20.796299999999999</v>
    <v>1940</v>
    <v>46113.986584640625</v>
    <v>28000</v>
    <v>BUILDERS FIRSTSOURCE, INC.</v>
    <v>80.89</v>
    <v>BUILDERS FIRSTSOURCE, INC.</v>
    <v>82.3</v>
    <v>80.97</v>
    <v>81.53</v>
    <v>82.33</v>
    <v>BLDR</v>
    <v>BUILDERS FIRSTSOURCE, INC. (XNYS:BLDR)</v>
    <v>1998</v>
    <v>0.56000000000000005</v>
    <v>6.9160000000000003E-3</v>
    <v>1775842</v>
    <v>2523139</v>
    <v>USD</v>
  </rv>
  <rv s="2">
    <v>1941</v>
  </rv>
  <rv s="3">
    <fb>80.430000000000007</fb>
    <v>6</v>
  </rv>
  <rv s="0">
    <v>https://www.bing.com/financeapi/forcetrigger?t=a23vm7&amp;q=XNAS%3aNLOK&amp;form=skydnc</v>
    <v>Learn more on Bing</v>
  </rv>
  <rv s="1">
    <v>0</v>
    <v>1</v>
    <v>GEN DIGITAL INC. (XNAS:GEN)</v>
    <v>3</v>
    <v>4</v>
    <v>Finance</v>
    <v>5</v>
    <v>de-DE</v>
    <v>a23vm7</v>
    <v>268435456</v>
    <v>1</v>
    <v>Unterstützt von Refinitiv</v>
    <v>32.215000000000003</v>
    <v>18.204999999999998</v>
    <v>-0.12</v>
    <v>-6.3730000000000002E-3</v>
    <v>605663800</v>
    <v>Gen Digital Inc. Ist ein globales Unternehmen. Das Unternehmen bietet Verbrauchermarken wie Norton, Avast, LifeLock und MoneyLion an. Es umfasst zwei Segmente: Cyber Safety Platform und Trust-Based Solutions. Die Cyber Safety Platform umfasst ihre Sicherheit, umfassende Suites und Datenschutzprodukte, die Technologielösungen und den Schutz vor Bedrohungen bieten, um Menschen dabei zu unterstützen, sich sicher und privat in der digitalen Welt zu bewegen. Vertrauensbasierte Lösungen umfassen die Produkte für Identität, Reputation und finanzielle Wellness, die Lösungen und Einblicke bieten, mit denen Kunden ihre Identität, ihren Ruf und ihre Finanzen verwalten können. Das Portfolio an Cybersicherheit bietet Schutz in drei Kategorien, darunter Sicherheit und Leistung, Identitätsschutz und Online-Datenschutz. Die Sicherheit und Leistung des Systems bietet Schutz vor Bedrohungen in Echtzeit für PCs, Macs und mobile Geräte vor Malware, Viren, Adware, Ransomware und anderen neu auftretenden Online-Bedrohungen.</v>
    <v>1.1488</v>
    <v>11331969698</v>
    <v>Nasdaq Stock Market</v>
    <v>XNAS</v>
    <v>XNAS</v>
    <v>60 E Rio Salado Parkway, Suite 1000, TEMPE, AZ, 85281 US</v>
    <v>19.170000000000002</v>
    <v>Software &amp; IT Services</v>
    <v>Aktie</v>
    <v>19.298999999999999</v>
    <v>1944</v>
    <v>46113.95732554375</v>
    <v>3500</v>
    <v>GEN DIGITAL INC.</v>
    <v>18.46</v>
    <v>GEN DIGITAL INC.</v>
    <v>18.899999999999999</v>
    <v>18.71</v>
    <v>18.829999999999998</v>
    <v>GEN</v>
    <v>GEN DIGITAL INC. (XNAS:GEN)</v>
    <v>1988</v>
    <v>1</v>
    <v>7378294</v>
    <v>USD</v>
  </rv>
  <rv s="2">
    <v>1945</v>
  </rv>
  <rv s="3">
    <fb>18.34</fb>
    <v>6</v>
  </rv>
  <rv s="0">
    <v>https://www.bing.com/financeapi/forcetrigger?t=a1sx27&amp;q=XNAS%3aFISV&amp;form=skydnc</v>
    <v>Learn more on Bing</v>
  </rv>
  <rv s="1">
    <v>0</v>
    <v>1</v>
    <v>FISERV, INC. (XNAS:FISV)</v>
    <v>3</v>
    <v>4</v>
    <v>Finance</v>
    <v>5</v>
    <v>de-DE</v>
    <v>a1sx27</v>
    <v>268435456</v>
    <v>1</v>
    <v>Unterstützt von Refinitiv</v>
    <v>227</v>
    <v>52.91</v>
    <v>-0.35</v>
    <v>-6.2719999999999998E-3</v>
    <v>534777500</v>
    <v>Fiserv, Inc. Ist ein globaler Anbieter von Technologielösungen für Zahlungen und Finanzdienstleistungen. Zu den Segmenten des Unternehmens gehören das Segment Merchant Solutions (Merchant) und das Segment Financial Solutions (Financial). Die Geschäftsbereiche des Merchant-Segments bestehen aus kleinen Unternehmen, Unternehmen und Verarbeitung. Es bietet Produkte und Dienstleistungen für kleine Unternehmen und unabhängige Softwareanbieter, darunter Clover, das integrierte POS-Betriebssystem des Unternehmens für kleine Unternehmen. Es bietet Produkte und Dienstleistungen für große Unternehmen, darunter Carat, das integrierte Handelsbetriebssystem des Unternehmens für Unternehmenskunden. Die Geschäftsbereiche des Finanzsegments umfassen digitale Zahlungen, Emission und Banking. Im Bereich des digitalen Zahlungsverkehrs bietet das Unternehmen Dienstleistungen zur Verarbeitung von Debitkarten, Netzwerkdienste für Debitkarten und andere Dienstleistungen an. Im Ausgabegeschäft bietet das Unternehmen Dienstleistungen zur Kreditkartenverarbeitung, Prepaid-Kartenverarbeitung, Kartenproduktion, Druckdienstleistungen und andere Dienstleistungen an.</v>
    <v>0.78779999999999994</v>
    <v>29653412375</v>
    <v>Nasdaq Stock Market</v>
    <v>XNAS</v>
    <v>XNAS</v>
    <v>600 N. Vel R. Phillips Avenue, MILWAUKEE, WI, 53203 US</v>
    <v>56.15</v>
    <v>Professional &amp; Commercial Services</v>
    <v>Aktie</v>
    <v>8.7477</v>
    <v>1948</v>
    <v>46113.999209027344</v>
    <v>38000</v>
    <v>FISERV, INC.</v>
    <v>53.78</v>
    <v>FISERV, INC.</v>
    <v>55.8</v>
    <v>55.45</v>
    <v>55.8</v>
    <v>FISV</v>
    <v>FISERV, INC. (XNAS:FISV)</v>
    <v>1992</v>
    <v>120</v>
    <v>6702950</v>
    <v>USD</v>
  </rv>
  <rv s="2">
    <v>1949</v>
  </rv>
  <rv s="3">
    <fb>53.9</fb>
    <v>6</v>
  </rv>
  <rv s="0">
    <v>https://www.bing.com/financeapi/forcetrigger?t=a1vtoc&amp;q=XNYS%3aIT&amp;form=skydnc</v>
    <v>Learn more on Bing</v>
  </rv>
  <rv s="1">
    <v>0</v>
    <v>1</v>
    <v>GARTNER, INC. (XNYS:IT)</v>
    <v>3</v>
    <v>4</v>
    <v>Finance</v>
    <v>5</v>
    <v>de-DE</v>
    <v>a1vtoc</v>
    <v>268435456</v>
    <v>1</v>
    <v>Unterstützt von Refinitiv</v>
    <v>451.73</v>
    <v>139.18</v>
    <v>-3.55</v>
    <v>-2.2419999999999999E-2</v>
    <v>70450290</v>
    <v>Gartner, Inc. liefert umsetzbare, objektive Erkenntnisse für Führungskräfte und ihre Teams. Das Unternehmen ist in drei Segmenten tätig: Research, Conferences and Consulting. Das Research segment liefert unabhängige, objektive Erkenntnisse für Führungskräfte in Unternehmen durch Abonnementservices, die einen On-Demand-Zugang zu veröffentlichten Forschungsinhalten, Daten und Benchmarks sowie einen direkten Zugang zu einem Netzwerk von Forschungsexperten auf der ganzen Welt umfassen. Das Gartner Conferences segment richtet sich an Führungskräfte aus den Bereichen Informationstechnologie (IT) und Business sowie an Entscheidungsträger, die ihr Unternehmen angesichts von Unterbrechungen und Unsicherheiten anpassen und weiterentwickeln, Risiken steuern und Investitionen priorisieren wollen. Das Consulting segment richtet sich an Chief Information Officers und andere Führungskräfte, um Technologieinvestitionen zu optimieren und den Geschäftserfolg zu steigern. Das Unternehmen bietet auch Lösungen für eine Reihe von IT-bezogenen Prioritäten, einschließlich IT-Kostenoptimierung, digitale Transformation und IT-Sourcing-Optimierung.</v>
    <v>1.0452999999999999</v>
    <v>10905000389</v>
    <v>New York Stock Exchange</v>
    <v>XNYS</v>
    <v>XNYS</v>
    <v>56 Top Gallant Rd, P O Box 10212, STAMFORD, CT, 06904-2212 US</v>
    <v>158.47999999999999</v>
    <v>Software &amp; IT Services</v>
    <v>Aktie</v>
    <v>16.036899999999999</v>
    <v>1952</v>
    <v>46113.997627835153</v>
    <v>20244</v>
    <v>GARTNER, INC.</v>
    <v>151.25</v>
    <v>GARTNER, INC.</v>
    <v>157.69</v>
    <v>154.79</v>
    <v>158.34</v>
    <v>IT</v>
    <v>GARTNER, INC. (XNYS:IT)</v>
    <v>1990</v>
    <v>1432091</v>
    <v>1602625</v>
    <v>USD</v>
  </rv>
  <rv s="2">
    <v>1953</v>
  </rv>
  <rv s="3">
    <fb>155.41999999999999</fb>
    <v>6</v>
  </rv>
  <rv s="0">
    <v>https://www.bing.com/financeapi/forcetrigger?t=a1vmtc&amp;q=XNAS%3aINTU&amp;form=skydnc</v>
    <v>Learn more on Bing</v>
  </rv>
  <rv s="1">
    <v>0</v>
    <v>1</v>
    <v>INTUIT INC. (XNAS:INTU)</v>
    <v>3</v>
    <v>4</v>
    <v>Finance</v>
    <v>5</v>
    <v>de-DE</v>
    <v>a1vmtc</v>
    <v>268435456</v>
    <v>1</v>
    <v>Unterstützt von Refinitiv</v>
    <v>813.7</v>
    <v>349</v>
    <v>-6.51</v>
    <v>-1.5056E-2</v>
    <v>276550000</v>
    <v>Intuit Inc. bietet eine Finanztechnologieplattform, die Verbrauchern und kleinen und mittleren Unternehmen durch die Bereitstellung von Produkten und Dienstleistungen in den Bereichen Finanzmanagement, Compliance und Marketing zum Erfolg verhilft. Darüber hinaus bietet das Unternehmen spezialisierte Steuerprodukte für Buchhaltungsexperten an. Zu den Angeboten gehören TurboTax, Credit Karma, QuickBooks und Mailchimp. Lacerte, ProSeries und ProConnect Tax Online. Der Global Business Solutions segment bedient kleine und mittlere Unternehmen auf der ganzen Welt sowie die Buchhaltungsexperten, die diese Unternehmen unterstützen und beraten. Der Consumer segment richtet sich an Verbraucher und umfasst Produkte und Dienstleistungen zur Erstellung von Einkommensteuererklärungen mit TurboTax, die in den Vereinigten Staaten und Kanada verkauft werden. Der Credit Karma segment bietet Verbrauchern eine Plattform für persönliche Finanzen, die personalisierte Empfehlungen für Kreditkarten, Immobilien-, Auto- und Privatkredite sowie Versicherungsprodukte liefert. Der ProTax segment richtet sich an professionelle Buchhalter in den Vereinigten Staaten und Kanada.</v>
    <v>1.2132000000000001</v>
    <v>117774348500</v>
    <v>Nasdaq Stock Market</v>
    <v>XNAS</v>
    <v>XNAS</v>
    <v>2700 Coast Avenue, MOUNTAIN VIEW, CA, 94043 US</v>
    <v>431.62</v>
    <v>Financial Technology (Fintech) &amp; Infrastructure</v>
    <v>Aktie</v>
    <v>27.702200000000001</v>
    <v>1956</v>
    <v>46113.99951114531</v>
    <v>18200</v>
    <v>INTUIT INC.</v>
    <v>413.75</v>
    <v>INTUIT INC.</v>
    <v>431.255</v>
    <v>425.87</v>
    <v>432.38</v>
    <v>INTU</v>
    <v>INTUIT INC. (XNAS:INTU)</v>
    <v>1993</v>
    <v>1550</v>
    <v>4147286</v>
    <v>USD</v>
  </rv>
  <rv s="2">
    <v>1957</v>
  </rv>
  <rv s="3">
    <fb>416.44</fb>
    <v>6</v>
  </rv>
  <rv s="0">
    <v>https://www.bing.com/financeapi/forcetrigger?t=a1uysm&amp;q=XNYS%3aHUM&amp;form=skydnc</v>
    <v>Learn more on Bing</v>
  </rv>
  <rv s="1">
    <v>0</v>
    <v>1</v>
    <v>HUMANA INC. (XNYS:HUM)</v>
    <v>3</v>
    <v>4</v>
    <v>Finance</v>
    <v>5</v>
    <v>de-DE</v>
    <v>a1uysm</v>
    <v>268435456</v>
    <v>1</v>
    <v>Unterstützt von Refinitiv</v>
    <v>315.34820000000002</v>
    <v>163.11000000000001</v>
    <v>3.56</v>
    <v>2.0531999999999998E-2</v>
    <v>120054500</v>
    <v>Humana Inc. Bietet Humana Versicherungen und CenterWell Gesundheitsdienstleistungen an. Zu den Segmenten des Unternehmens gehören Insurance und CenterWell. Das Versicherungssegment besteht aus Medicare Leistungen, die an Privatpersonen oder direkt über Medicare-Gruppen vermarktet werden, sowie aus dem Vertrag mit CMS zur Verwaltung des Programms LI-NET (Limited Income Really Accessible Transition) für verschreibungspflichtige Medikamente und Verträgen mit verschiedenen bundesstaaten über die Bereitstellung von Leistungen für Medicaid, duale berechtigte Demonstrationen und Long Term Support Services. Dieses Segment umfasst auch Produkte, die aus gewerblichen vollversicherten Leistungen der Arbeitgebergruppe für medizinische und spezielle Krankenversicherung bestehen, die an Einzelpersonen und Arbeitgebergruppen vermarktet werden. Das Segment CenterWell umfasst die Bereiche Pharmazie, Primärversorgung und Heimlösungen. Das Segment umfasst auch seine strategischen Partnerschaften mit WCAS zur Entwicklung und zum Betrieb von Senioren-orientierten, zahlungsunabhängigen Primärpflegezentren sowie seine Minderheitsbeteiligung an Hospizgeschäften.</v>
    <v>0.44479999999999997</v>
    <v>21243643775</v>
    <v>New York Stock Exchange</v>
    <v>XNYS</v>
    <v>XNYS</v>
    <v>101 E. Main Street, LOUISVILLE, KY, 40202 US</v>
    <v>178.84</v>
    <v>Healthcare Providers &amp; Services</v>
    <v>Aktie</v>
    <v>18.040900000000001</v>
    <v>1960</v>
    <v>46113.994389756248</v>
    <v>67060</v>
    <v>HUMANA INC.</v>
    <v>172.04</v>
    <v>HUMANA INC.</v>
    <v>173.53</v>
    <v>176.95</v>
    <v>173.39</v>
    <v>HUM</v>
    <v>HUMANA INC. (XNYS:HUM)</v>
    <v>1964</v>
    <v>102</v>
    <v>1663848</v>
    <v>USD</v>
  </rv>
  <rv s="2">
    <v>1961</v>
  </rv>
  <rv s="3">
    <fb>169.09</fb>
    <v>6</v>
  </rv>
  <rv s="0">
    <v>https://www.bing.com/financeapi/forcetrigger?t=a25vnm&amp;q=XNYS%3aWHR&amp;form=skydnc</v>
    <v>Learn more on Bing</v>
  </rv>
  <rv s="1">
    <v>0</v>
    <v>1</v>
    <v>WHIRLPOOL CORPORATION (XNYS:WHR)</v>
    <v>3</v>
    <v>4</v>
    <v>Finance</v>
    <v>5</v>
    <v>de-DE</v>
    <v>a25vnm</v>
    <v>268435456</v>
    <v>1</v>
    <v>Unterstützt von Refinitiv</v>
    <v>111.96</v>
    <v>50.41</v>
    <v>0.36</v>
    <v>6.6769999999999998E-3</v>
    <v>64798900</v>
    <v>Whirlpool Corporation ist ein Haushaltsgerätehersteller. Das Unternehmen ist ein Hersteller von Küchen- und Waschgeräten. Zu seinen Segmenten gehören Major Domestic Appliances (MDA) North America, MDA Latin America, MDA Asia und Small Domestic Appliances (SDA) Global. In den Vereinigten Staaten und Kanada vermarktet und vertreibt das Unternehmen Haushaltsgeräte und andere Verbraucherprodukte unter den Markennamen Whirlpool, KitchenAid, Maytag, Amana, InSinkErator, JennAir, affresh, Swash, everydrop und Gladiator an Einzelhändler, Großhändler und Bauunternehmen sowie direkt an Verbraucher. In Lateinamerika produziert, vermarktet und vertreibt das Unternehmen hauptsächlich die Markennamen Consul, Brastemp, Whirlpool, KitchenAid, Acros, Maytag und Eslabon de Lujo. In Asien vermarktet das Unternehmen hauptsächlich unter den Markennamen Whirlpool, Elica, Maytag, KitchenAid und Indesit. In SDA Global vertreibt das Unternehmen die Geräte unter dem Markennamen KitchenAid an Einzelhändler, Großhändler und Verbraucher.</v>
    <v>1.2645999999999999</v>
    <v>3517284292</v>
    <v>New York Stock Exchange</v>
    <v>XNYS</v>
    <v>XNYS</v>
    <v>Whirlpool Cntr 2000 M 63, BENTON HARBOR, MI, 49022-2692 US</v>
    <v>54.71</v>
    <v>Household Goods</v>
    <v>Aktie</v>
    <v>9.6334</v>
    <v>1964</v>
    <v>46113.99347497656</v>
    <v>41000</v>
    <v>WHIRLPOOL CORPORATION</v>
    <v>52.66</v>
    <v>WHIRLPOOL CORPORATION</v>
    <v>53.24</v>
    <v>54.28</v>
    <v>53.92</v>
    <v>WHR</v>
    <v>WHIRLPOOL CORPORATION (XNYS:WHR)</v>
    <v>1955</v>
    <v>522</v>
    <v>3657058</v>
    <v>USD</v>
  </rv>
  <rv s="2">
    <v>1965</v>
  </rv>
  <rv s="3">
    <fb>51.92</fb>
    <v>6</v>
  </rv>
  <rv s="0">
    <v>https://www.bing.com/financeapi/forcetrigger?t=bx11nm&amp;q=XNYS%3aDASH&amp;form=skydnc</v>
    <v>Learn more on Bing</v>
  </rv>
  <rv s="1">
    <v>0</v>
    <v>1</v>
    <v>DOORDASH, INC. (XNAS:DASH)</v>
    <v>3</v>
    <v>4</v>
    <v>Finance</v>
    <v>5</v>
    <v>de-DE</v>
    <v>bx11nm</v>
    <v>268435456</v>
    <v>1</v>
    <v>Unterstützt von Refinitiv</v>
    <v>285.5</v>
    <v>143.30000000000001</v>
    <v>0.35</v>
    <v>2.3310000000000002E-3</v>
    <v>434426400</v>
    <v>DoorDash, Inc. Bietet Dienstleistungen an, die die Reibung im lokalen Handel verringern und Händlern dabei helfen, mit Verbrauchern in ihren Gemeinden in Kontakt zu treten. Das Hauptangebot des Unternehmens umfasst den DoorDash Marketplace und den Wolt Marketplace (zusammen die Marketplace-Sites) sowie seine Handelsplattform. Die Marktplätze des Unternehmens sind in über 30 Ländern auf der ganzen Welt tätig und bieten eine integrierte Suite von Services, die Händlern dabei helfen, eine Online-Präsenz aufzubauen, sich mit Verbrauchern in ihren Gemeinschaften zu vernetzen und unternehmenskritische Herausforderungen zu lösen, wie Kundengewinnung, Nachfragesteigerung, Auftragsabwicklung, Merchandising, Zahlungsabwicklung, und Kundensupport. Darüber hinaus bietet das Unternehmen Werbung als Mehrwert über seine Marktplätze an, um Händlern und Unternehmen für Verbrauchsgüter dabei zu helfen, die Kundenbindung zu steigern. Das Unternehmen verfügt auch über externe Werbemöglichkeiten. Zu den White-Label-Services für die Lieferung gehören DoorDash Drive On-Demand und Wolt Drive.</v>
    <v>1.9254</v>
    <v>65381173200</v>
    <v>Nasdaq Stock Market</v>
    <v>XNAS</v>
    <v>XNAS</v>
    <v>303 2nd Street, South Tower, 8th Floor, San Francisco, CA, 94107 US</v>
    <v>153.93</v>
    <v>Software &amp; IT Services</v>
    <v>Aktie</v>
    <v>70.973200000000006</v>
    <v>1968</v>
    <v>46113.997914988278</v>
    <v>31400</v>
    <v>DOORDASH, INC.</v>
    <v>149.41</v>
    <v>DOORDASH, INC.</v>
    <v>152.52000000000001</v>
    <v>150.5</v>
    <v>150.15</v>
    <v>DASH</v>
    <v>DOORDASH, INC. (XNAS:DASH)</v>
    <v>2013</v>
    <v>1452</v>
    <v>4212557</v>
    <v>USD</v>
  </rv>
  <rv s="2">
    <v>1969</v>
  </rv>
  <rv s="3">
    <fb>146.6</fb>
    <v>6</v>
  </rv>
  <rv s="0">
    <v>http://pt.wikipedia.org/wiki/Oracle_Corporation</v>
    <v>Wikipedia</v>
  </rv>
  <rv s="6">
    <v>35</v>
    <v>1972</v>
  </rv>
  <rv s="7">
    <v>18</v>
    <v>https://www.bing.com/th?id=AMMS_672116c618c664d13b2515d6587ba357&amp;qlt=95</v>
    <v>1973</v>
    <v>0</v>
    <v>https://www.bing.com/images/search?form=xlimg&amp;q=oracle+corporation</v>
    <v>Image of ORACLE CORPORATION</v>
  </rv>
  <rv s="0">
    <v>https://www.bing.com/financeapi/forcetrigger?t=a1zbec&amp;q=XNYS%3aORCL&amp;form=skydnc</v>
    <v>Learn more on Bing</v>
  </rv>
  <rv s="8">
    <v>13</v>
    <v>14</v>
    <v>ORACLE CORPORATION (XNYS:ORCL)</v>
    <v>16</v>
    <v>17</v>
    <v>Finance</v>
    <v>5</v>
    <v>de-DE</v>
    <v>a1zbec</v>
    <v>268435456</v>
    <v>1</v>
    <v>Unterstützt von Refinitiv</v>
    <v>345.72</v>
    <v>118.86</v>
    <v>-1.88</v>
    <v>-1.278E-2</v>
    <v>2876046000</v>
    <v>Oracle Corporation bietet integrierte Anwendungspakete sowie eine sichere, autonome Infrastruktur in der Oracle Cloud. Das Unternehmen ist in drei Geschäftsbereichen tätig: Cloud und Lizenz, Hardware und Service. Sein Cloud- und Lizenzgeschäft ist im Verkauf, Marketing und Bereitstellung seiner Unternehmensanwendungen und Infrastrukturtechnologien über Cloud- und On-Premise-Bereitstellungsmodelle tätig, einschließlich Cloud-Services und Lizenzsupport sowie Cloud-Lizenz- und On-Premise-Lizenzangebote. Das Hardwaregeschäft bietet Infrastrukturtechnologien wie Oracle Engineered Systems, Server, Speicher, branchenspezifische Hardware, Betriebssysteme, Virtualisierungs-, Verwaltungs- und andere hardwarebezogene Software zur Unterstützung verschiedener IT-Umgebungen. Das Servicegeschäft bietet Kunden und Partnern Services an, um die Performance ihrer Investitionen in Oracle-Anwendungen und Infrastrukturtechnologien zu maximieren.</v>
    <v>1.5974999999999999</v>
    <v>1974</v>
    <v>417688160580</v>
    <v>New York Stock Exchange</v>
    <v>XNYS</v>
    <v>XNYS</v>
    <v>2300 Oracle Way, AUSTIN, TX, 78741 US</v>
    <v>149.65</v>
    <v>Software &amp; IT Services</v>
    <v>Aktie</v>
    <v>25.699100000000001</v>
    <v>1975</v>
    <v>46113.999615068751</v>
    <v>162000</v>
    <v>ORACLE CORPORATION</v>
    <v>144.66999999999999</v>
    <v>ORACLE CORPORATION</v>
    <v>149.09</v>
    <v>145.22999999999999</v>
    <v>147.11000000000001</v>
    <v>ORCL</v>
    <v>ORACLE CORPORATION (XNYS:ORCL)</v>
    <v>2005</v>
    <v>94083</v>
    <v>28219203</v>
    <v>USD</v>
  </rv>
  <rv s="2">
    <v>1976</v>
  </rv>
  <rv s="3">
    <fb>139.66</fb>
    <v>6</v>
  </rv>
  <rv s="0">
    <v>https://www.bing.com/financeapi/forcetrigger?t=c1sd3m&amp;q=XNAS%3aAPP&amp;form=skydnc</v>
    <v>Learn more on Bing</v>
  </rv>
  <rv s="1">
    <v>0</v>
    <v>1</v>
    <v>APPLOVIN CORPORATION (XNAS:APP)</v>
    <v>3</v>
    <v>4</v>
    <v>Finance</v>
    <v>5</v>
    <v>de-DE</v>
    <v>c1sd3m</v>
    <v>268435456</v>
    <v>1</v>
    <v>Unterstützt von Refinitiv</v>
    <v>745.61</v>
    <v>200.5</v>
    <v>-10.16</v>
    <v>-2.5527999999999999E-2</v>
    <v>337278000</v>
    <v>AppLovin Corporation ist eine Marketingplattform. Das Unternehmen bietet End-to-End-Software und KI-Lösungen (KI) für Unternehmen, um ihr globales Publikum zu erreichen, zu monetarisieren und zu wachsen. Die Werbelösungen umfassen eine umfassende Suite von Tools, darunter AppDiscovery, MAX, Adjust, Wurl und Axon Ads Manager. AppDiscovery wird von AXON, seiner KI-basierten Werbe-Engine, unterstützt und passt die Nachfrage der Werbetreibenden mit dem Angebot der Verlage durch Auktionen in großem Maßstab und mit Mikrosekundengeschwindigkeit an. MAX ist seine Monetarisierungslösung, die eine fortschrittliche in-App-Bietungstechnologie nutzt, die den Wert des Werbebestands eines Verlags optimiert, indem sie eine wettbewerbsfähige Echtzeitauktion durchführt, wodurch mehr Wettbewerb und höhere Erträge für Publisher gefördert werden. Adjust ist die Marketing-Plattform für Mess- und Analytics-Anwendungen, die Marketingexperten die Transparenz, Einblicke und Daten bietet, die sie benötigen, um ihr Marketing für Apps zu skalieren und fundiertere Ergebnisse zu erzielen. Wurl ist seine Connected TV (CTV)-Plattform.</v>
    <v>2.5013999999999998</v>
    <v>130809899519</v>
    <v>Nasdaq Stock Market</v>
    <v>XNAS</v>
    <v>XNAS</v>
    <v>1100 Page Mill Rd, PALO ALTO, CA, 94304-1047 US</v>
    <v>403.98989999999998</v>
    <v>Software &amp; IT Services</v>
    <v>Aktie</v>
    <v>40.319099999999999</v>
    <v>1979</v>
    <v>46113.999885474215</v>
    <v>898</v>
    <v>APPLOVIN CORPORATION</v>
    <v>385.0127</v>
    <v>APPLOVIN CORPORATION</v>
    <v>402.005</v>
    <v>387.84</v>
    <v>398</v>
    <v>APP</v>
    <v>APPLOVIN CORPORATION (XNAS:APP)</v>
    <v>2011</v>
    <v>9438</v>
    <v>5071448</v>
    <v>USD</v>
  </rv>
  <rv s="2">
    <v>1980</v>
  </rv>
  <rv s="3">
    <fb>381.2</fb>
    <v>6</v>
  </rv>
  <rv s="0">
    <v>https://www.bing.com/financeapi/forcetrigger?t=a1yoa2&amp;q=XNYS%3aNOW&amp;form=skydnc</v>
    <v>Learn more on Bing</v>
  </rv>
  <rv s="1">
    <v>0</v>
    <v>1</v>
    <v>SERVICENOW, INC. (XNYS:NOW)</v>
    <v>3</v>
    <v>4</v>
    <v>Finance</v>
    <v>5</v>
    <v>de-DE</v>
    <v>a1yoa2</v>
    <v>268435456</v>
    <v>1</v>
    <v>Unterstützt von Refinitiv</v>
    <v>211.47800000000001</v>
    <v>98</v>
    <v>-0.51</v>
    <v>-4.8780000000000004E-3</v>
    <v>1046000000</v>
    <v>ServiceNow, Inc. Ist ein Unternehmen für digitale Arbeitsabläufe. Die intelligente Plattform, die Now Platform, ist eine Cloud-basierte Lösung mit eingebetteten Funktionen für künstliche Intelligenz und maschinelles Lernen, mit der globale Unternehmen aus Branchen, Universitäten und Regierungen ihre Workflows vereinheitlichen und digitalisieren können. Die auf der Now Platform basierenden Workflow-Anwendungen sind in vier Hauptbereiche unterteilt: Technologie, Kunde und Branche, Mitarbeiter und Ersteller. Die IT-Abteilungen können die IT-Abteilungen in die Lage versetzen, die IT-Anforderungen des Unternehmens zu planen, aufzubauen, zu betreiben und zu bedienen. Seine Kunden- und Branchenabläufe helfen Unternehmen dabei, das Kundenerlebnis und die Kundentreue neu zu gestalten. Die Ersteller-Workflows ermöglichen es Kunden, ihre eigenen Anwendungen auf der Now Platform zu erstellen, zu testen und bereitzustellen. Es verbessert die auf GenAI basierenden Such- und Wissensmanagementfunktionen auf der Now Platform. Darüber hinaus ist es auf die Asset-Erkennung für betriebliche Technologiegeräte spezialisiert.</v>
    <v>1.0053000000000001</v>
    <v>108825840000</v>
    <v>New York Stock Exchange</v>
    <v>XNYS</v>
    <v>XNYS</v>
    <v>2225 Lawson Lane, SANTA CLARA, CA, 95054 US</v>
    <v>105.9</v>
    <v>Software &amp; IT Services</v>
    <v>Aktie</v>
    <v>62.307600000000001</v>
    <v>1983</v>
    <v>46113.999944513278</v>
    <v>29187</v>
    <v>SERVICENOW, INC.</v>
    <v>102.01</v>
    <v>SERVICENOW, INC.</v>
    <v>105.23</v>
    <v>104.04</v>
    <v>104.55</v>
    <v>NOW</v>
    <v>SERVICENOW, INC. (XNYS:NOW)</v>
    <v>2012</v>
    <v>33007</v>
    <v>17178830</v>
    <v>USD</v>
  </rv>
  <rv s="2">
    <v>1984</v>
  </rv>
  <rv s="3">
    <fb>99.41</fb>
    <v>6</v>
  </rv>
  <rv s="0">
    <v>https://www.bing.com/financeapi/forcetrigger?t=a1ruc7&amp;q=XNYS%3aEL&amp;form=skydnc</v>
    <v>Learn more on Bing</v>
  </rv>
  <rv s="5">
    <v>10</v>
    <v>11</v>
    <v>THE ESTEE LAUDER COMPANIES INC. (XNYS:EL)</v>
    <v>3</v>
    <v>12</v>
    <v>Finance</v>
    <v>5</v>
    <v>de-DE</v>
    <v>a1ruc7</v>
    <v>268435456</v>
    <v>1</v>
    <v>Unterstützt von Refinitiv</v>
    <v>121.63500000000001</v>
    <v>48.370100000000001</v>
    <v>-1.06</v>
    <v>-1.4769000000000001E-2</v>
    <v>361727100</v>
    <v>Die Estee Lauder Companies Inc. Ist ein Hersteller, Vermarkter und Verkäufer von Hautpflege-, Make-up-, Duft- und Haarpflegeprodukten. Zu den Produktkategorien gehören Hautpflege, Make-up, Duft, Haarpflege und andere. Seine Produkte werden in etwa 150 Ländern und Gebieten unter verschiedenen Markennamen verkauft, darunter Estee Lauder, Aramis, Clinique, Lab Series, Origins, M.A.C, Bobbi Brown Cosmetics, La Mer, Aveda, Jo Malone London, Bumble and Bumble, Darphin Paris, TOM FORD, Smashbox, AERIN Beauty, Le Labo, Editions de Parfums Frederic Malle, GLAMGLOW, Kilian Paris, Too Faced, Dr.Jart+ und die DECIEM-Markenfamilie, einschließlich der Normal und NIOD. Sie ist Lizenznehmer für Duftstoffe, Kosmetika und/oder verwandte Produkte für AERIN, BALMAIN und Dr. Andrew weil. Zu den Hautpflegeprodukten gehören Feuchtigkeitscremes, Seren, Reinigungsmittel, Toner, Peelings, Gesichtsmasken, Körperpflege, Sonnenpflegeprodukte und andere. Zu den Make-up-Produkten gehören Lippenstifte, Lippengloss, Mascaras, Foundation und andere.</v>
    <v>1.2515000000000001</v>
    <v>25577723240</v>
    <v>New York Stock Exchange</v>
    <v>XNYS</v>
    <v>XNYS</v>
    <v>767 Fifth Avenue, NEW YORK, NY, 10153 US</v>
    <v>73.894999999999996</v>
    <v>Personal &amp; Household Products &amp; Services</v>
    <v>Aktie</v>
    <v>1987</v>
    <v>46113.998990543747</v>
    <v>57000</v>
    <v>THE ESTEE LAUDER COMPANIES INC.</v>
    <v>70.150000000000006</v>
    <v>THE ESTEE LAUDER COMPANIES INC.</v>
    <v>72.319999999999993</v>
    <v>70.709999999999994</v>
    <v>71.77</v>
    <v>EL</v>
    <v>THE ESTEE LAUDER COMPANIES INC. (XNYS:EL)</v>
    <v>1976</v>
    <v>1502</v>
    <v>5313987</v>
    <v>USD</v>
  </rv>
  <rv s="2">
    <v>1988</v>
  </rv>
  <rv s="3">
    <fb>67.23</fb>
    <v>6</v>
  </rv>
  <rv s="0">
    <v>https://www.bing.com/financeapi/forcetrigger?t=a1svnm&amp;q=XNYS%3aFICO&amp;form=skydnc</v>
    <v>Learn more on Bing</v>
  </rv>
  <rv s="1">
    <v>0</v>
    <v>1</v>
    <v>FAIR ISAAC CORPORATION (XNYS:FICO)</v>
    <v>3</v>
    <v>4</v>
    <v>Finance</v>
    <v>5</v>
    <v>de-DE</v>
    <v>a1svnm</v>
    <v>268435456</v>
    <v>1</v>
    <v>Unterstützt von Refinitiv</v>
    <v>2217.6</v>
    <v>969.32</v>
    <v>-5.55</v>
    <v>-5.1990000000000005E-3</v>
    <v>23722130</v>
    <v>Fair Isaac Corporation ist ein Softwareunternehmen für angewandte Analysen. Das Unternehmen konzentriert sich auf die Verwendung von Predictive Analytics und Data Science, um betriebliche Entscheidungen zu verbessern. Das Unternehmen ist in zwei Segmenten tätig: Scores und Software. Das Segment Scores umfasst die Business-to-Business-Scoring-Lösungen und -Services des Unternehmens, die seinen Kunden Zugang zu prädiktiven Krediten und anderen Scores bieten. Dieses Segment umfasst die Scoring-Lösungen zwischen Unternehmen und Verbrauchern, einschließlich der Abonnementangebote für myFICO.com. Das Softwaresegment des Unternehmens umfasst vorkonfigurierte Analyse- und Entscheidungsmanagement-Lösungen, die für eine bestimmte Art von Geschäftsanforderungen oder -Prozessen entwickelt wurden, z. B. Kontoerstellung, Kundenmanagement, Kundenbindung, Betrugserkennung und -Marketing sowie damit verbundene professionelle Dienstleistungen. Dieses Segment umfasst die FICO Platform, ein modulares Softwareangebot, das zur Unterstützung erweiterter Analyse- und Entscheidungsszenarien sowie eigenständiger Analyse- und Entscheidungssoftware entwickelt wurde.</v>
    <v>1.3757999999999999</v>
    <v>25192664838</v>
    <v>New York Stock Exchange</v>
    <v>XNYS</v>
    <v>XNYS</v>
    <v>5 West Mendenhall, Suites 105, BOZEMAN, MT, 59715 US</v>
    <v>1072.0099</v>
    <v>Software &amp; IT Services</v>
    <v>Aktie</v>
    <v>39.314700000000002</v>
    <v>1991</v>
    <v>46113.973079131247</v>
    <v>3762</v>
    <v>FAIR ISAAC CORPORATION</v>
    <v>1030.1300000000001</v>
    <v>FAIR ISAAC CORPORATION</v>
    <v>1059.1199999999999</v>
    <v>1061.99</v>
    <v>1067.54</v>
    <v>FICO</v>
    <v>FAIR ISAAC CORPORATION (XNYS:FICO)</v>
    <v>1987</v>
    <v>504</v>
    <v>380259</v>
    <v>USD</v>
  </rv>
  <rv s="2">
    <v>1992</v>
  </rv>
  <rv s="3">
    <fb>1011.06</fb>
    <v>6</v>
  </rv>
  <rv s="0">
    <v>https://www.bing.com/financeapi/forcetrigger?t=bzu86h&amp;q=XNAS%3aCOIN&amp;form=skydnc</v>
    <v>Learn more on Bing</v>
  </rv>
  <rv s="1">
    <v>0</v>
    <v>1</v>
    <v>COINBASE GLOBAL, INC. (XNAS:COIN)</v>
    <v>3</v>
    <v>4</v>
    <v>Finance</v>
    <v>5</v>
    <v>de-DE</v>
    <v>bzu86h</v>
    <v>268435456</v>
    <v>1</v>
    <v>Unterstützt von Refinitiv</v>
    <v>444.64499999999998</v>
    <v>139.36000000000001</v>
    <v>-1.62</v>
    <v>-9.2779999999999998E-3</v>
    <v>264075200</v>
    <v>Coinbase Global, Inc. Ist eine Holdinggesellschaft von Coinbase, Inc. Und anderen Tochtergesellschaften. Das Unternehmen bietet eine Plattform, die als konforme Anlaufstelle für die onchain-Wirtschaft dient und Benutzern ermöglicht, mit ihren Kryptoressourcen eine Vielzahl von Aktivitäten in proprietären und externen Produkterlebnissen durchzuführen, die durch den Zugriff auf dezentrale Anwendungen ermöglicht werden. Es bietet Verbrauchern ihr primäres Finanzkonto für die Kryptoökonomie, Institutionen eine Full-Service Prime Brokerage-Plattform mit Zugang zu tiefen Liquiditätspools auf dem gesamten Kryptomarkt und Entwicklern eine Produktsuite, die Zugriff auf onchain gewährt. Die Plattform unterstützt Menschen und Institutionen bei der Interaktion mit Krypto-Assets, einschließlich Handel, Stakes, Verwahrung, Ausgaben, und globale Transfers. Es bietet Produkte und Dienstleistungen für verschiedene Kundengruppen an: Einzelpersonen, Unternehmen, Institutionen und Entwicklern. Seine Transaktionsprodukte bestehen aus Consumer Trading, Prime Trading, Märkten, Basisprotokoll und Coinbase Wallet.</v>
    <v>3.6057999999999999</v>
    <v>45682368848</v>
    <v>Nasdaq Stock Market</v>
    <v>XNAS</v>
    <v>XNAS</v>
    <v>One Madison Avenue, Suite 2400, NEW YORK, NY, 10010 US</v>
    <v>179.3</v>
    <v>Financial Technology (Fintech) &amp; Infrastructure</v>
    <v>Aktie</v>
    <v>39.658200000000001</v>
    <v>1995</v>
    <v>46113.999997418752</v>
    <v>4951</v>
    <v>COINBASE GLOBAL, INC.</v>
    <v>171.72130000000001</v>
    <v>COINBASE GLOBAL, INC.</v>
    <v>179</v>
    <v>172.99</v>
    <v>174.61</v>
    <v>COIN</v>
    <v>COINBASE GLOBAL, INC. (XNAS:COIN)</v>
    <v>2025</v>
    <v>45907</v>
    <v>13179963</v>
    <v>USD</v>
  </rv>
  <rv s="2">
    <v>1996</v>
  </rv>
  <rv s="3">
    <fb>161.13999999999999</fb>
    <v>6</v>
  </rv>
  <rv s="0">
    <v>https://www.bing.com/financeapi/forcetrigger?t=a1qeh7&amp;q=XNAS%3aCSGP&amp;form=skydnc</v>
    <v>Learn more on Bing</v>
  </rv>
  <rv s="1">
    <v>0</v>
    <v>1</v>
    <v>COSTAR GROUP, INC. (XNAS:CSGP)</v>
    <v>3</v>
    <v>4</v>
    <v>Finance</v>
    <v>5</v>
    <v>de-DE</v>
    <v>a1qeh7</v>
    <v>268435456</v>
    <v>1</v>
    <v>Unterstützt von Refinitiv</v>
    <v>97.43</v>
    <v>38.69</v>
    <v>-0.71</v>
    <v>-1.7600000000000001E-2</v>
    <v>419793300</v>
    <v>CoStar Group, Inc. ist ein Anbieter von Online-Immobilienmarktplätzen, Informationen und Analysen auf den Immobilienmärkten. Das Unternehmen führt seine Geschäfte in zwei Segmenten: Nordamerika, das die Vereinigten Staaten und Kanada umfasst, und International, das hauptsächlich Europa, Asien-Pazifik und Lateinamerika umfasst. Zu den wichtigsten Marken des Unternehmens gehören CoStar, ein globaler Anbieter von Daten, Analysen und Nachrichten für Gewerbeimmobilien, LoopNet, ein Marktplatz für Gewerbeimmobilien, Apartments.com, eine Plattform für die Vermietung von Wohnungen, und Homes.com, ein Marktplatz für Wohnimmobilien. Zu den weiteren Marken des Unternehmens gehören STR, das sich mit Daten und Benchmarking für das Gastgewerbe befasst, Ten-X, eine Online-Plattform für gewerbliche Immobilienauktionen und verhandelte Gebote, und OnTheMarket, ein Portal für Wohnimmobilien in Großbritannien. Über Matterport, Inc. fördert das Unternehmen den Einblick in die Immobilienbranche und treibt das Wachstum der KI-gesteuerten digitalen Zwillingstechnologie im globalen Gewerbe- und Wohnimmobiliensektor voran.</v>
    <v>0.92049999999999998</v>
    <v>16636408479</v>
    <v>Nasdaq Stock Market</v>
    <v>XNAS</v>
    <v>XNAS</v>
    <v>1201 Wilson Blvd., ARLINGTON, VA, 22209 US</v>
    <v>40.340000000000003</v>
    <v>Software &amp; IT Services</v>
    <v>Aktie</v>
    <v>2381.61</v>
    <v>1999</v>
    <v>46113.988633367968</v>
    <v>8000</v>
    <v>COSTAR GROUP, INC.</v>
    <v>38.69</v>
    <v>COSTAR GROUP, INC.</v>
    <v>40.340000000000003</v>
    <v>39.630000000000003</v>
    <v>40.340000000000003</v>
    <v>CSGP</v>
    <v>COSTAR GROUP, INC. (XNAS:CSGP)</v>
    <v>1998</v>
    <v>53</v>
    <v>6453888</v>
    <v>USD</v>
  </rv>
  <rv s="2">
    <v>2000</v>
  </rv>
  <rv s="3">
    <fb>39.770000000000003</fb>
    <v>6</v>
  </rv>
  <rv s="0">
    <v>https://www.bing.com/financeapi/forcetrigger?t=a25rkr&amp;q=XNAS%3aWDAY&amp;form=skydnc</v>
    <v>Learn more on Bing</v>
  </rv>
  <rv s="1">
    <v>0</v>
    <v>1</v>
    <v>WORKDAY, INC. (XNAS:WDAY)</v>
    <v>3</v>
    <v>4</v>
    <v>Finance</v>
    <v>5</v>
    <v>de-DE</v>
    <v>a25rkr</v>
    <v>268435456</v>
    <v>1</v>
    <v>Unterstützt von Refinitiv</v>
    <v>276</v>
    <v>117.76</v>
    <v>-0.87</v>
    <v>-6.6959999999999997E-3</v>
    <v>257000000</v>
    <v>Workday, Inc. Ist ein Anbieter einer künstlichen Intelligenz (KI)-Plattform, mit der Unternehmen ihre Mitarbeiter, ihr Geld und ihre Agenten verwalten können. Das Unternehmen bietet mehr als 11.000 Unternehmen Cloud-Lösungen auf Basis von KI, um geschäftliche Herausforderungen zu meistern. Dazu gehören Unterstützung und Stärkung ihrer Mitarbeiter, Verwaltung ihrer Finanzen und Ausgaben in einer sich ständig verändernden Umgebung und Planung für unerwartete Ereignisse. Sie bietet Financial Management, Spend Management, Human Capital Management (HCM), Planning und Analytics-Anwendungen. Das Unternehmen verkauft seine Lösungen weltweit hauptsächlich über Direktvertrieb. Darüber hinaus bietet es professionelle Services, sowohl direkt als auch über seine Workday Services Partner, um Kunden bei der Implementierung ihrer Lösungen zu unterstützen. Sie bietet Unternehmen flexible Lösungen, mit denen sie sich an ihre branchenspezifischen Anforderungen anpassen und auf Veränderungen reagieren können. Es bedient verschiedene Branchen, einschließlich Berufs- und Unternehmensdienstleistungen, Finanzdienstleistungen, Gesundheitswesen, Bildung, Behörden, und andere.</v>
    <v>1.1415999999999999</v>
    <v>33165850000</v>
    <v>Nasdaq Stock Market</v>
    <v>XNAS</v>
    <v>XNAS</v>
    <v>6110 Stoneridge Mall Road, PLEASANTON, CA, 94588 US</v>
    <v>131.01</v>
    <v>Software &amp; IT Services</v>
    <v>Aktie</v>
    <v>50.010300000000001</v>
    <v>2003</v>
    <v>46113.994416029687</v>
    <v>21000</v>
    <v>WORKDAY, INC.</v>
    <v>125.02</v>
    <v>WORKDAY, INC.</v>
    <v>129.82499999999999</v>
    <v>129.05000000000001</v>
    <v>129.91999999999999</v>
    <v>WDAY</v>
    <v>WORKDAY, INC. (XNAS:WDAY)</v>
    <v>2012</v>
    <v>393</v>
    <v>6035330</v>
    <v>USD</v>
  </rv>
  <rv s="2">
    <v>2004</v>
  </rv>
  <rv s="3">
    <fb>124.18</fb>
    <v>6</v>
  </rv>
  <rv s="0">
    <v>https://www.bing.com/financeapi/forcetrigger?t=c2mtww&amp;q=XNAS%3aHOOD&amp;form=skydnc</v>
    <v>Learn more on Bing</v>
  </rv>
  <rv s="1">
    <v>0</v>
    <v>1</v>
    <v>ROBINHOOD MARKETS, INC. (XNAS:HOOD)</v>
    <v>3</v>
    <v>4</v>
    <v>Finance</v>
    <v>5</v>
    <v>de-DE</v>
    <v>c2mtww</v>
    <v>268435456</v>
    <v>1</v>
    <v>Unterstützt von Refinitiv</v>
    <v>153.85990000000001</v>
    <v>29.66</v>
    <v>0.81</v>
    <v>1.1688E-2</v>
    <v>900308400</v>
    <v>Robinhood Markets, Inc. Erstellt eine Finanzdienstleistungsplattform für alle, unabhängig von ihrem Vermögen, Einkommen oder Hintergrund. Sie nutzt Technologie, um Zugang zum Finanzsystem zu ermöglichen. Das Angebot umfasst Brokerage, Robinhood Crypto, Custody, Robinhood Wallet, Robinhood Gold, und Robinhood Gold Card. Die Brokerage-Dienstleistungen umfassen Investitionen, Optionshandel, Teilhandel, wiederkehrende Anlagen, Zugang zu Margeninvestitionen, voll bezahlte Wertpapierleihvergabe, Cash Sweep, sofortige Abhebungen, Robinhood-Pensionierung, 24-Stunden-Markt, gemeinsame Anlagekonten und Ereignisverträge. Darüber hinaus bietet es seinen Kunden eine Vielzahl von Möglichkeiten, ihr Finanzwissen zu erweitern, darunter Robinhood Learn, in-App Education, Newsfeeds, Sherwood Snacks, und Crypto lernen und verdienen. Das selbstverrechnende System, das Bestellweiterleitungssystem, die Datenplattform und andere Backend-Infrastruktur bieten die Funktionen, mit denen sich Kunden auf Investitionen, Einsparungen und Ausgaben konzentrieren können.</v>
    <v>2.4632999999999998</v>
    <v>63120621924</v>
    <v>Nasdaq Stock Market</v>
    <v>XNAS</v>
    <v>XNAS</v>
    <v>85 Willow Road, MENLO PARK, CA, 94025 US</v>
    <v>71.551199999999994</v>
    <v>Financial Technology (Fintech) &amp; Infrastructure</v>
    <v>Aktie</v>
    <v>39.220199999999998</v>
    <v>2007</v>
    <v>46113.999888587503</v>
    <v>2900</v>
    <v>ROBINHOOD MARKETS, INC.</v>
    <v>69.14</v>
    <v>ROBINHOOD MARKETS, INC.</v>
    <v>71.13</v>
    <v>70.11</v>
    <v>69.3</v>
    <v>HOOD</v>
    <v>ROBINHOOD MARKETS, INC. (XNAS:HOOD)</v>
    <v>2013</v>
    <v>149644</v>
    <v>27368198</v>
    <v>USD</v>
  </rv>
  <rv s="2">
    <v>2008</v>
  </rv>
  <rv s="3">
    <fb>66.02</fb>
    <v>6</v>
  </rv>
  <rv s="17">
    <v>55</v>
    <v>56</v>
    <v>SATSUMA TECHNOLOGY PLC (XLON:SATS)</v>
    <v>9</v>
    <v>57</v>
    <v>Finance</v>
    <v>50</v>
    <v>de-DE</v>
    <v>c8iph7</v>
    <v>268435456</v>
    <v>1</v>
    <v>Unterstützt von Refinitiv</v>
    <v>27.5</v>
    <v>0.187</v>
    <v>8.0000000000000002E-3</v>
    <v>4.0815999999999998E-2</v>
    <v>11203900000</v>
    <v>Satsuma Technology PLC, ehemals TAO Alpha PLC, stellt Subnetz-Infrastrukturen bereit und entwickelt umsatzwirksame Agenten für künstliche Intelligenz (KI), um die nächste Generation dezentraler Dienste für künstliche Intelligenz zu ermöglichen. Die Haupttätigkeit des Unternehmens besteht darin, ein globales, auf KI fokussiertes Unternehmen zu schaffen.</v>
    <v>39773850</v>
    <v>London Stock Exchange</v>
    <v>XLON</v>
    <v>XLON</v>
    <v>9Th Floor, 16 Great Queen Street, LONDON, WC2B 5DG GB</v>
    <v>Software &amp; IT Services</v>
    <v>Aktie</v>
    <v>46114.323216122655</v>
    <v>1</v>
    <v>SATSUMA TECHNOLOGY PLC</v>
    <v>SATSUMA TECHNOLOGY PLC</v>
    <v>0.20399999999999999</v>
    <v>0.19600000000000001</v>
    <v>SATS</v>
    <v>SATSUMA TECHNOLOGY PLC (XLON:SATS)</v>
    <v>2021</v>
    <v>3316061</v>
    <v>10966730</v>
    <v>GBp</v>
  </rv>
  <rv s="2">
    <v>2011</v>
  </rv>
  <rv s="3">
    <fb>0.19500000000000001</fb>
    <v>51</v>
  </rv>
  <rv s="18">
    <v>58</v>
    <v>a1wmu2</v>
    <v>Weekly</v>
    <v>45921</v>
    <v>46109</v>
    <v>0</v>
    <v>1</v>
    <v>639101664000000000,639107140749832036,0</v>
    <v>0</v>
    <v>a1wmu2</v>
    <v>XNYS:KR</v>
    <v>1</v>
  </rv>
  <rv s="18">
    <v>58</v>
    <v>a1vgar</v>
    <v>Daily</v>
    <v>46108</v>
    <v>46108</v>
    <v>0</v>
    <v>1</v>
    <v>639101664000000000,639106637258655845,0</v>
    <v>2</v>
    <v>a1vgar</v>
    <v>XNYS:COHR</v>
    <v>3</v>
  </rv>
  <rv s="18">
    <v>58</v>
    <v>a1pctc</v>
    <v>Weekly</v>
    <v>45921</v>
    <v>46109</v>
    <v>0</v>
    <v>1</v>
    <v>639101664000000000,639107140737067097,0</v>
    <v>0</v>
    <v>a1pctc</v>
    <v>XNYS:CCL</v>
    <v>4</v>
  </rv>
  <rv s="18">
    <v>58</v>
    <v>a25f6h</v>
    <v>Daily</v>
    <v>46108</v>
    <v>46108</v>
    <v>0</v>
    <v>1</v>
    <v>639101664000000000,639106637195496389,0</v>
    <v>2</v>
    <v>a25f6h</v>
    <v>XNYS:VMC</v>
    <v>5</v>
  </rv>
  <rv s="18">
    <v>58</v>
    <v>a1wzw7</v>
    <v>Weekly</v>
    <v>45921</v>
    <v>46109</v>
    <v>0</v>
    <v>1</v>
    <v>639101664000000000,639107140698670405,0</v>
    <v>0</v>
    <v>a1wzw7</v>
    <v>XNYS:LMT</v>
    <v>6</v>
  </rv>
  <rv s="18">
    <v>58</v>
    <v>a23tz2</v>
    <v>Weekly</v>
    <v>45921</v>
    <v>46109</v>
    <v>0</v>
    <v>1</v>
    <v>639101664000000000,639107140687246082,0</v>
    <v>0</v>
    <v>a23tz2</v>
    <v>XNAS:SWKS</v>
    <v>7</v>
  </rv>
  <rv s="18">
    <v>58</v>
    <v>a1mvm7</v>
    <v>Daily</v>
    <v>46108</v>
    <v>46108</v>
    <v>0</v>
    <v>1</v>
    <v>639101664000000000,639106637237109470,0</v>
    <v>2</v>
    <v>a1mvm7</v>
    <v>XNYS:ADM</v>
    <v>8</v>
  </rv>
  <rv s="18">
    <v>58</v>
    <v>a1mptc</v>
    <v>Weekly</v>
    <v>45921</v>
    <v>46109</v>
    <v>0</v>
    <v>1</v>
    <v>639101664000000000,639107140684487692,0</v>
    <v>0</v>
    <v>a1mptc</v>
    <v>XNYS:COR</v>
    <v>9</v>
  </rv>
  <rv s="18">
    <v>58</v>
    <v>a1udz2</v>
    <v>Weekly</v>
    <v>45921</v>
    <v>46109</v>
    <v>0</v>
    <v>1</v>
    <v>639101664000000000,639107140680545248,0</v>
    <v>0</v>
    <v>a1udz2</v>
    <v>XNYS:GWW</v>
    <v>10</v>
  </rv>
  <rv s="18">
    <v>58</v>
    <v>a1o1jc</v>
    <v>Daily</v>
    <v>46108</v>
    <v>46108</v>
    <v>0</v>
    <v>1</v>
    <v>639101664000000000,639106637074765735,0</v>
    <v>2</v>
    <v>a1o1jc</v>
    <v>XNYS:AWK</v>
    <v>11</v>
  </rv>
  <rv s="18">
    <v>58</v>
    <v>a239hw</v>
    <v>Daily</v>
    <v>46108</v>
    <v>46108</v>
    <v>0</v>
    <v>1</v>
    <v>639101664000000000,639106637154149318,0</v>
    <v>2</v>
    <v>a239hw</v>
    <v>XNAS:SNPS</v>
    <v>12</v>
  </rv>
  <rv s="18">
    <v>58</v>
    <v>a1vgar</v>
    <v>Weekly</v>
    <v>45921</v>
    <v>46109</v>
    <v>0</v>
    <v>1</v>
    <v>639101664000000000,639107140765573888,0</v>
    <v>0</v>
    <v>a1vgar</v>
    <v>XNYS:COHR</v>
    <v>13</v>
  </rv>
  <rv s="18">
    <v>58</v>
    <v>a1pqur</v>
    <v>Weekly</v>
    <v>45921</v>
    <v>46109</v>
    <v>0</v>
    <v>1</v>
    <v>639101664000000000,639107140643970639,0</v>
    <v>0</v>
    <v>a1pqur</v>
    <v>XNAS:CINF</v>
    <v>14</v>
  </rv>
  <rv s="18">
    <v>58</v>
    <v>a1swsm</v>
    <v>Weekly</v>
    <v>45921</v>
    <v>46109</v>
    <v>0</v>
    <v>1</v>
    <v>639101664000000000,639107140719984368,0</v>
    <v>0</v>
    <v>a1swsm</v>
    <v>XNYS:FIS</v>
    <v>15</v>
  </rv>
  <rv s="18">
    <v>58</v>
    <v>a1rdzr</v>
    <v>Weekly</v>
    <v>45921</v>
    <v>46109</v>
    <v>0</v>
    <v>1</v>
    <v>639101664000000000,639107140708841340,0</v>
    <v>0</v>
    <v>a1rdzr</v>
    <v>XNYS:DUK</v>
    <v>16</v>
  </rv>
  <rv s="18">
    <v>58</v>
    <v>a25m77</v>
    <v>Weekly</v>
    <v>45921</v>
    <v>46109</v>
    <v>0</v>
    <v>1</v>
    <v>639101664000000000,639107140711042285,0</v>
    <v>0</v>
    <v>a25m77</v>
    <v>XNYS:VTR</v>
    <v>17</v>
  </rv>
  <rv s="18">
    <v>58</v>
    <v>a1oma2</v>
    <v>Weekly</v>
    <v>45921</v>
    <v>46109</v>
    <v>0</v>
    <v>1</v>
    <v>639101664000000000,639107140747370725,0</v>
    <v>0</v>
    <v>a1oma2</v>
    <v>XNYS:BALL</v>
    <v>18</v>
  </rv>
  <rv s="18">
    <v>58</v>
    <v>a1mwoc</v>
    <v>Weekly</v>
    <v>45921</v>
    <v>46109</v>
    <v>0</v>
    <v>1</v>
    <v>639101664000000000,639107140746745077,0</v>
    <v>0</v>
    <v>a1mwoc</v>
    <v>XNAS:ADSK</v>
    <v>19</v>
  </rv>
  <rv s="18">
    <v>58</v>
    <v>a1r2z2</v>
    <v>Weekly</v>
    <v>45921</v>
    <v>46109</v>
    <v>0</v>
    <v>1</v>
    <v>639101664000000000,639107140687248450,0</v>
    <v>0</v>
    <v>a1r2z2</v>
    <v>XNYS:DIS</v>
    <v>20</v>
  </rv>
  <rv s="18">
    <v>58</v>
    <v>bx11nm</v>
    <v>Daily</v>
    <v>46108</v>
    <v>46108</v>
    <v>0</v>
    <v>1</v>
    <v>639101664000000000,639106637101148859,0</v>
    <v>2</v>
    <v>bx11nm</v>
    <v>XNAS:DASH</v>
    <v>21</v>
  </rv>
  <rv s="18">
    <v>58</v>
    <v>a1tctc</v>
    <v>Weekly</v>
    <v>45921</v>
    <v>46109</v>
    <v>0</v>
    <v>1</v>
    <v>639101664000000000,639107140633284415,0</v>
    <v>0</v>
    <v>a1tctc</v>
    <v>XNYS:FRT</v>
    <v>22</v>
  </rv>
  <rv s="18">
    <v>58</v>
    <v>a1o3tc</v>
    <v>Daily</v>
    <v>46108</v>
    <v>46108</v>
    <v>0</v>
    <v>1</v>
    <v>639101664000000000,639106637150540018,0</v>
    <v>2</v>
    <v>a1o3tc</v>
    <v>XNYS:AZO</v>
    <v>23</v>
  </rv>
  <rv s="18">
    <v>58</v>
    <v>a1n7mw</v>
    <v>Weekly</v>
    <v>45921</v>
    <v>46109</v>
    <v>0</v>
    <v>1</v>
    <v>639101664000000000,639107140647290622,0</v>
    <v>0</v>
    <v>a1n7mw</v>
    <v>XNYS:AIZ</v>
    <v>24</v>
  </rv>
  <rv s="18">
    <v>58</v>
    <v>a1zo52</v>
    <v>Daily</v>
    <v>46108</v>
    <v>46108</v>
    <v>0</v>
    <v>1</v>
    <v>639101664000000000,639106637104508633,0</v>
    <v>2</v>
    <v>a1zo52</v>
    <v>XNYS:PEG</v>
    <v>25</v>
  </rv>
  <rv s="18">
    <v>58</v>
    <v>a1ojc7</v>
    <v>Weekly</v>
    <v>45921</v>
    <v>46109</v>
    <v>0</v>
    <v>1</v>
    <v>639101664000000000,639107140677478703,0</v>
    <v>0</v>
    <v>a1ojc7</v>
    <v>XNYS:BK</v>
    <v>26</v>
  </rv>
  <rv s="18">
    <v>58</v>
    <v>a1wmu2</v>
    <v>Daily</v>
    <v>46108</v>
    <v>46108</v>
    <v>0</v>
    <v>1</v>
    <v>639101664000000000,639106637145777839,0</v>
    <v>2</v>
    <v>a1wmu2</v>
    <v>XNYS:KR</v>
    <v>27</v>
  </rv>
  <rv s="18">
    <v>58</v>
    <v>a25xjc</v>
    <v>Weekly</v>
    <v>45921</v>
    <v>46109</v>
    <v>0</v>
    <v>1</v>
    <v>639101664000000000,639107140741882682,0</v>
    <v>0</v>
    <v>a25xjc</v>
    <v>XNYS:WM</v>
    <v>28</v>
  </rv>
  <rv s="18">
    <v>58</v>
    <v>a1o1ar</v>
    <v>Weekly</v>
    <v>45921</v>
    <v>46109</v>
    <v>0</v>
    <v>1</v>
    <v>639101664000000000,639107140622033309,0</v>
    <v>0</v>
    <v>a1o1ar</v>
    <v>XNYS:AVY</v>
    <v>29</v>
  </rv>
  <rv s="18">
    <v>58</v>
    <v>a1pejc</v>
    <v>Weekly</v>
    <v>45921</v>
    <v>46109</v>
    <v>0</v>
    <v>1</v>
    <v>639101664000000000,639107140720778593,0</v>
    <v>0</v>
    <v>a1pejc</v>
    <v>XNAS:CDNS</v>
    <v>30</v>
  </rv>
  <rv s="18">
    <v>58</v>
    <v>a232mw</v>
    <v>Weekly</v>
    <v>45921</v>
    <v>46109</v>
    <v>0</v>
    <v>1</v>
    <v>639101664000000000,639107140777365065,0</v>
    <v>0</v>
    <v>a232mw</v>
    <v>XNYS:SLB</v>
    <v>31</v>
  </rv>
  <rv s="18">
    <v>58</v>
    <v>a242qh</v>
    <v>Weekly</v>
    <v>45921</v>
    <v>46109</v>
    <v>0</v>
    <v>1</v>
    <v>639101664000000000,639107140775528748,0</v>
    <v>0</v>
    <v>a242qh</v>
    <v>XNYS:TDG</v>
    <v>32</v>
  </rv>
  <rv s="18">
    <v>58</v>
    <v>a1nfvh</v>
    <v>Weekly</v>
    <v>45921</v>
    <v>46109</v>
    <v>0</v>
    <v>1</v>
    <v>639101664000000000,639107140702323505,0</v>
    <v>0</v>
    <v>a1nfvh</v>
    <v>XNYS:AMP</v>
    <v>33</v>
  </rv>
  <rv s="18">
    <v>58</v>
    <v>a1yjxm</v>
    <v>Daily</v>
    <v>46108</v>
    <v>46108</v>
    <v>0</v>
    <v>1</v>
    <v>639101664000000000,639106637176942120,0</v>
    <v>2</v>
    <v>a1yjxm</v>
    <v>XNYS:NKE</v>
    <v>34</v>
  </rv>
  <rv s="18">
    <v>58</v>
    <v>a1r2z2</v>
    <v>Daily</v>
    <v>46108</v>
    <v>46108</v>
    <v>0</v>
    <v>1</v>
    <v>639101664000000000,639106637212163196,0</v>
    <v>2</v>
    <v>a1r2z2</v>
    <v>XNYS:DIS</v>
    <v>35</v>
  </rv>
  <rv s="18">
    <v>58</v>
    <v>a1v8ar</v>
    <v>Weekly</v>
    <v>45921</v>
    <v>46109</v>
    <v>0</v>
    <v>1</v>
    <v>639101664000000000,639107140713215711,0</v>
    <v>0</v>
    <v>a1v8ar</v>
    <v>XNYS:ICE</v>
    <v>36</v>
  </rv>
  <rv s="18">
    <v>58</v>
    <v>a1z11h</v>
    <v>Weekly</v>
    <v>45921</v>
    <v>46109</v>
    <v>0</v>
    <v>1</v>
    <v>639101664000000000,639107140747223309,0</v>
    <v>0</v>
    <v>a1z11h</v>
    <v>XNYS:O</v>
    <v>37</v>
  </rv>
  <rv s="18">
    <v>58</v>
    <v>a1sifr</v>
    <v>Weekly</v>
    <v>45921</v>
    <v>46109</v>
    <v>0</v>
    <v>1</v>
    <v>639101664000000000,639107140784558977,0</v>
    <v>0</v>
    <v>a1sifr</v>
    <v>XNAS:EXPE</v>
    <v>38</v>
  </rv>
  <rv s="18">
    <v>58</v>
    <v>aythxm</v>
    <v>Daily</v>
    <v>46108</v>
    <v>46108</v>
    <v>0</v>
    <v>1</v>
    <v>639101664000000000,639106637122858367,0</v>
    <v>2</v>
    <v>aythxm</v>
    <v>XNYS:VICI</v>
    <v>39</v>
  </rv>
  <rv s="18">
    <v>58</v>
    <v>a227lh</v>
    <v>Weekly</v>
    <v>45921</v>
    <v>46109</v>
    <v>0</v>
    <v>1</v>
    <v>639101664000000000,639107140663288115,0</v>
    <v>0</v>
    <v>a227lh</v>
    <v>XNAS:ROST</v>
    <v>40</v>
  </rv>
  <rv s="18">
    <v>58</v>
    <v>a226rw</v>
    <v>Weekly</v>
    <v>45921</v>
    <v>46109</v>
    <v>0</v>
    <v>1</v>
    <v>639101664000000000,639107140778870694,0</v>
    <v>0</v>
    <v>a226rw</v>
    <v>XNYS:ROL</v>
    <v>41</v>
  </rv>
  <rv s="18">
    <v>58</v>
    <v>a1u3rw</v>
    <v>Weekly</v>
    <v>45921</v>
    <v>46109</v>
    <v>0</v>
    <v>1</v>
    <v>639101664000000000,639107140600329769,0</v>
    <v>0</v>
    <v>a1u3rw</v>
    <v>XNAS:GOOGL</v>
    <v>42</v>
  </rv>
  <rv s="18">
    <v>58</v>
    <v>a1retc</v>
    <v>Weekly</v>
    <v>45921</v>
    <v>46109</v>
    <v>0</v>
    <v>1</v>
    <v>639101664000000000,639107140657887329,0</v>
    <v>0</v>
    <v>a1retc</v>
    <v>XNYS:DELL</v>
    <v>43</v>
  </rv>
  <rv s="18">
    <v>58</v>
    <v>a25xgh</v>
    <v>Weekly</v>
    <v>45921</v>
    <v>46109</v>
    <v>0</v>
    <v>1</v>
    <v>639101664000000000,639107140767989317,0</v>
    <v>0</v>
    <v>a25xgh</v>
    <v>XNAS:WTW</v>
    <v>44</v>
  </rv>
  <rv s="18">
    <v>58</v>
    <v>a1zkar</v>
    <v>Weekly</v>
    <v>45921</v>
    <v>46109</v>
    <v>0</v>
    <v>1</v>
    <v>639101664000000000,639107140609716277,0</v>
    <v>0</v>
    <v>a1zkar</v>
    <v>XNYS:PCG</v>
    <v>45</v>
  </rv>
  <rv s="18">
    <v>58</v>
    <v>a1u1z2</v>
    <v>Weekly</v>
    <v>45921</v>
    <v>46109</v>
    <v>0</v>
    <v>1</v>
    <v>639101664000000000,639107140671734544,0</v>
    <v>0</v>
    <v>a1u1z2</v>
    <v>XNYS:GNRC</v>
    <v>46</v>
  </rv>
  <rv s="18">
    <v>58</v>
    <v>a1nl77</v>
    <v>Weekly</v>
    <v>45921</v>
    <v>46109</v>
    <v>0</v>
    <v>1</v>
    <v>639101664000000000,639107140680664724,0</v>
    <v>0</v>
    <v>a1nl77</v>
    <v>XNYS:APD</v>
    <v>47</v>
  </rv>
  <rv s="18">
    <v>58</v>
    <v>a1nfvh</v>
    <v>Daily</v>
    <v>46108</v>
    <v>46108</v>
    <v>0</v>
    <v>1</v>
    <v>639101664000000000,639106637198940843,0</v>
    <v>2</v>
    <v>a1nfvh</v>
    <v>XNYS:AMP</v>
    <v>48</v>
  </rv>
  <rv s="18">
    <v>58</v>
    <v>a1rrh7</v>
    <v>Weekly</v>
    <v>45921</v>
    <v>46109</v>
    <v>0</v>
    <v>1</v>
    <v>639101664000000000,639107140726686600,0</v>
    <v>0</v>
    <v>a1rrh7</v>
    <v>XNYS:EFX</v>
    <v>49</v>
  </rv>
  <rv s="18">
    <v>58</v>
    <v>a23p6h</v>
    <v>Daily</v>
    <v>46108</v>
    <v>46108</v>
    <v>0</v>
    <v>1</v>
    <v>639101664000000000,639106637147265246,0</v>
    <v>2</v>
    <v>a23p6h</v>
    <v>XNAS:STLD</v>
    <v>50</v>
  </rv>
  <rv s="18">
    <v>58</v>
    <v>a24km7</v>
    <v>Weekly</v>
    <v>45921</v>
    <v>46109</v>
    <v>0</v>
    <v>1</v>
    <v>639101664000000000,639107140607839312,0</v>
    <v>0</v>
    <v>a24km7</v>
    <v>XNYS:TSN</v>
    <v>51</v>
  </rv>
  <rv s="18">
    <v>58</v>
    <v>a1sqr7</v>
    <v>Weekly</v>
    <v>45921</v>
    <v>46109</v>
    <v>0</v>
    <v>1</v>
    <v>639101664000000000,639107140626484874,0</v>
    <v>0</v>
    <v>a1sqr7</v>
    <v>XNYS:FDX</v>
    <v>52</v>
  </rv>
  <rv s="18">
    <v>58</v>
    <v>a1nkm7</v>
    <v>Daily</v>
    <v>46108</v>
    <v>46108</v>
    <v>0</v>
    <v>1</v>
    <v>639101664000000000,639106637105122565,0</v>
    <v>2</v>
    <v>a1nkm7</v>
    <v>XNYS:AOS</v>
    <v>53</v>
  </rv>
  <rv s="18">
    <v>58</v>
    <v>a1r1lh</v>
    <v>Weekly</v>
    <v>45921</v>
    <v>46109</v>
    <v>0</v>
    <v>1</v>
    <v>639101664000000000,639107140764657057,0</v>
    <v>0</v>
    <v>a1r1lh</v>
    <v>XNYS:DHI</v>
    <v>54</v>
  </rv>
  <rv s="18">
    <v>58</v>
    <v>a21ua2</v>
    <v>Weekly</v>
    <v>45921</v>
    <v>46109</v>
    <v>0</v>
    <v>1</v>
    <v>639101664000000000,639107140766539243,0</v>
    <v>0</v>
    <v>a21ua2</v>
    <v>XNAS:REG</v>
    <v>55</v>
  </rv>
  <rv s="18">
    <v>58</v>
    <v>a1nkur</v>
    <v>Daily</v>
    <v>46108</v>
    <v>46108</v>
    <v>0</v>
    <v>1</v>
    <v>639101664000000000,639106637077268340,0</v>
    <v>2</v>
    <v>a1nkur</v>
    <v>XNAS:APA</v>
    <v>56</v>
  </rv>
  <rv s="18">
    <v>58</v>
    <v>a21d7w</v>
    <v>Weekly</v>
    <v>45921</v>
    <v>46109</v>
    <v>0</v>
    <v>1</v>
    <v>639101664000000000,639107140600481627,0</v>
    <v>0</v>
    <v>a21d7w</v>
    <v>XNAS:PTC</v>
    <v>57</v>
  </rv>
  <rv s="18">
    <v>58</v>
    <v>a1qlz2</v>
    <v>Weekly</v>
    <v>45921</v>
    <v>46109</v>
    <v>0</v>
    <v>1</v>
    <v>639101664000000000,639107140606621833,0</v>
    <v>0</v>
    <v>a1qlz2</v>
    <v>XNYS:CVX</v>
    <v>58</v>
  </rv>
  <rv s="18">
    <v>58</v>
    <v>a1wh27</v>
    <v>Weekly</v>
    <v>45921</v>
    <v>46109</v>
    <v>0</v>
    <v>1</v>
    <v>639101664000000000,639107140686506384,0</v>
    <v>0</v>
    <v>a1wh27</v>
    <v>XNYS:KEY</v>
    <v>59</v>
  </rv>
  <rv s="18">
    <v>58</v>
    <v>a23www</v>
    <v>Weekly</v>
    <v>45921</v>
    <v>46109</v>
    <v>0</v>
    <v>1</v>
    <v>639101664000000000,639107140639968605,0</v>
    <v>0</v>
    <v>a23www</v>
    <v>XNYS:T</v>
    <v>60</v>
  </rv>
  <rv s="18">
    <v>58</v>
    <v>a1nyw7</v>
    <v>Weekly</v>
    <v>45921</v>
    <v>46109</v>
    <v>0</v>
    <v>1</v>
    <v>639101664000000000,639107140740612486,0</v>
    <v>0</v>
    <v>a1nyw7</v>
    <v>XNYS:AVB</v>
    <v>61</v>
  </rv>
  <rv s="18">
    <v>58</v>
    <v>a24tfr</v>
    <v>Weekly</v>
    <v>45921</v>
    <v>46109</v>
    <v>0</v>
    <v>1</v>
    <v>639101664000000000,639107140672037816,0</v>
    <v>0</v>
    <v>a24tfr</v>
    <v>XNYS:UDR</v>
    <v>62</v>
  </rv>
  <rv s="18">
    <v>58</v>
    <v>a23d9c</v>
    <v>Daily</v>
    <v>46108</v>
    <v>46108</v>
    <v>0</v>
    <v>1</v>
    <v>639101664000000000,639106637108895993,0</v>
    <v>2</v>
    <v>a23d9c</v>
    <v>XNYS:SPGI</v>
    <v>63</v>
  </rv>
  <rv s="18">
    <v>58</v>
    <v>a1ztlh</v>
    <v>Weekly</v>
    <v>45921</v>
    <v>46109</v>
    <v>0</v>
    <v>1</v>
    <v>639101664000000000,639107140660293813,0</v>
    <v>0</v>
    <v>a1ztlh</v>
    <v>XNYS:PGR</v>
    <v>64</v>
  </rv>
  <rv s="18">
    <v>58</v>
    <v>a1mvm7</v>
    <v>Weekly</v>
    <v>45921</v>
    <v>46109</v>
    <v>0</v>
    <v>1</v>
    <v>639101664000000000,639107140710762429,0</v>
    <v>0</v>
    <v>a1mvm7</v>
    <v>XNYS:ADM</v>
    <v>65</v>
  </rv>
  <rv s="18">
    <v>58</v>
    <v>a1pokr</v>
    <v>Daily</v>
    <v>46108</v>
    <v>46108</v>
    <v>0</v>
    <v>1</v>
    <v>639101664000000000,639106637166278804,0</v>
    <v>2</v>
    <v>a1pokr</v>
    <v>XNAS:CHTR</v>
    <v>66</v>
  </rv>
  <rv s="18">
    <v>58</v>
    <v>a1u4fr</v>
    <v>Daily</v>
    <v>46108</v>
    <v>46108</v>
    <v>0</v>
    <v>1</v>
    <v>639101664000000000,639106637176095773,0</v>
    <v>2</v>
    <v>a1u4fr</v>
    <v>XNYS:GPC</v>
    <v>67</v>
  </rv>
  <rv s="18">
    <v>58</v>
    <v>a1sx27</v>
    <v>Weekly</v>
    <v>45921</v>
    <v>46109</v>
    <v>0</v>
    <v>1</v>
    <v>639101664000000000,639107140608979442,0</v>
    <v>0</v>
    <v>a1sx27</v>
    <v>XNAS:FISV</v>
    <v>68</v>
  </rv>
  <rv s="18">
    <v>58</v>
    <v>a23v7w</v>
    <v>Weekly</v>
    <v>45921</v>
    <v>46109</v>
    <v>0</v>
    <v>1</v>
    <v>639101664000000000,639107140757130028,0</v>
    <v>0</v>
    <v>a23v7w</v>
    <v>XNYS:SYF</v>
    <v>69</v>
  </rv>
  <rv s="18">
    <v>58</v>
    <v>a1xe52</v>
    <v>Daily</v>
    <v>46108</v>
    <v>46108</v>
    <v>0</v>
    <v>1</v>
    <v>639101664000000000,639106637166816575,0</v>
    <v>2</v>
    <v>a1xe52</v>
    <v>XNYS:MCK</v>
    <v>70</v>
  </rv>
  <rv s="18">
    <v>58</v>
    <v>bu3ew7</v>
    <v>Weekly</v>
    <v>45921</v>
    <v>46109</v>
    <v>0</v>
    <v>1</v>
    <v>639101664000000000,639107140736935412,0</v>
    <v>0</v>
    <v>bu3ew7</v>
    <v>XNYS:CARR</v>
    <v>71</v>
  </rv>
  <rv s="18">
    <v>58</v>
    <v>a23i8m</v>
    <v>Daily</v>
    <v>46108</v>
    <v>46108</v>
    <v>0</v>
    <v>1</v>
    <v>639101664000000000,639106637155136781,0</v>
    <v>2</v>
    <v>a23i8m</v>
    <v>XNYS:XYZ</v>
    <v>72</v>
  </rv>
  <rv s="18">
    <v>58</v>
    <v>a1zez2</v>
    <v>Daily</v>
    <v>46108</v>
    <v>46108</v>
    <v>0</v>
    <v>1</v>
    <v>639101664000000000,639106637193045297,0</v>
    <v>2</v>
    <v>a1zez2</v>
    <v>XNYS:OXY</v>
    <v>73</v>
  </rv>
  <rv s="18">
    <v>58</v>
    <v>a25obh</v>
    <v>Daily</v>
    <v>46108</v>
    <v>46108</v>
    <v>0</v>
    <v>1</v>
    <v>639101664000000000,639106637075076191,0</v>
    <v>2</v>
    <v>a25obh</v>
    <v>XNYS:VZ</v>
    <v>74</v>
  </rv>
  <rv s="18">
    <v>58</v>
    <v>a1z2f2</v>
    <v>Daily</v>
    <v>46108</v>
    <v>46108</v>
    <v>0</v>
    <v>1</v>
    <v>639101664000000000,639106637215385370,0</v>
    <v>2</v>
    <v>a1z2f2</v>
    <v>XNYS:OC</v>
    <v>75</v>
  </rv>
  <rv s="18">
    <v>58</v>
    <v>bp8fww</v>
    <v>Daily</v>
    <v>46108</v>
    <v>46108</v>
    <v>0</v>
    <v>1</v>
    <v>639101664000000000,639106637079496770,0</v>
    <v>2</v>
    <v>bp8fww</v>
    <v>XNAS:FOXA</v>
    <v>76</v>
  </rv>
  <rv s="18">
    <v>58</v>
    <v>a256cw</v>
    <v>Weekly</v>
    <v>45921</v>
    <v>46109</v>
    <v>0</v>
    <v>1</v>
    <v>639101664000000000,639107140718622841,0</v>
    <v>0</v>
    <v>a256cw</v>
    <v>XNYS:V</v>
    <v>77</v>
  </rv>
  <rv s="18">
    <v>58</v>
    <v>a1x8z2</v>
    <v>Weekly</v>
    <v>45921</v>
    <v>46109</v>
    <v>0</v>
    <v>1</v>
    <v>639101664000000000,639107140662206793,0</v>
    <v>0</v>
    <v>a1x8z2</v>
    <v>XNYS:MAA</v>
    <v>78</v>
  </rv>
  <rv s="18">
    <v>58</v>
    <v>a1y2bh</v>
    <v>Weekly</v>
    <v>45921</v>
    <v>46109</v>
    <v>0</v>
    <v>1</v>
    <v>639101664000000000,639107140642811194,0</v>
    <v>0</v>
    <v>a1y2bh</v>
    <v>XNAS:MTCH</v>
    <v>79</v>
  </rv>
  <rv s="18">
    <v>58</v>
    <v>a1r5fr</v>
    <v>Weekly</v>
    <v>45921</v>
    <v>46109</v>
    <v>0</v>
    <v>1</v>
    <v>639101664000000000,639107140672235533,0</v>
    <v>0</v>
    <v>a1r5fr</v>
    <v>XNYS:DLR</v>
    <v>80</v>
  </rv>
  <rv s="18">
    <v>58</v>
    <v>a1pl8m</v>
    <v>Weekly</v>
    <v>45921</v>
    <v>46109</v>
    <v>0</v>
    <v>1</v>
    <v>639101664000000000,639107140610816245,0</v>
    <v>0</v>
    <v>a1pl8m</v>
    <v>XNYS:CHD</v>
    <v>81</v>
  </rv>
  <rv s="18">
    <v>58</v>
    <v>c2mtww</v>
    <v>Weekly</v>
    <v>45921</v>
    <v>46109</v>
    <v>0</v>
    <v>1</v>
    <v>639101664000000000,639107140653445957,0</v>
    <v>0</v>
    <v>c2mtww</v>
    <v>XNAS:HOOD</v>
    <v>82</v>
  </rv>
  <rv s="18">
    <v>58</v>
    <v>a1mw4c</v>
    <v>Daily</v>
    <v>46108</v>
    <v>46108</v>
    <v>0</v>
    <v>1</v>
    <v>639101664000000000,639106637108410352,0</v>
    <v>2</v>
    <v>a1mw4c</v>
    <v>XNAS:ADP</v>
    <v>83</v>
  </rv>
  <rv s="18">
    <v>58</v>
    <v>a1sifr</v>
    <v>Daily</v>
    <v>46108</v>
    <v>46108</v>
    <v>0</v>
    <v>1</v>
    <v>639101664000000000,639106637083274831,0</v>
    <v>2</v>
    <v>a1sifr</v>
    <v>XNAS:EXPE</v>
    <v>84</v>
  </rv>
  <rv s="18">
    <v>58</v>
    <v>a1nihw</v>
    <v>Weekly</v>
    <v>45921</v>
    <v>46109</v>
    <v>0</v>
    <v>1</v>
    <v>639101664000000000,639107140670227655,0</v>
    <v>0</v>
    <v>a1nihw</v>
    <v>XNYS:ANET</v>
    <v>85</v>
  </rv>
  <rv s="18">
    <v>58</v>
    <v>a1rwjc</v>
    <v>Daily</v>
    <v>46108</v>
    <v>46108</v>
    <v>0</v>
    <v>1</v>
    <v>639101664000000000,639106637130466067,0</v>
    <v>2</v>
    <v>a1rwjc</v>
    <v>XNYS:EME</v>
    <v>86</v>
  </rv>
  <rv s="18">
    <v>58</v>
    <v>bvsk7w</v>
    <v>Weekly</v>
    <v>45921</v>
    <v>46109</v>
    <v>0</v>
    <v>1</v>
    <v>639101664000000000,639107140705034859,0</v>
    <v>0</v>
    <v>bvsk7w</v>
    <v>XNAS:PLTR</v>
    <v>87</v>
  </rv>
  <rv s="18">
    <v>58</v>
    <v>a25jnm</v>
    <v>Weekly</v>
    <v>45921</v>
    <v>46109</v>
    <v>0</v>
    <v>1</v>
    <v>639101664000000000,639107140634265545,0</v>
    <v>0</v>
    <v>a25jnm</v>
    <v>XNAS:VRSK</v>
    <v>88</v>
  </rv>
  <rv s="18">
    <v>58</v>
    <v>a1xear</v>
    <v>Daily</v>
    <v>46108</v>
    <v>46108</v>
    <v>0</v>
    <v>1</v>
    <v>639101664000000000,639106637131975458,0</v>
    <v>2</v>
    <v>a1xear</v>
    <v>XNYS:MCO</v>
    <v>89</v>
  </rv>
  <rv s="18">
    <v>58</v>
    <v>a1pnu2</v>
    <v>Weekly</v>
    <v>45921</v>
    <v>46109</v>
    <v>0</v>
    <v>1</v>
    <v>639101664000000000,639107140763452800,0</v>
    <v>0</v>
    <v>a1pnu2</v>
    <v>XNAS:CHRW</v>
    <v>90</v>
  </rv>
  <rv s="18">
    <v>58</v>
    <v>a1y4oc</v>
    <v>Daily</v>
    <v>46108</v>
    <v>46108</v>
    <v>0</v>
    <v>1</v>
    <v>639101664000000000,639106637259977157,0</v>
    <v>2</v>
    <v>a1y4oc</v>
    <v>XNAS:MU</v>
    <v>91</v>
  </rv>
  <rv s="18">
    <v>58</v>
    <v>a1mpc7</v>
    <v>Daily</v>
    <v>46108</v>
    <v>46108</v>
    <v>0</v>
    <v>1</v>
    <v>639101664000000000,639106637188326009,0</v>
    <v>2</v>
    <v>a1mpc7</v>
    <v>XNAS:AXON</v>
    <v>92</v>
  </rv>
  <rv s="18">
    <v>58</v>
    <v>a218k2</v>
    <v>Weekly</v>
    <v>45921</v>
    <v>46109</v>
    <v>0</v>
    <v>1</v>
    <v>639101664000000000,639107140703873775,0</v>
    <v>0</v>
    <v>a218k2</v>
    <v>XNYS:PRU</v>
    <v>93</v>
  </rv>
  <rv s="18">
    <v>58</v>
    <v>a1u7xm</v>
    <v>Daily</v>
    <v>46108</v>
    <v>46108</v>
    <v>0</v>
    <v>1</v>
    <v>639101664000000000,639106637256646558,0</v>
    <v>2</v>
    <v>a1u7xm</v>
    <v>XNYS:GS</v>
    <v>94</v>
  </rv>
  <rv s="18">
    <v>58</v>
    <v>a1utqh</v>
    <v>Weekly</v>
    <v>45921</v>
    <v>46109</v>
    <v>0</v>
    <v>1</v>
    <v>639101664000000000,639107140685921886,0</v>
    <v>0</v>
    <v>a1utqh</v>
    <v>XNYS:HPE</v>
    <v>95</v>
  </rv>
  <rv s="18">
    <v>58</v>
    <v>a23rm7</v>
    <v>Weekly</v>
    <v>45921</v>
    <v>46109</v>
    <v>0</v>
    <v>1</v>
    <v>639101664000000000,639107140700471632,0</v>
    <v>0</v>
    <v>a23rm7</v>
    <v>XNYS:STZ</v>
    <v>96</v>
  </rv>
  <rv s="18">
    <v>58</v>
    <v>a1rlu2</v>
    <v>Weekly</v>
    <v>45921</v>
    <v>46109</v>
    <v>0</v>
    <v>1</v>
    <v>639101664000000000,639107140767583100,0</v>
    <v>0</v>
    <v>a1rlu2</v>
    <v>XNYS:ECL</v>
    <v>97</v>
  </rv>
  <rv s="18">
    <v>58</v>
    <v>a1pqur</v>
    <v>Daily</v>
    <v>46108</v>
    <v>46108</v>
    <v>0</v>
    <v>1</v>
    <v>639101664000000000,639106637072915639,0</v>
    <v>2</v>
    <v>a1pqur</v>
    <v>XNAS:CINF</v>
    <v>98</v>
  </rv>
  <rv s="18">
    <v>58</v>
    <v>a24fh7</v>
    <v>Weekly</v>
    <v>45921</v>
    <v>46109</v>
    <v>0</v>
    <v>1</v>
    <v>639101664000000000,639107140741611079,0</v>
    <v>0</v>
    <v>a24fh7</v>
    <v>XNYS:TPL</v>
    <v>99</v>
  </rv>
  <rv s="18">
    <v>58</v>
    <v>a1mvjc</v>
    <v>Weekly</v>
    <v>45921</v>
    <v>46109</v>
    <v>0</v>
    <v>1</v>
    <v>639101664000000000,639107140610987742,0</v>
    <v>0</v>
    <v>a1mvjc</v>
    <v>XNAS:ADI</v>
    <v>100</v>
  </rv>
  <rv s="18">
    <v>58</v>
    <v>a1ra3m</v>
    <v>Daily</v>
    <v>46108</v>
    <v>46108</v>
    <v>0</v>
    <v>1</v>
    <v>639101664000000000,639106637286614805,0</v>
    <v>2</v>
    <v>a1ra3m</v>
    <v>XNYS:DRI</v>
    <v>101</v>
  </rv>
  <rv s="18">
    <v>58</v>
    <v>a1ygoc</v>
    <v>Weekly</v>
    <v>45921</v>
    <v>46109</v>
    <v>0</v>
    <v>1</v>
    <v>639101664000000000,639107140644503616,0</v>
    <v>0</v>
    <v>a1ygoc</v>
    <v>XNAS:NFLX</v>
    <v>102</v>
  </rv>
  <rv s="18">
    <v>58</v>
    <v>a1mw4c</v>
    <v>Weekly</v>
    <v>45921</v>
    <v>46109</v>
    <v>0</v>
    <v>1</v>
    <v>639101664000000000,639107140700245891,0</v>
    <v>0</v>
    <v>a1mw4c</v>
    <v>XNAS:ADP</v>
    <v>103</v>
  </rv>
  <rv s="18">
    <v>58</v>
    <v>a1pl8m</v>
    <v>Daily</v>
    <v>46108</v>
    <v>46108</v>
    <v>0</v>
    <v>1</v>
    <v>639101664000000000,639106637222833688,0</v>
    <v>2</v>
    <v>a1pl8m</v>
    <v>XNYS:CHD</v>
    <v>104</v>
  </rv>
  <rv s="18">
    <v>58</v>
    <v>a1rdzr</v>
    <v>Daily</v>
    <v>46108</v>
    <v>46108</v>
    <v>0</v>
    <v>1</v>
    <v>639101664000000000,639106637237997160,0</v>
    <v>2</v>
    <v>a1rdzr</v>
    <v>XNYS:DUK</v>
    <v>105</v>
  </rv>
  <rv s="18">
    <v>58</v>
    <v>a1s4mw</v>
    <v>Weekly</v>
    <v>45921</v>
    <v>46109</v>
    <v>0</v>
    <v>1</v>
    <v>639101664000000000,639107140679948876,0</v>
    <v>0</v>
    <v>a1s4mw</v>
    <v>XNAS:EQIX</v>
    <v>106</v>
  </rv>
  <rv s="18">
    <v>58</v>
    <v>a1x7oc</v>
    <v>Weekly</v>
    <v>45921</v>
    <v>46109</v>
    <v>0</v>
    <v>1</v>
    <v>639101664000000000,639107140650034554,0</v>
    <v>0</v>
    <v>a1x7oc</v>
    <v>XNYS:LW</v>
    <v>107</v>
  </rv>
  <rv s="18">
    <v>58</v>
    <v>a1s57w</v>
    <v>Weekly</v>
    <v>45921</v>
    <v>46109</v>
    <v>0</v>
    <v>1</v>
    <v>639101664000000000,639107140675965079,0</v>
    <v>0</v>
    <v>a1s57w</v>
    <v>XNYS:EQT</v>
    <v>108</v>
  </rv>
  <rv s="18">
    <v>58</v>
    <v>a22777</v>
    <v>Daily</v>
    <v>46108</v>
    <v>46108</v>
    <v>0</v>
    <v>1</v>
    <v>639101664000000000,639106637262727360,0</v>
    <v>2</v>
    <v>a22777</v>
    <v>XNAS:ROP</v>
    <v>109</v>
  </rv>
  <rv s="18">
    <v>58</v>
    <v>a223r7</v>
    <v>Weekly</v>
    <v>45921</v>
    <v>46109</v>
    <v>0</v>
    <v>1</v>
    <v>639101664000000000,639107140725582540,0</v>
    <v>0</v>
    <v>a223r7</v>
    <v>XNYS:RMD</v>
    <v>110</v>
  </rv>
  <rv s="18">
    <v>58</v>
    <v>a1uw77</v>
    <v>Daily</v>
    <v>46108</v>
    <v>46108</v>
    <v>0</v>
    <v>1</v>
    <v>639101664000000000,639106637197162409,0</v>
    <v>2</v>
    <v>a1uw77</v>
    <v>XNAS:HSIC</v>
    <v>111</v>
  </rv>
  <rv s="18">
    <v>58</v>
    <v>a24zec</v>
    <v>Weekly</v>
    <v>45921</v>
    <v>46109</v>
    <v>0</v>
    <v>1</v>
    <v>639101664000000000,639107140731024766,0</v>
    <v>0</v>
    <v>a24zec</v>
    <v>XNYS:URI</v>
    <v>112</v>
  </rv>
  <rv s="18">
    <v>58</v>
    <v>a1ogsm</v>
    <v>Weekly</v>
    <v>45921</v>
    <v>46109</v>
    <v>0</v>
    <v>1</v>
    <v>639101664000000000,639107140648276289,0</v>
    <v>0</v>
    <v>a1ogsm</v>
    <v>XNAS:BKR</v>
    <v>113</v>
  </rv>
  <rv s="18">
    <v>58</v>
    <v>a1s24c</v>
    <v>Daily</v>
    <v>46108</v>
    <v>46108</v>
    <v>0</v>
    <v>1</v>
    <v>639101664000000000,639106637210688408,0</v>
    <v>2</v>
    <v>a1s24c</v>
    <v>XNYS:EOG</v>
    <v>114</v>
  </rv>
  <rv s="18">
    <v>58</v>
    <v>a1yism</v>
    <v>Daily</v>
    <v>46108</v>
    <v>46108</v>
    <v>0</v>
    <v>1</v>
    <v>639101664000000000,639106637081057088,0</v>
    <v>2</v>
    <v>a1yism</v>
    <v>XNYS:NI</v>
    <v>115</v>
  </rv>
  <rv s="18">
    <v>58</v>
    <v>ccmvww</v>
    <v>Weekly</v>
    <v>45921</v>
    <v>46109</v>
    <v>0</v>
    <v>1</v>
    <v>639101664000000000,639107140677480866,0</v>
    <v>0</v>
    <v>ccmvww</v>
    <v>XNYS:GEV</v>
    <v>116</v>
  </rv>
  <rv s="18">
    <v>58</v>
    <v>a24xlh</v>
    <v>Weekly</v>
    <v>45921</v>
    <v>46109</v>
    <v>0</v>
    <v>1</v>
    <v>639101664000000000,639107140737990636,0</v>
    <v>0</v>
    <v>a24xlh</v>
    <v>XNYS:UNH</v>
    <v>117</v>
  </rv>
  <rv s="18">
    <v>58</v>
    <v>a244ur</v>
    <v>Weekly</v>
    <v>45921</v>
    <v>46109</v>
    <v>0</v>
    <v>1</v>
    <v>639101664000000000,639107140645183061,0</v>
    <v>0</v>
    <v>a244ur</v>
    <v>XNAS:TER</v>
    <v>118</v>
  </rv>
  <rv s="18">
    <v>58</v>
    <v>a24i3m</v>
    <v>Daily</v>
    <v>46108</v>
    <v>46108</v>
    <v>0</v>
    <v>1</v>
    <v>639101664000000000,639106637255310549,0</v>
    <v>2</v>
    <v>a24i3m</v>
    <v>XNAS:TROW</v>
    <v>119</v>
  </rv>
  <rv s="18">
    <v>58</v>
    <v>a1y1w7</v>
    <v>Daily</v>
    <v>46108</v>
    <v>46108</v>
    <v>0</v>
    <v>1</v>
    <v>639101664000000000,639106637245321124,0</v>
    <v>2</v>
    <v>a1y1w7</v>
    <v>XNYS:MTB</v>
    <v>120</v>
  </rv>
  <rv s="18">
    <v>58</v>
    <v>a23rjc</v>
    <v>Weekly</v>
    <v>45921</v>
    <v>46109</v>
    <v>0</v>
    <v>1</v>
    <v>639101664000000000,639107140718475848,0</v>
    <v>0</v>
    <v>a23rjc</v>
    <v>XNAS:STX</v>
    <v>121</v>
  </rv>
  <rv s="18">
    <v>58</v>
    <v>a1xugh</v>
    <v>Weekly</v>
    <v>45921</v>
    <v>46109</v>
    <v>0</v>
    <v>1</v>
    <v>639101664000000000,639107140750634635,0</v>
    <v>0</v>
    <v>a1xugh</v>
    <v>XNYS:MOH</v>
    <v>122</v>
  </rv>
  <rv s="18">
    <v>58</v>
    <v>bwvem7</v>
    <v>Weekly</v>
    <v>45921</v>
    <v>46109</v>
    <v>0</v>
    <v>1</v>
    <v>639101664000000000,639107140744614421,0</v>
    <v>0</v>
    <v>bwvem7</v>
    <v>XNAS:ABNB</v>
    <v>123</v>
  </rv>
  <rv s="18">
    <v>58</v>
    <v>a1sx7w</v>
    <v>Daily</v>
    <v>46108</v>
    <v>46108</v>
    <v>0</v>
    <v>1</v>
    <v>639101664000000000,639106637215803614,0</v>
    <v>2</v>
    <v>a1sx7w</v>
    <v>XNAS:FITB</v>
    <v>124</v>
  </rv>
  <rv s="18">
    <v>58</v>
    <v>a25rnm</v>
    <v>Weekly</v>
    <v>45921</v>
    <v>46109</v>
    <v>0</v>
    <v>1</v>
    <v>639101664000000000,639107140775444383,0</v>
    <v>0</v>
    <v>a25rnm</v>
    <v>XNAS:WDC</v>
    <v>125</v>
  </rv>
  <rv s="18">
    <v>58</v>
    <v>a1zkar</v>
    <v>Daily</v>
    <v>46108</v>
    <v>46108</v>
    <v>0</v>
    <v>1</v>
    <v>639101664000000000,639106637122872291,0</v>
    <v>2</v>
    <v>a1zkar</v>
    <v>XNYS:PCG</v>
    <v>126</v>
  </rv>
  <rv s="18">
    <v>58</v>
    <v>a1qga2</v>
    <v>Daily</v>
    <v>46108</v>
    <v>46108</v>
    <v>0</v>
    <v>1</v>
    <v>639101664000000000,639106637282673411,0</v>
    <v>2</v>
    <v>a1qga2</v>
    <v>XNAS:CSX</v>
    <v>127</v>
  </rv>
  <rv s="18">
    <v>58</v>
    <v>a1pap2</v>
    <v>Weekly</v>
    <v>45921</v>
    <v>46109</v>
    <v>0</v>
    <v>1</v>
    <v>639101664000000000,639107140711102677,0</v>
    <v>0</v>
    <v>a1pap2</v>
    <v>BATS:CBOE</v>
    <v>128</v>
  </rv>
  <rv s="18">
    <v>58</v>
    <v>a1rlu2</v>
    <v>Daily</v>
    <v>46108</v>
    <v>46108</v>
    <v>0</v>
    <v>1</v>
    <v>639101664000000000,639106637260174520,0</v>
    <v>2</v>
    <v>a1rlu2</v>
    <v>XNYS:ECL</v>
    <v>129</v>
  </rv>
  <rv s="18">
    <v>58</v>
    <v>a1x4f2</v>
    <v>Daily</v>
    <v>46108</v>
    <v>46108</v>
    <v>0</v>
    <v>1</v>
    <v>639101664000000000,639106637084093497,0</v>
    <v>2</v>
    <v>a1x4f2</v>
    <v>XNAS:LRCX</v>
    <v>130</v>
  </rv>
  <rv s="18">
    <v>58</v>
    <v>a1uw77</v>
    <v>Weekly</v>
    <v>45921</v>
    <v>46109</v>
    <v>0</v>
    <v>1</v>
    <v>639101664000000000,639107140642483039,0</v>
    <v>0</v>
    <v>a1uw77</v>
    <v>XNAS:HSIC</v>
    <v>131</v>
  </rv>
  <rv s="18">
    <v>58</v>
    <v>a1o1jc</v>
    <v>Weekly</v>
    <v>45921</v>
    <v>46109</v>
    <v>0</v>
    <v>1</v>
    <v>639101664000000000,639107140749795078,0</v>
    <v>0</v>
    <v>a1o1jc</v>
    <v>XNYS:AWK</v>
    <v>132</v>
  </rv>
  <rv s="18">
    <v>58</v>
    <v>a1p2ar</v>
    <v>Weekly</v>
    <v>45921</v>
    <v>46109</v>
    <v>0</v>
    <v>1</v>
    <v>639101664000000000,639107140646713794,0</v>
    <v>0</v>
    <v>a1p2ar</v>
    <v>XNYS:BX</v>
    <v>133</v>
  </rv>
  <rv s="18">
    <v>58</v>
    <v>a1yw1h</v>
    <v>Weekly</v>
    <v>45921</v>
    <v>46109</v>
    <v>0</v>
    <v>1</v>
    <v>639101664000000000,639107140622236067,0</v>
    <v>0</v>
    <v>a1yw1h</v>
    <v>XNYS:NVR</v>
    <v>134</v>
  </rv>
  <rv s="18">
    <v>58</v>
    <v>a1mou2</v>
    <v>Weekly</v>
    <v>45921</v>
    <v>46109</v>
    <v>0</v>
    <v>1</v>
    <v>639101664000000000,639107140738602629,0</v>
    <v>0</v>
    <v>a1mou2</v>
    <v>XNAS:AAPL</v>
    <v>135</v>
  </rv>
  <rv s="18">
    <v>58</v>
    <v>a214h7</v>
    <v>Weekly</v>
    <v>45921</v>
    <v>46109</v>
    <v>0</v>
    <v>1</v>
    <v>639101664000000000,639107140740907372,0</v>
    <v>0</v>
    <v>a214h7</v>
    <v>XNYS:PPG</v>
    <v>136</v>
  </rv>
  <rv s="18">
    <v>58</v>
    <v>a1rew7</v>
    <v>Weekly</v>
    <v>45921</v>
    <v>46109</v>
    <v>0</v>
    <v>1</v>
    <v>639101664000000000,639107140609457365,0</v>
    <v>0</v>
    <v>a1rew7</v>
    <v>XNYS:DVN</v>
    <v>137</v>
  </rv>
  <rv s="18">
    <v>58</v>
    <v>a1ugim</v>
    <v>Daily</v>
    <v>46108</v>
    <v>46108</v>
    <v>0</v>
    <v>1</v>
    <v>639101664000000000,639106637176625621,0</v>
    <v>2</v>
    <v>a1ugim</v>
    <v>XNAS:HBAN</v>
    <v>138</v>
  </rv>
  <rv s="18">
    <v>58</v>
    <v>a1uozr</v>
    <v>Weekly</v>
    <v>45921</v>
    <v>46109</v>
    <v>0</v>
    <v>1</v>
    <v>639101664000000000,639107140682527542,0</v>
    <v>0</v>
    <v>a1uozr</v>
    <v>XNYS:HII</v>
    <v>139</v>
  </rv>
  <rv s="18">
    <v>58</v>
    <v>a2w5cw</v>
    <v>Daily</v>
    <v>46108</v>
    <v>46108</v>
    <v>0</v>
    <v>1</v>
    <v>639101664000000000,639106637124358888,0</v>
    <v>2</v>
    <v>a2w5cw</v>
    <v>XNYS:SW</v>
    <v>140</v>
  </rv>
  <rv s="18">
    <v>58</v>
    <v>a1r8ur</v>
    <v>Weekly</v>
    <v>45921</v>
    <v>46109</v>
    <v>0</v>
    <v>1</v>
    <v>639101664000000000,639107140671897018,0</v>
    <v>0</v>
    <v>a1r8ur</v>
    <v>XNYS:DOV</v>
    <v>141</v>
  </rv>
  <rv s="18">
    <v>58</v>
    <v>a1nhlh</v>
    <v>Daily</v>
    <v>46108</v>
    <v>46108</v>
    <v>0</v>
    <v>1</v>
    <v>639101664000000000,639106637095651707,0</v>
    <v>2</v>
    <v>a1nhlh</v>
    <v>XNAS:AMZN</v>
    <v>142</v>
  </rv>
  <rv s="18">
    <v>58</v>
    <v>a22227</v>
    <v>Daily</v>
    <v>46108</v>
    <v>46108</v>
    <v>0</v>
    <v>1</v>
    <v>639101664000000000,639106637223679056,0</v>
    <v>2</v>
    <v>a22227</v>
    <v>XNYS:RJF</v>
    <v>143</v>
  </rv>
  <rv s="18">
    <v>58</v>
    <v>a1yx9c</v>
    <v>Weekly</v>
    <v>45921</v>
    <v>46109</v>
    <v>0</v>
    <v>1</v>
    <v>639101664000000000,639107140740061085,0</v>
    <v>0</v>
    <v>a1yx9c</v>
    <v>XNAS:NWSA</v>
    <v>144</v>
  </rv>
  <rv s="18">
    <v>58</v>
    <v>a1w1rw</v>
    <v>Daily</v>
    <v>46108</v>
    <v>46108</v>
    <v>0</v>
    <v>1</v>
    <v>639101664000000000,639106637074978324,0</v>
    <v>2</v>
    <v>a1w1rw</v>
    <v>XNAS:JBHT</v>
    <v>145</v>
  </rv>
  <rv s="18">
    <v>58</v>
    <v>a1o1ar</v>
    <v>Daily</v>
    <v>46108</v>
    <v>46108</v>
    <v>0</v>
    <v>1</v>
    <v>639101664000000000,639106637173250495,0</v>
    <v>2</v>
    <v>a1o1ar</v>
    <v>XNYS:AVY</v>
    <v>146</v>
  </rv>
  <rv s="18">
    <v>58</v>
    <v>a1zxcw</v>
    <v>Weekly</v>
    <v>45921</v>
    <v>46109</v>
    <v>0</v>
    <v>1</v>
    <v>639101664000000000,639107140660687557,0</v>
    <v>0</v>
    <v>a1zxcw</v>
    <v>XNYS:RVTY</v>
    <v>147</v>
  </rv>
  <rv s="18">
    <v>58</v>
    <v>a1uu5r</v>
    <v>Weekly</v>
    <v>45921</v>
    <v>46109</v>
    <v>0</v>
    <v>1</v>
    <v>639101664000000000,639107140645041544,0</v>
    <v>0</v>
    <v>a1uu5r</v>
    <v>XNYS:HPQ</v>
    <v>148</v>
  </rv>
  <rv s="18">
    <v>58</v>
    <v>a213kr</v>
    <v>Daily</v>
    <v>46108</v>
    <v>46108</v>
    <v>0</v>
    <v>1</v>
    <v>639101664000000000,639106637076488653,0</v>
    <v>2</v>
    <v>a213kr</v>
    <v>XNAS:POOL</v>
    <v>149</v>
  </rv>
  <rv s="18">
    <v>58</v>
    <v>a1q5nm</v>
    <v>Weekly</v>
    <v>45921</v>
    <v>46109</v>
    <v>0</v>
    <v>1</v>
    <v>639101664000000000,639107140654658498,0</v>
    <v>0</v>
    <v>a1q5nm</v>
    <v>XNYS:COP</v>
    <v>150</v>
  </rv>
  <rv s="18">
    <v>58</v>
    <v>a1utqh</v>
    <v>Daily</v>
    <v>46108</v>
    <v>46108</v>
    <v>0</v>
    <v>1</v>
    <v>639101664000000000,639106637169696832,0</v>
    <v>2</v>
    <v>a1utqh</v>
    <v>XNYS:HPE</v>
    <v>151</v>
  </rv>
  <rv s="18">
    <v>58</v>
    <v>a1sioc</v>
    <v>Weekly</v>
    <v>45921</v>
    <v>46109</v>
    <v>0</v>
    <v>1</v>
    <v>639101664000000000,639107140728173797,0</v>
    <v>0</v>
    <v>a1sioc</v>
    <v>XNYS:EXR</v>
    <v>152</v>
  </rv>
  <rv s="18">
    <v>58</v>
    <v>a1ztzr</v>
    <v>Weekly</v>
    <v>45921</v>
    <v>46109</v>
    <v>0</v>
    <v>1</v>
    <v>639101664000000000,639107140681184601,0</v>
    <v>0</v>
    <v>a1ztzr</v>
    <v>XNYS:PH</v>
    <v>153</v>
  </rv>
  <rv s="18">
    <v>58</v>
    <v>a24mnm</v>
    <v>Weekly</v>
    <v>45921</v>
    <v>46109</v>
    <v>0</v>
    <v>1</v>
    <v>639101664000000000,639107140719920029,0</v>
    <v>0</v>
    <v>a24mnm</v>
    <v>XNAS:TTWO</v>
    <v>154</v>
  </rv>
  <rv s="18">
    <v>58</v>
    <v>a1rwjc</v>
    <v>Weekly</v>
    <v>45921</v>
    <v>46109</v>
    <v>0</v>
    <v>1</v>
    <v>639101664000000000,639107140653244460,0</v>
    <v>0</v>
    <v>a1rwjc</v>
    <v>XNYS:EME</v>
    <v>155</v>
  </rv>
  <rv s="18">
    <v>58</v>
    <v>ccr2bh</v>
    <v>Daily</v>
    <v>46108</v>
    <v>46108</v>
    <v>0</v>
    <v>1</v>
    <v>639101664000000000,639107140688952645,0</v>
    <v>2</v>
    <v>ccr2bh</v>
    <v>XNYS:SOLV</v>
    <v>156</v>
  </rv>
  <rv s="18">
    <v>58</v>
    <v>a1otrw</v>
    <v>Daily</v>
    <v>46108</v>
    <v>46108</v>
    <v>0</v>
    <v>1</v>
    <v>639101664000000000,639106637076268990,0</v>
    <v>2</v>
    <v>a1otrw</v>
    <v>XNYS:BRK.B</v>
    <v>157</v>
  </rv>
  <rv s="18">
    <v>58</v>
    <v>a25obh</v>
    <v>Weekly</v>
    <v>45921</v>
    <v>46109</v>
    <v>0</v>
    <v>1</v>
    <v>639101664000000000,639107140738162721,0</v>
    <v>0</v>
    <v>a25obh</v>
    <v>XNYS:VZ</v>
    <v>158</v>
  </rv>
  <rv s="18">
    <v>58</v>
    <v>a21rw7</v>
    <v>Weekly</v>
    <v>45921</v>
    <v>46109</v>
    <v>0</v>
    <v>1</v>
    <v>639101664000000000,639107140648582582,0</v>
    <v>0</v>
    <v>a21rw7</v>
    <v>XNYS:RCL</v>
    <v>159</v>
  </rv>
  <rv s="18">
    <v>58</v>
    <v>a23ocw</v>
    <v>Weekly</v>
    <v>45921</v>
    <v>46109</v>
    <v>0</v>
    <v>1</v>
    <v>639101664000000000,639107140620445697,0</v>
    <v>0</v>
    <v>a23ocw</v>
    <v>XNYS:STE</v>
    <v>160</v>
  </rv>
  <rv s="18">
    <v>58</v>
    <v>a1px2w</v>
    <v>Weekly</v>
    <v>45921</v>
    <v>46109</v>
    <v>0</v>
    <v>1</v>
    <v>639101664000000000,639107140711260338,0</v>
    <v>0</v>
    <v>a1px2w</v>
    <v>XNAS:CME</v>
    <v>161</v>
  </rv>
  <rv s="18">
    <v>58</v>
    <v>a1ser7</v>
    <v>Weekly</v>
    <v>45921</v>
    <v>46109</v>
    <v>0</v>
    <v>1</v>
    <v>639101664000000000,639107140744230379,0</v>
    <v>0</v>
    <v>a1ser7</v>
    <v>XNYS:EW</v>
    <v>162</v>
  </rv>
  <rv s="18">
    <v>58</v>
    <v>a1zzmw</v>
    <v>Weekly</v>
    <v>45921</v>
    <v>46109</v>
    <v>0</v>
    <v>1</v>
    <v>639101664000000000,639107140629784923,0</v>
    <v>0</v>
    <v>a1zzmw</v>
    <v>XNYS:PM</v>
    <v>163</v>
  </rv>
  <rv s="18">
    <v>58</v>
    <v>a1mscw</v>
    <v>Weekly</v>
    <v>45921</v>
    <v>46109</v>
    <v>0</v>
    <v>1</v>
    <v>639101664000000000,639107140684409910,0</v>
    <v>0</v>
    <v>a1mscw</v>
    <v>XNAS:ACGL</v>
    <v>164</v>
  </rv>
  <rv s="18">
    <v>58</v>
    <v>a1yeec</v>
    <v>Daily</v>
    <v>46108</v>
    <v>46108</v>
    <v>0</v>
    <v>1</v>
    <v>639101664000000000,639106637191450385,0</v>
    <v>2</v>
    <v>a1yeec</v>
    <v>XNYS:NEM</v>
    <v>165</v>
  </rv>
  <rv s="18">
    <v>58</v>
    <v>a1vn8m</v>
    <v>Weekly</v>
    <v>45921</v>
    <v>46109</v>
    <v>0</v>
    <v>1</v>
    <v>639101664000000000,639107140731119938,0</v>
    <v>0</v>
    <v>a1vn8m</v>
    <v>XNYS:INVH</v>
    <v>166</v>
  </rv>
  <rv s="18">
    <v>58</v>
    <v>a1nz8m</v>
    <v>Weekly</v>
    <v>45921</v>
    <v>46109</v>
    <v>0</v>
    <v>1</v>
    <v>639101664000000000,639107140753185138,0</v>
    <v>0</v>
    <v>a1nz8m</v>
    <v>XNAS:AVGO</v>
    <v>167</v>
  </rv>
  <rv s="18">
    <v>58</v>
    <v>a1z11h</v>
    <v>Daily</v>
    <v>46108</v>
    <v>46108</v>
    <v>0</v>
    <v>1</v>
    <v>639101664000000000,639106637109927256,0</v>
    <v>2</v>
    <v>a1z11h</v>
    <v>XNYS:O</v>
    <v>168</v>
  </rv>
  <rv s="18">
    <v>58</v>
    <v>a1yjxm</v>
    <v>Weekly</v>
    <v>45921</v>
    <v>46109</v>
    <v>0</v>
    <v>1</v>
    <v>639101664000000000,639107140721825012,0</v>
    <v>0</v>
    <v>a1yjxm</v>
    <v>XNYS:NKE</v>
    <v>169</v>
  </rv>
  <rv s="18">
    <v>58</v>
    <v>a24p1h</v>
    <v>Weekly</v>
    <v>45921</v>
    <v>46109</v>
    <v>0</v>
    <v>1</v>
    <v>639101664000000000,639107140609076123,0</v>
    <v>0</v>
    <v>a24p1h</v>
    <v>XNAS:TXN</v>
    <v>170</v>
  </rv>
  <rv s="18">
    <v>58</v>
    <v>a1pidm</v>
    <v>Daily</v>
    <v>46108</v>
    <v>46108</v>
    <v>0</v>
    <v>1</v>
    <v>639101664000000000,639106637256674423,0</v>
    <v>2</v>
    <v>a1pidm</v>
    <v>XNYS:CF</v>
    <v>171</v>
  </rv>
  <rv s="18">
    <v>58</v>
    <v>axxudm</v>
    <v>Daily</v>
    <v>46108</v>
    <v>46108</v>
    <v>0</v>
    <v>1</v>
    <v>639101664000000000,639106637169780629,0</v>
    <v>2</v>
    <v>axxudm</v>
    <v>XNYS:NCLH</v>
    <v>172</v>
  </rv>
  <rv s="18">
    <v>58</v>
    <v>a1s5xm</v>
    <v>Weekly</v>
    <v>45921</v>
    <v>46109</v>
    <v>0</v>
    <v>1</v>
    <v>639101664000000000,639107140763316761,0</v>
    <v>0</v>
    <v>a1s5xm</v>
    <v>XNAS:CZR</v>
    <v>173</v>
  </rv>
  <rv s="18">
    <v>58</v>
    <v>a1ra3m</v>
    <v>Weekly</v>
    <v>45921</v>
    <v>46109</v>
    <v>0</v>
    <v>1</v>
    <v>639101664000000000,639107140623774475,0</v>
    <v>0</v>
    <v>a1ra3m</v>
    <v>XNYS:DRI</v>
    <v>174</v>
  </rv>
  <rv s="18">
    <v>58</v>
    <v>a1vtoc</v>
    <v>Weekly</v>
    <v>45921</v>
    <v>46109</v>
    <v>0</v>
    <v>1</v>
    <v>639101664000000000,639107140709586805,0</v>
    <v>0</v>
    <v>a1vtoc</v>
    <v>XNYS:IT</v>
    <v>175</v>
  </rv>
  <rv s="18">
    <v>58</v>
    <v>brjvjc</v>
    <v>Weekly</v>
    <v>45921</v>
    <v>46109</v>
    <v>0</v>
    <v>1</v>
    <v>639101664000000000,639107140623459573,0</v>
    <v>0</v>
    <v>brjvjc</v>
    <v>XNAS:DDOG</v>
    <v>176</v>
  </rv>
  <rv s="18">
    <v>58</v>
    <v>a25zz2</v>
    <v>Weekly</v>
    <v>45921</v>
    <v>46109</v>
    <v>0</v>
    <v>1</v>
    <v>639101664000000000,639107140606092153,0</v>
    <v>0</v>
    <v>a25zz2</v>
    <v>XNYS:WRB</v>
    <v>177</v>
  </rv>
  <rv s="18">
    <v>58</v>
    <v>a1uqpr</v>
    <v>Weekly</v>
    <v>45921</v>
    <v>46109</v>
    <v>0</v>
    <v>1</v>
    <v>639101664000000000,639107140738838227,0</v>
    <v>0</v>
    <v>a1uqpr</v>
    <v>XNYS:HLT</v>
    <v>178</v>
  </rv>
  <rv s="18">
    <v>58</v>
    <v>a1vjbh</v>
    <v>Daily</v>
    <v>46108</v>
    <v>46108</v>
    <v>0</v>
    <v>1</v>
    <v>639101664000000000,639106637097132524,0</v>
    <v>2</v>
    <v>a1vjbh</v>
    <v>XNAS:INCY</v>
    <v>179</v>
  </rv>
  <rv s="18">
    <v>58</v>
    <v>a1uou2</v>
    <v>Weekly</v>
    <v>45921</v>
    <v>46109</v>
    <v>0</v>
    <v>1</v>
    <v>639101664000000000,639107140732706298,0</v>
    <v>0</v>
    <v>a1uou2</v>
    <v>XNYS:HIG</v>
    <v>180</v>
  </rv>
  <rv s="18">
    <v>58</v>
    <v>a1sqcw</v>
    <v>Weekly</v>
    <v>45921</v>
    <v>46109</v>
    <v>0</v>
    <v>1</v>
    <v>639101664000000000,639107140650969701,0</v>
    <v>0</v>
    <v>a1sqcw</v>
    <v>XNYS:FDS</v>
    <v>181</v>
  </rv>
  <rv s="18">
    <v>58</v>
    <v>a1s4yc</v>
    <v>Weekly</v>
    <v>45921</v>
    <v>46109</v>
    <v>0</v>
    <v>1</v>
    <v>639101664000000000,639107140662135748,0</v>
    <v>0</v>
    <v>a1s4yc</v>
    <v>XNYS:EQR</v>
    <v>182</v>
  </rv>
  <rv s="18">
    <v>58</v>
    <v>a24bsm</v>
    <v>Daily</v>
    <v>46108</v>
    <v>46108</v>
    <v>0</v>
    <v>1</v>
    <v>639101664000000000,639106637148051178,0</v>
    <v>2</v>
    <v>a24bsm</v>
    <v>XNYS:TMO</v>
    <v>183</v>
  </rv>
  <rv s="18">
    <v>58</v>
    <v>az6g8m</v>
    <v>Daily</v>
    <v>46108</v>
    <v>46108</v>
    <v>0</v>
    <v>1</v>
    <v>639101664000000000,639106637213887218,0</v>
    <v>2</v>
    <v>az6g8m</v>
    <v>XNAS:BKNG</v>
    <v>184</v>
  </rv>
  <rv s="18">
    <v>58</v>
    <v>a1uvar</v>
    <v>Weekly</v>
    <v>45921</v>
    <v>46109</v>
    <v>0</v>
    <v>1</v>
    <v>639101664000000000,639107140654629401,0</v>
    <v>0</v>
    <v>a1uvar</v>
    <v>XNYS:LHX</v>
    <v>185</v>
  </rv>
  <rv s="18">
    <v>58</v>
    <v>a1ypc7</v>
    <v>Daily</v>
    <v>46108</v>
    <v>46108</v>
    <v>0</v>
    <v>1</v>
    <v>639101664000000000,639106637231285963,0</v>
    <v>2</v>
    <v>a1ypc7</v>
    <v>XNYS:NRG</v>
    <v>186</v>
  </rv>
  <rv s="18">
    <v>58</v>
    <v>a1rew7</v>
    <v>Daily</v>
    <v>46108</v>
    <v>46108</v>
    <v>0</v>
    <v>1</v>
    <v>639101664000000000,639106637246600590,0</v>
    <v>2</v>
    <v>a1rew7</v>
    <v>XNYS:DVN</v>
    <v>187</v>
  </rv>
  <rv s="18">
    <v>58</v>
    <v>a1rzh7</v>
    <v>Daily</v>
    <v>46108</v>
    <v>46108</v>
    <v>0</v>
    <v>1</v>
    <v>639101664000000000,639106637178441041,0</v>
    <v>2</v>
    <v>a1rzh7</v>
    <v>XNAS:ENPH</v>
    <v>188</v>
  </rv>
  <rv s="18">
    <v>58</v>
    <v>a24j8m</v>
    <v>Weekly</v>
    <v>45921</v>
    <v>46109</v>
    <v>0</v>
    <v>1</v>
    <v>639101664000000000,639107140746885340,0</v>
    <v>0</v>
    <v>a24j8m</v>
    <v>XNYS:TRV</v>
    <v>189</v>
  </rv>
  <rv s="18">
    <v>58</v>
    <v>a24gur</v>
    <v>Weekly</v>
    <v>45921</v>
    <v>46109</v>
    <v>0</v>
    <v>1</v>
    <v>639101664000000000,639107140717377652,0</v>
    <v>0</v>
    <v>a24gur</v>
    <v>XNYS:TRGP</v>
    <v>190</v>
  </rv>
  <rv s="18">
    <v>58</v>
    <v>a212zr</v>
    <v>Weekly</v>
    <v>45921</v>
    <v>46109</v>
    <v>0</v>
    <v>1</v>
    <v>639101664000000000,639107140723352325,0</v>
    <v>0</v>
    <v>a212zr</v>
    <v>XNYS:PNR</v>
    <v>191</v>
  </rv>
  <rv s="18">
    <v>59</v>
    <v>aobrkr</v>
    <v>Weekly</v>
    <v>45921</v>
    <v>46109</v>
    <v>0</v>
    <v>1</v>
    <v>639101664000000000,639107140605226165,0</v>
    <v>192</v>
    <v>aobrkr</v>
    <v>XLON:MRO</v>
    <v>193</v>
  </rv>
  <rv s="18">
    <v>58</v>
    <v>a214vh</v>
    <v>Weekly</v>
    <v>45921</v>
    <v>46109</v>
    <v>0</v>
    <v>1</v>
    <v>639101664000000000,639107140650418234,0</v>
    <v>0</v>
    <v>a214vh</v>
    <v>XNYS:PPL</v>
    <v>194</v>
  </rv>
  <rv s="18">
    <v>58</v>
    <v>a1oxur</v>
    <v>Weekly</v>
    <v>45921</v>
    <v>46109</v>
    <v>0</v>
    <v>1</v>
    <v>639101664000000000,639107140654850444,0</v>
    <v>0</v>
    <v>a1oxur</v>
    <v>XNYS:BSX</v>
    <v>195</v>
  </rv>
  <rv s="18">
    <v>58</v>
    <v>a1qyvh</v>
    <v>Daily</v>
    <v>46108</v>
    <v>46108</v>
    <v>0</v>
    <v>1</v>
    <v>639101664000000000,639106637175879236,0</v>
    <v>2</v>
    <v>a1qyvh</v>
    <v>XNYS:DG</v>
    <v>196</v>
  </rv>
  <rv s="18">
    <v>58</v>
    <v>a1y7rw</v>
    <v>Weekly</v>
    <v>45921</v>
    <v>46109</v>
    <v>0</v>
    <v>1</v>
    <v>639101664000000000,639107140628933002,0</v>
    <v>0</v>
    <v>a1y7rw</v>
    <v>XNAS:VTRS</v>
    <v>197</v>
  </rv>
  <rv s="18">
    <v>58</v>
    <v>a1wjz2</v>
    <v>Weekly</v>
    <v>45921</v>
    <v>46109</v>
    <v>0</v>
    <v>1</v>
    <v>639101664000000000,639107140626750906,0</v>
    <v>0</v>
    <v>a1wjz2</v>
    <v>XNAS:KMB</v>
    <v>198</v>
  </rv>
  <rv s="18">
    <v>58</v>
    <v>a1pnu2</v>
    <v>Daily</v>
    <v>46108</v>
    <v>46108</v>
    <v>0</v>
    <v>1</v>
    <v>639101664000000000,639106637202399402,0</v>
    <v>2</v>
    <v>a1pnu2</v>
    <v>XNAS:CHRW</v>
    <v>199</v>
  </rv>
  <rv s="18">
    <v>58</v>
    <v>a1usr7</v>
    <v>Weekly</v>
    <v>45921</v>
    <v>46109</v>
    <v>0</v>
    <v>1</v>
    <v>639101664000000000,639107140711530797,0</v>
    <v>0</v>
    <v>a1usr7</v>
    <v>XNAS:HOLX</v>
    <v>200</v>
  </rv>
  <rv s="18">
    <v>58</v>
    <v>b17tur</v>
    <v>Weekly</v>
    <v>45921</v>
    <v>46109</v>
    <v>0</v>
    <v>1</v>
    <v>639101664000000000,639107140693561952,0</v>
    <v>0</v>
    <v>b17tur</v>
    <v>XNAS:EVRG</v>
    <v>201</v>
  </rv>
  <rv s="18">
    <v>58</v>
    <v>a1odur</v>
    <v>Daily</v>
    <v>46108</v>
    <v>46108</v>
    <v>0</v>
    <v>1</v>
    <v>639101664000000000,639106637188601057,0</v>
    <v>2</v>
    <v>a1odur</v>
    <v>XNYS:BF.A</v>
    <v>202</v>
  </rv>
  <rv s="18">
    <v>58</v>
    <v>bx11nm</v>
    <v>Weekly</v>
    <v>45921</v>
    <v>46109</v>
    <v>0</v>
    <v>1</v>
    <v>639101664000000000,639107140603761629,0</v>
    <v>0</v>
    <v>bx11nm</v>
    <v>XNAS:DASH</v>
    <v>203</v>
  </rv>
  <rv s="18">
    <v>58</v>
    <v>a1xp2w</v>
    <v>Weekly</v>
    <v>45921</v>
    <v>46109</v>
    <v>0</v>
    <v>1</v>
    <v>639101664000000000,639107140609079266,0</v>
    <v>0</v>
    <v>a1xp2w</v>
    <v>XNYS:MLM</v>
    <v>204</v>
  </rv>
  <rv s="18">
    <v>58</v>
    <v>a26hyc</v>
    <v>Weekly</v>
    <v>45921</v>
    <v>46109</v>
    <v>0</v>
    <v>1</v>
    <v>639101664000000000,639107140723784367,0</v>
    <v>0</v>
    <v>a26hyc</v>
    <v>XNYS:ZTS</v>
    <v>205</v>
  </rv>
  <rv s="18">
    <v>58</v>
    <v>a1n977</v>
    <v>Weekly</v>
    <v>45921</v>
    <v>46109</v>
    <v>0</v>
    <v>1</v>
    <v>639101664000000000,639107140612563054,0</v>
    <v>0</v>
    <v>a1n977</v>
    <v>XNYS:ALB</v>
    <v>206</v>
  </rv>
  <rv s="18">
    <v>58</v>
    <v>a1ou77</v>
    <v>Weekly</v>
    <v>45921</v>
    <v>46109</v>
    <v>0</v>
    <v>1</v>
    <v>639101664000000000,639107140667816730,0</v>
    <v>0</v>
    <v>a1ou77</v>
    <v>XNYS:BRO</v>
    <v>207</v>
  </rv>
  <rv s="18">
    <v>58</v>
    <v>a21gh7</v>
    <v>Weekly</v>
    <v>45921</v>
    <v>46109</v>
    <v>0</v>
    <v>1</v>
    <v>639101664000000000,639107140598853541,0</v>
    <v>0</v>
    <v>a21gh7</v>
    <v>XNYS:PWR</v>
    <v>208</v>
  </rv>
  <rv s="18">
    <v>58</v>
    <v>bpifbh</v>
    <v>Weekly</v>
    <v>45921</v>
    <v>46109</v>
    <v>0</v>
    <v>1</v>
    <v>639101664000000000,639107140745042894,0</v>
    <v>0</v>
    <v>bpifbh</v>
    <v>XNYS:DOW</v>
    <v>209</v>
  </rv>
  <rv s="18">
    <v>58</v>
    <v>a1ythw</v>
    <v>Weekly</v>
    <v>45921</v>
    <v>46109</v>
    <v>0</v>
    <v>1</v>
    <v>639101664000000000,639107140783096542,0</v>
    <v>0</v>
    <v>a1ythw</v>
    <v>XNYS:NUE</v>
    <v>210</v>
  </rv>
  <rv s="18">
    <v>58</v>
    <v>a1olgh</v>
    <v>Weekly</v>
    <v>45921</v>
    <v>46109</v>
    <v>0</v>
    <v>1</v>
    <v>639101664000000000,639107140665563378,0</v>
    <v>0</v>
    <v>a1olgh</v>
    <v>XNYS:BLDR</v>
    <v>211</v>
  </rv>
  <rv s="18">
    <v>58</v>
    <v>a1r9cw</v>
    <v>Weekly</v>
    <v>45921</v>
    <v>46109</v>
    <v>0</v>
    <v>1</v>
    <v>639101664000000000,639107140709643593,0</v>
    <v>0</v>
    <v>a1r9cw</v>
    <v>XNAS:KDP</v>
    <v>212</v>
  </rv>
  <rv s="18">
    <v>58</v>
    <v>a23d6h</v>
    <v>Weekly</v>
    <v>45921</v>
    <v>46109</v>
    <v>0</v>
    <v>1</v>
    <v>639101664000000000,639107140690423330,0</v>
    <v>0</v>
    <v>a23d6h</v>
    <v>XNYS:SPG</v>
    <v>213</v>
  </rv>
  <rv s="18">
    <v>58</v>
    <v>a1nhlh</v>
    <v>Weekly</v>
    <v>45921</v>
    <v>46109</v>
    <v>0</v>
    <v>1</v>
    <v>639101664000000000,639107140780616447,0</v>
    <v>0</v>
    <v>a1nhlh</v>
    <v>XNAS:AMZN</v>
    <v>214</v>
  </rv>
  <rv s="18">
    <v>58</v>
    <v>a1q8r7</v>
    <v>Daily</v>
    <v>46108</v>
    <v>46108</v>
    <v>0</v>
    <v>1</v>
    <v>639101664000000000,639106637103825385,0</v>
    <v>2</v>
    <v>a1q8r7</v>
    <v>XNAS:CPRT</v>
    <v>215</v>
  </rv>
  <rv s="18">
    <v>58</v>
    <v>a1stjc</v>
    <v>Daily</v>
    <v>46108</v>
    <v>46108</v>
    <v>0</v>
    <v>1</v>
    <v>639101664000000000,639106637082571376,0</v>
    <v>2</v>
    <v>a1stjc</v>
    <v>XNAS:FFIV</v>
    <v>216</v>
  </rv>
  <rv s="18">
    <v>58</v>
    <v>a1q6k2</v>
    <v>Weekly</v>
    <v>45921</v>
    <v>46109</v>
    <v>0</v>
    <v>1</v>
    <v>639101664000000000,639107140670725504,0</v>
    <v>0</v>
    <v>a1q6k2</v>
    <v>XNAS:COST</v>
    <v>217</v>
  </rv>
  <rv s="18">
    <v>58</v>
    <v>a1rec7</v>
    <v>Weekly</v>
    <v>45921</v>
    <v>46109</v>
    <v>0</v>
    <v>1</v>
    <v>639101664000000000,639107140731196812,0</v>
    <v>0</v>
    <v>a1rec7</v>
    <v>XNYS:DVA</v>
    <v>218</v>
  </rv>
  <rv s="18">
    <v>58</v>
    <v>a1vo7w</v>
    <v>Daily</v>
    <v>46108</v>
    <v>46108</v>
    <v>0</v>
    <v>1</v>
    <v>639101664000000000,639106637106408729,0</v>
    <v>2</v>
    <v>a1vo7w</v>
    <v>XNYS:IP</v>
    <v>219</v>
  </rv>
  <rv s="18">
    <v>58</v>
    <v>a1ye2w</v>
    <v>Weekly</v>
    <v>45921</v>
    <v>46109</v>
    <v>0</v>
    <v>1</v>
    <v>639101664000000000,639107140753484995,0</v>
    <v>0</v>
    <v>a1ye2w</v>
    <v>XNYS:NEE</v>
    <v>220</v>
  </rv>
  <rv s="18">
    <v>58</v>
    <v>a218mw</v>
    <v>Daily</v>
    <v>46108</v>
    <v>46108</v>
    <v>0</v>
    <v>1</v>
    <v>639101664000000000,639106637203358194,0</v>
    <v>2</v>
    <v>a218mw</v>
    <v>XNYS:PSA</v>
    <v>221</v>
  </rv>
  <rv s="18">
    <v>58</v>
    <v>a1xxmw</v>
    <v>Weekly</v>
    <v>45921</v>
    <v>46109</v>
    <v>0</v>
    <v>1</v>
    <v>639101664000000000,639107140666955135,0</v>
    <v>0</v>
    <v>a1xxmw</v>
    <v>XNYS:MRK</v>
    <v>222</v>
  </rv>
  <rv s="18">
    <v>58</v>
    <v>a22xk2</v>
    <v>Daily</v>
    <v>46108</v>
    <v>46108</v>
    <v>0</v>
    <v>1</v>
    <v>639101664000000000,639106637281178817,0</v>
    <v>2</v>
    <v>a22xk2</v>
    <v>XNYS:SHW</v>
    <v>223</v>
  </rv>
  <rv s="18">
    <v>58</v>
    <v>a218k2</v>
    <v>Daily</v>
    <v>46108</v>
    <v>46108</v>
    <v>0</v>
    <v>1</v>
    <v>639101664000000000,639106637194327864,0</v>
    <v>2</v>
    <v>a218k2</v>
    <v>XNYS:PRU</v>
    <v>224</v>
  </rv>
  <rv s="18">
    <v>58</v>
    <v>a1s24c</v>
    <v>Weekly</v>
    <v>45921</v>
    <v>46109</v>
    <v>0</v>
    <v>1</v>
    <v>639101664000000000,639107140702993839,0</v>
    <v>0</v>
    <v>a1s24c</v>
    <v>XNYS:EOG</v>
    <v>225</v>
  </rv>
  <rv s="18">
    <v>58</v>
    <v>ccr2bh</v>
    <v>Weekly</v>
    <v>45921</v>
    <v>46109</v>
    <v>0</v>
    <v>1</v>
    <v>639101664000000000,639107140733997312,0</v>
    <v>0</v>
    <v>ccr2bh</v>
    <v>XNYS:SOLV</v>
    <v>226</v>
  </rv>
  <rv s="18">
    <v>58</v>
    <v>a1uj52</v>
    <v>Weekly</v>
    <v>45921</v>
    <v>46109</v>
    <v>0</v>
    <v>1</v>
    <v>639101664000000000,639107140633075755,0</v>
    <v>0</v>
    <v>a1uj52</v>
    <v>XNYS:HD</v>
    <v>227</v>
  </rv>
  <rv s="18">
    <v>58</v>
    <v>a22i27</v>
    <v>Weekly</v>
    <v>45921</v>
    <v>46109</v>
    <v>0</v>
    <v>1</v>
    <v>639101664000000000,639107140764777753,0</v>
    <v>0</v>
    <v>a22i27</v>
    <v>XNAS:SBAC</v>
    <v>228</v>
  </rv>
  <rv s="18">
    <v>58</v>
    <v>a1wi77</v>
    <v>Weekly</v>
    <v>45921</v>
    <v>46109</v>
    <v>0</v>
    <v>1</v>
    <v>639101664000000000,639107140649401523,0</v>
    <v>0</v>
    <v>a1wi77</v>
    <v>XNAS:KHC</v>
    <v>229</v>
  </rv>
  <rv s="18">
    <v>58</v>
    <v>a1q9c7</v>
    <v>Weekly</v>
    <v>45921</v>
    <v>46109</v>
    <v>0</v>
    <v>1</v>
    <v>639101664000000000,639107140744276518,0</v>
    <v>0</v>
    <v>a1q9c7</v>
    <v>XNYS:CPT</v>
    <v>230</v>
  </rv>
  <rv s="18">
    <v>60</v>
    <v>c4655r</v>
    <v>Weekly</v>
    <v>45921</v>
    <v>46109</v>
    <v>0</v>
    <v>1</v>
    <v>639101664000000000,639107140645788984,0</v>
    <v>231</v>
    <v>c4655r</v>
    <v>XASX:IPG</v>
    <v>232</v>
  </rv>
  <rv s="18">
    <v>58</v>
    <v>a25e77</v>
    <v>Daily</v>
    <v>46108</v>
    <v>46108</v>
    <v>0</v>
    <v>1</v>
    <v>639101664000000000,639106637079509899,0</v>
    <v>2</v>
    <v>a25e77</v>
    <v>XNYS:VLO</v>
    <v>233</v>
  </rv>
  <rv s="18">
    <v>58</v>
    <v>a1vmtc</v>
    <v>Weekly</v>
    <v>45921</v>
    <v>46109</v>
    <v>0</v>
    <v>1</v>
    <v>639101664000000000,639107140623864703,0</v>
    <v>0</v>
    <v>a1vmtc</v>
    <v>XNAS:INTU</v>
    <v>234</v>
  </rv>
  <rv s="18">
    <v>58</v>
    <v>a26em7</v>
    <v>Weekly</v>
    <v>45921</v>
    <v>46109</v>
    <v>0</v>
    <v>1</v>
    <v>639101664000000000,639107140717817071,0</v>
    <v>0</v>
    <v>a26em7</v>
    <v>XNYS:YUM</v>
    <v>235</v>
  </rv>
  <rv s="18">
    <v>58</v>
    <v>a1ngur</v>
    <v>Weekly</v>
    <v>45921</v>
    <v>46109</v>
    <v>0</v>
    <v>1</v>
    <v>639101664000000000,639107140609292969,0</v>
    <v>0</v>
    <v>a1ngur</v>
    <v>XNYS:AMT</v>
    <v>236</v>
  </rv>
  <rv s="18">
    <v>58</v>
    <v>a1xtpr</v>
    <v>Weekly</v>
    <v>45921</v>
    <v>46109</v>
    <v>0</v>
    <v>1</v>
    <v>639101664000000000,639107140604999271,0</v>
    <v>0</v>
    <v>a1xtpr</v>
    <v>XNYS:MO</v>
    <v>237</v>
  </rv>
  <rv s="18">
    <v>58</v>
    <v>a1ztzr</v>
    <v>Daily</v>
    <v>46108</v>
    <v>46108</v>
    <v>0</v>
    <v>1</v>
    <v>639101664000000000,639106637198997740,0</v>
    <v>2</v>
    <v>a1ztzr</v>
    <v>XNYS:PH</v>
    <v>238</v>
  </rv>
  <rv s="18">
    <v>58</v>
    <v>a1yx6h</v>
    <v>Weekly</v>
    <v>45921</v>
    <v>46109</v>
    <v>0</v>
    <v>1</v>
    <v>639101664000000000,639107140598943466,0</v>
    <v>0</v>
    <v>a1yx6h</v>
    <v>XNAS:NWS</v>
    <v>239</v>
  </rv>
  <rv s="18">
    <v>58</v>
    <v>a1xg3m</v>
    <v>Weekly</v>
    <v>45921</v>
    <v>46109</v>
    <v>0</v>
    <v>1</v>
    <v>639101664000000000,639107140738335477,0</v>
    <v>0</v>
    <v>a1xg3m</v>
    <v>XNYS:MDT</v>
    <v>240</v>
  </rv>
  <rv s="18">
    <v>58</v>
    <v>a25552</v>
    <v>Weekly</v>
    <v>45921</v>
    <v>46109</v>
    <v>0</v>
    <v>1</v>
    <v>639101664000000000,639107140663965147,0</v>
    <v>0</v>
    <v>a25552</v>
    <v>XNYS:RTX</v>
    <v>241</v>
  </rv>
  <rv s="18">
    <v>58</v>
    <v>a1mpc7</v>
    <v>Weekly</v>
    <v>45921</v>
    <v>46109</v>
    <v>0</v>
    <v>1</v>
    <v>639101664000000000,639107140751686906,0</v>
    <v>0</v>
    <v>a1mpc7</v>
    <v>XNAS:AXON</v>
    <v>242</v>
  </rv>
  <rv s="18">
    <v>58</v>
    <v>a21icw</v>
    <v>Weekly</v>
    <v>45921</v>
    <v>46109</v>
    <v>0</v>
    <v>1</v>
    <v>639101664000000000,639107140605975196,0</v>
    <v>0</v>
    <v>a21icw</v>
    <v>XNAS:PYPL</v>
    <v>243</v>
  </rv>
  <rv s="18">
    <v>58</v>
    <v>bq89dm</v>
    <v>Daily</v>
    <v>46108</v>
    <v>46108</v>
    <v>0</v>
    <v>1</v>
    <v>639101664000000000,639106637174365534,0</v>
    <v>2</v>
    <v>bq89dm</v>
    <v>XNYS:CTVA</v>
    <v>244</v>
  </rv>
  <rv s="18">
    <v>58</v>
    <v>a1nkur</v>
    <v>Weekly</v>
    <v>45921</v>
    <v>46109</v>
    <v>0</v>
    <v>1</v>
    <v>639101664000000000,639107140631034300,0</v>
    <v>0</v>
    <v>a1nkur</v>
    <v>XNAS:APA</v>
    <v>245</v>
  </rv>
  <rv s="18">
    <v>58</v>
    <v>a1pcf2</v>
    <v>Weekly</v>
    <v>45921</v>
    <v>46109</v>
    <v>0</v>
    <v>1</v>
    <v>639101664000000000,639107140734962783,0</v>
    <v>0</v>
    <v>a1pcf2</v>
    <v>XNYS:CCI</v>
    <v>246</v>
  </rv>
  <rv s="18">
    <v>58</v>
    <v>a23xz2</v>
    <v>Weekly</v>
    <v>45921</v>
    <v>46109</v>
    <v>0</v>
    <v>1</v>
    <v>639101664000000000,639107140682966272,0</v>
    <v>0</v>
    <v>a23xz2</v>
    <v>XNYS:TAP</v>
    <v>247</v>
  </rv>
  <rv s="18">
    <v>58</v>
    <v>a25par</v>
    <v>Daily</v>
    <v>46108</v>
    <v>46108</v>
    <v>0</v>
    <v>1</v>
    <v>639101664000000000,639106637172396632,0</v>
    <v>2</v>
    <v>a25par</v>
    <v>XNYS:WAT</v>
    <v>248</v>
  </rv>
  <rv s="18">
    <v>58</v>
    <v>a21277</v>
    <v>Weekly</v>
    <v>45921</v>
    <v>46109</v>
    <v>0</v>
    <v>1</v>
    <v>639101664000000000,639107140721151994,0</v>
    <v>0</v>
    <v>a21277</v>
    <v>XNYS:PNC</v>
    <v>249</v>
  </rv>
  <rv s="18">
    <v>58</v>
    <v>a1xoc7</v>
    <v>Weekly</v>
    <v>45921</v>
    <v>46109</v>
    <v>0</v>
    <v>1</v>
    <v>639101664000000000,639107140665341683,0</v>
    <v>0</v>
    <v>a1xoc7</v>
    <v>XNYS:MKC</v>
    <v>250</v>
  </rv>
  <rv s="18">
    <v>58</v>
    <v>a1zk27</v>
    <v>Weekly</v>
    <v>45921</v>
    <v>46109</v>
    <v>0</v>
    <v>1</v>
    <v>639101664000000000,639107140671104468,0</v>
    <v>0</v>
    <v>a1zk27</v>
    <v>XNAS:PCAR</v>
    <v>251</v>
  </rv>
  <rv s="18">
    <v>58</v>
    <v>a222gh</v>
    <v>Weekly</v>
    <v>45921</v>
    <v>46109</v>
    <v>0</v>
    <v>1</v>
    <v>639101664000000000,639107140628245948,0</v>
    <v>0</v>
    <v>a222gh</v>
    <v>XNYS:RL</v>
    <v>252</v>
  </rv>
  <rv s="18">
    <v>58</v>
    <v>a1v6nm</v>
    <v>Daily</v>
    <v>46108</v>
    <v>46108</v>
    <v>0</v>
    <v>1</v>
    <v>639101664000000000,639106637192187260,0</v>
    <v>2</v>
    <v>a1v6nm</v>
    <v>XNYS:IBM</v>
    <v>253</v>
  </rv>
  <rv s="18">
    <v>58</v>
    <v>a1s2fr</v>
    <v>Weekly</v>
    <v>45921</v>
    <v>46109</v>
    <v>0</v>
    <v>1</v>
    <v>639101664000000000,639107140607486253,0</v>
    <v>0</v>
    <v>a1s2fr</v>
    <v>XNYS:EPAM</v>
    <v>254</v>
  </rv>
  <rv s="18">
    <v>58</v>
    <v>a1r177</v>
    <v>Weekly</v>
    <v>45921</v>
    <v>46109</v>
    <v>0</v>
    <v>1</v>
    <v>639101664000000000,639107140770859627,0</v>
    <v>0</v>
    <v>a1r177</v>
    <v>XNYS:DGX</v>
    <v>255</v>
  </rv>
  <rv s="18">
    <v>58</v>
    <v>a21zf2</v>
    <v>Daily</v>
    <v>46108</v>
    <v>46108</v>
    <v>0</v>
    <v>1</v>
    <v>639101664000000000,639106637102380323,0</v>
    <v>2</v>
    <v>a21zf2</v>
    <v>XNYS:RHI</v>
    <v>256</v>
  </rv>
  <rv s="18">
    <v>58</v>
    <v>c1sd3m</v>
    <v>Weekly</v>
    <v>45921</v>
    <v>46109</v>
    <v>0</v>
    <v>1</v>
    <v>639101664000000000,639107140612060771,0</v>
    <v>0</v>
    <v>c1sd3m</v>
    <v>XNAS:APP</v>
    <v>257</v>
  </rv>
  <rv s="18">
    <v>58</v>
    <v>a1ufm7</v>
    <v>Weekly</v>
    <v>45921</v>
    <v>46109</v>
    <v>0</v>
    <v>1</v>
    <v>639101664000000000,639107140721426597,0</v>
    <v>0</v>
    <v>a1ufm7</v>
    <v>XNYS:HAL</v>
    <v>258</v>
  </rv>
  <rv s="18">
    <v>58</v>
    <v>a1qqbh</v>
    <v>Weekly</v>
    <v>45921</v>
    <v>46109</v>
    <v>0</v>
    <v>1</v>
    <v>639101664000000000,639107140667766557,0</v>
    <v>0</v>
    <v>a1qqbh</v>
    <v>XNYS:DAL</v>
    <v>259</v>
  </rv>
  <rv s="18">
    <v>58</v>
    <v>a24c52</v>
    <v>Weekly</v>
    <v>45921</v>
    <v>46109</v>
    <v>0</v>
    <v>1</v>
    <v>639101664000000000,639107140783794313,0</v>
    <v>0</v>
    <v>a24c52</v>
    <v>XNAS:TMUS</v>
    <v>260</v>
  </rv>
  <rv s="18">
    <v>58</v>
    <v>a1odur</v>
    <v>Weekly</v>
    <v>45921</v>
    <v>46109</v>
    <v>0</v>
    <v>1</v>
    <v>639101664000000000,639107140604724762,0</v>
    <v>0</v>
    <v>a1odur</v>
    <v>XNYS:BF.A</v>
    <v>261</v>
  </rv>
  <rv s="18">
    <v>58</v>
    <v>a1safr</v>
    <v>Weekly</v>
    <v>45921</v>
    <v>46109</v>
    <v>0</v>
    <v>1</v>
    <v>639101664000000000,639107140740635376,0</v>
    <v>0</v>
    <v>a1safr</v>
    <v>XNYS:ETN</v>
    <v>262</v>
  </rv>
  <rv s="18">
    <v>58</v>
    <v>a26c9c</v>
    <v>Weekly</v>
    <v>45921</v>
    <v>46109</v>
    <v>0</v>
    <v>1</v>
    <v>639101664000000000,639107140635941094,0</v>
    <v>0</v>
    <v>a26c9c</v>
    <v>XNYS:XYL</v>
    <v>263</v>
  </rv>
  <rv s="18">
    <v>58</v>
    <v>bzu86h</v>
    <v>Daily</v>
    <v>46108</v>
    <v>46108</v>
    <v>0</v>
    <v>1</v>
    <v>639101664000000000,639106637169509315,0</v>
    <v>2</v>
    <v>bzu86h</v>
    <v>XNAS:COIN</v>
    <v>264</v>
  </rv>
  <rv s="18">
    <v>58</v>
    <v>a25rkr</v>
    <v>Weekly</v>
    <v>45921</v>
    <v>46109</v>
    <v>0</v>
    <v>1</v>
    <v>639101664000000000,639107140689566334,0</v>
    <v>0</v>
    <v>a25rkr</v>
    <v>XNAS:WDAY</v>
    <v>265</v>
  </rv>
  <rv s="18">
    <v>58</v>
    <v>a1wxjc</v>
    <v>Weekly</v>
    <v>45921</v>
    <v>46109</v>
    <v>0</v>
    <v>1</v>
    <v>639101664000000000,639107140651821520,0</v>
    <v>0</v>
    <v>a1wxjc</v>
    <v>XNAS:LITE</v>
    <v>266</v>
  </rv>
  <rv s="18">
    <v>58</v>
    <v>a22n4c</v>
    <v>Weekly</v>
    <v>45921</v>
    <v>46109</v>
    <v>0</v>
    <v>1</v>
    <v>639101664000000000,639107140748676924,0</v>
    <v>0</v>
    <v>a22n4c</v>
    <v>XNYS:SCHW</v>
    <v>267</v>
  </rv>
  <rv s="18">
    <v>58</v>
    <v>a1u4zr</v>
    <v>Daily</v>
    <v>46108</v>
    <v>46108</v>
    <v>0</v>
    <v>1</v>
    <v>639101664000000000,639106637171320652,0</v>
    <v>2</v>
    <v>a1u4zr</v>
    <v>XNYS:GPN</v>
    <v>268</v>
  </rv>
  <rv s="18">
    <v>58</v>
    <v>a1n6f2</v>
    <v>Weekly</v>
    <v>45921</v>
    <v>46109</v>
    <v>0</v>
    <v>1</v>
    <v>639101664000000000,639107140770217304,0</v>
    <v>0</v>
    <v>a1n6f2</v>
    <v>XNYS:AIG</v>
    <v>269</v>
  </rv>
  <rv s="18">
    <v>58</v>
    <v>a1ohur</v>
    <v>Daily</v>
    <v>46108</v>
    <v>46108</v>
    <v>0</v>
    <v>1</v>
    <v>639101664000000000,639106637126007999,0</v>
    <v>2</v>
    <v>a1ohur</v>
    <v>XNAS:BIIB</v>
    <v>270</v>
  </rv>
  <rv s="18">
    <v>58</v>
    <v>a1s6ww</v>
    <v>Weekly</v>
    <v>45921</v>
    <v>46109</v>
    <v>0</v>
    <v>1</v>
    <v>639101664000000000,639107140660627209,0</v>
    <v>0</v>
    <v>a1s6ww</v>
    <v>XNYS:ES</v>
    <v>271</v>
  </rv>
  <rv s="18">
    <v>58</v>
    <v>a1uwu2</v>
    <v>Daily</v>
    <v>46108</v>
    <v>46108</v>
    <v>0</v>
    <v>1</v>
    <v>639101664000000000,639106637196507944,0</v>
    <v>2</v>
    <v>a1uwu2</v>
    <v>XNYS:HSY</v>
    <v>272</v>
  </rv>
  <rv s="18">
    <v>58</v>
    <v>a25vnm</v>
    <v>Daily</v>
    <v>46108</v>
    <v>46108</v>
    <v>0</v>
    <v>1</v>
    <v>639101664000000000,639106637269528267,0</v>
    <v>2</v>
    <v>a25vnm</v>
    <v>XNYS:WHR</v>
    <v>273</v>
  </rv>
  <rv s="18">
    <v>58</v>
    <v>a1zbvh</v>
    <v>Weekly</v>
    <v>45921</v>
    <v>46109</v>
    <v>0</v>
    <v>1</v>
    <v>639101664000000000,639107140620344479,0</v>
    <v>0</v>
    <v>a1zbvh</v>
    <v>XNAS:ORLY</v>
    <v>274</v>
  </rv>
  <rv s="18">
    <v>58</v>
    <v>a22xk2</v>
    <v>Weekly</v>
    <v>45921</v>
    <v>46109</v>
    <v>0</v>
    <v>1</v>
    <v>639101664000000000,639107140601444886,0</v>
    <v>0</v>
    <v>a22xk2</v>
    <v>XNYS:SHW</v>
    <v>275</v>
  </rv>
  <rv s="18">
    <v>58</v>
    <v>a1ru6h</v>
    <v>Daily</v>
    <v>46108</v>
    <v>46108</v>
    <v>0</v>
    <v>1</v>
    <v>639101664000000000,639106637240082863,0</v>
    <v>2</v>
    <v>a1ru6h</v>
    <v>XNYS:EIX</v>
    <v>276</v>
  </rv>
  <rv s="18">
    <v>58</v>
    <v>a1uysm</v>
    <v>Daily</v>
    <v>46108</v>
    <v>46108</v>
    <v>0</v>
    <v>1</v>
    <v>639101664000000000,639106637172514002,0</v>
    <v>2</v>
    <v>a1uysm</v>
    <v>XNYS:HUM</v>
    <v>277</v>
  </rv>
  <rv s="18">
    <v>58</v>
    <v>bxpkww</v>
    <v>Weekly</v>
    <v>45921</v>
    <v>46109</v>
    <v>0</v>
    <v>1</v>
    <v>639101664000000000,639107140630417426,0</v>
    <v>0</v>
    <v>bxpkww</v>
    <v>XNAS:EXE</v>
    <v>278</v>
  </rv>
  <rv s="18">
    <v>58</v>
    <v>a227lh</v>
    <v>Daily</v>
    <v>46108</v>
    <v>46108</v>
    <v>0</v>
    <v>1</v>
    <v>639101664000000000,639106637076522146,0</v>
    <v>2</v>
    <v>a227lh</v>
    <v>XNAS:ROST</v>
    <v>279</v>
  </rv>
  <rv s="18">
    <v>58</v>
    <v>a24jvh</v>
    <v>Daily</v>
    <v>46108</v>
    <v>46108</v>
    <v>0</v>
    <v>1</v>
    <v>639101664000000000,639106637103008388,0</v>
    <v>2</v>
    <v>a24jvh</v>
    <v>XNAS:TSCO</v>
    <v>280</v>
  </rv>
  <rv s="18">
    <v>58</v>
    <v>azetdm</v>
    <v>Weekly</v>
    <v>45921</v>
    <v>46109</v>
    <v>0</v>
    <v>1</v>
    <v>639101664000000000,639107140688729293,0</v>
    <v>0</v>
    <v>azetdm</v>
    <v>XNYS:CBRE</v>
    <v>281</v>
  </rv>
  <rv s="18">
    <v>58</v>
    <v>a1pp5r</v>
    <v>Weekly</v>
    <v>45921</v>
    <v>46109</v>
    <v>0</v>
    <v>1</v>
    <v>639101664000000000,639107140722280965,0</v>
    <v>0</v>
    <v>a1pp5r</v>
    <v>XNYS:CI</v>
    <v>282</v>
  </rv>
  <rv s="18">
    <v>58</v>
    <v>a245u2</v>
    <v>Daily</v>
    <v>46108</v>
    <v>46108</v>
    <v>0</v>
    <v>1</v>
    <v>639101664000000000,639106637236430619,0</v>
    <v>2</v>
    <v>a245u2</v>
    <v>XNYS:TFX</v>
    <v>283</v>
  </rv>
  <rv s="18">
    <v>58</v>
    <v>a1s6ww</v>
    <v>Daily</v>
    <v>46108</v>
    <v>46108</v>
    <v>0</v>
    <v>1</v>
    <v>639101664000000000,639106637222855901,0</v>
    <v>2</v>
    <v>a1s6ww</v>
    <v>XNYS:ES</v>
    <v>284</v>
  </rv>
  <rv s="18">
    <v>58</v>
    <v>a1rmkr</v>
    <v>Weekly</v>
    <v>45921</v>
    <v>46109</v>
    <v>0</v>
    <v>1</v>
    <v>639101664000000000,639107140757549147,0</v>
    <v>0</v>
    <v>a1rmkr</v>
    <v>XNYS:ED</v>
    <v>285</v>
  </rv>
  <rv s="18">
    <v>58</v>
    <v>a1r32w</v>
    <v>Daily</v>
    <v>46108</v>
    <v>46108</v>
    <v>0</v>
    <v>1</v>
    <v>639101664000000000,639106637214309773,0</v>
    <v>2</v>
    <v>a1r32w</v>
    <v>XNAS:WBD</v>
    <v>286</v>
  </rv>
  <rv s="18">
    <v>58</v>
    <v>a1ruc7</v>
    <v>Weekly</v>
    <v>45921</v>
    <v>46109</v>
    <v>0</v>
    <v>1</v>
    <v>639101664000000000,639107140778489824,0</v>
    <v>0</v>
    <v>a1ruc7</v>
    <v>XNYS:EL</v>
    <v>287</v>
  </rv>
  <rv s="18">
    <v>58</v>
    <v>a1u4zr</v>
    <v>Weekly</v>
    <v>45921</v>
    <v>46109</v>
    <v>0</v>
    <v>1</v>
    <v>639101664000000000,639107140733657058,0</v>
    <v>0</v>
    <v>a1u4zr</v>
    <v>XNYS:GPN</v>
    <v>288</v>
  </rv>
  <rv s="18">
    <v>58</v>
    <v>a1xwnm</v>
    <v>Weekly</v>
    <v>45921</v>
    <v>46109</v>
    <v>0</v>
    <v>1</v>
    <v>639101664000000000,639107140682630463,0</v>
    <v>0</v>
    <v>a1xwnm</v>
    <v>XNAS:MPWR</v>
    <v>289</v>
  </rv>
  <rv s="18">
    <v>58</v>
    <v>a1xzim</v>
    <v>Daily</v>
    <v>46108</v>
    <v>46108</v>
    <v>0</v>
    <v>1</v>
    <v>639101664000000000,639106637267753031,0</v>
    <v>2</v>
    <v>a1xzim</v>
    <v>XNAS:MSFT</v>
    <v>290</v>
  </rv>
  <rv s="18">
    <v>58</v>
    <v>a1sjw7</v>
    <v>Weekly</v>
    <v>45921</v>
    <v>46109</v>
    <v>0</v>
    <v>1</v>
    <v>639101664000000000,639107140769057557,0</v>
    <v>0</v>
    <v>a1sjw7</v>
    <v>XNYS:F</v>
    <v>291</v>
  </rv>
  <rv s="18">
    <v>58</v>
    <v>a1xzr7</v>
    <v>Daily</v>
    <v>46108</v>
    <v>46108</v>
    <v>0</v>
    <v>1</v>
    <v>639101664000000000,639106637153743607,0</v>
    <v>2</v>
    <v>a1xzr7</v>
    <v>XNYS:MSI</v>
    <v>292</v>
  </rv>
  <rv s="18">
    <v>58</v>
    <v>a1x8w7</v>
    <v>Weekly</v>
    <v>45921</v>
    <v>46109</v>
    <v>0</v>
    <v>1</v>
    <v>639101664000000000,639107140691084063,0</v>
    <v>0</v>
    <v>a1x8w7</v>
    <v>XNYS:MA</v>
    <v>293</v>
  </rv>
  <rv s="18">
    <v>58</v>
    <v>a1xugh</v>
    <v>Daily</v>
    <v>46108</v>
    <v>46108</v>
    <v>0</v>
    <v>1</v>
    <v>639101664000000000,639106637200595240,0</v>
    <v>2</v>
    <v>a1xugh</v>
    <v>XNYS:MOH</v>
    <v>294</v>
  </rv>
  <rv s="18">
    <v>58</v>
    <v>a1xam7</v>
    <v>Weekly</v>
    <v>45921</v>
    <v>46109</v>
    <v>0</v>
    <v>1</v>
    <v>639101664000000000,639107140730416273,0</v>
    <v>0</v>
    <v>a1xam7</v>
    <v>XNYS:MAS</v>
    <v>295</v>
  </rv>
  <rv s="18">
    <v>58</v>
    <v>a1y4oc</v>
    <v>Weekly</v>
    <v>45921</v>
    <v>46109</v>
    <v>0</v>
    <v>1</v>
    <v>639101664000000000,639107140610830896,0</v>
    <v>0</v>
    <v>a1y4oc</v>
    <v>XNAS:MU</v>
    <v>296</v>
  </rv>
  <rv s="18">
    <v>58</v>
    <v>a1w2cw</v>
    <v>Weekly</v>
    <v>45921</v>
    <v>46109</v>
    <v>0</v>
    <v>1</v>
    <v>639101664000000000,639107140679550269,0</v>
    <v>0</v>
    <v>a1w2cw</v>
    <v>XNYS:JCI</v>
    <v>297</v>
  </rv>
  <rv s="18">
    <v>58</v>
    <v>a1n7pr</v>
    <v>Weekly</v>
    <v>45921</v>
    <v>46109</v>
    <v>0</v>
    <v>1</v>
    <v>639101664000000000,639107140648517521,0</v>
    <v>0</v>
    <v>a1n7pr</v>
    <v>XNYS:AJG</v>
    <v>298</v>
  </rv>
  <rv s="18">
    <v>58</v>
    <v>a1r63m</v>
    <v>Weekly</v>
    <v>45921</v>
    <v>46109</v>
    <v>0</v>
    <v>1</v>
    <v>639101664000000000,639107140738397982,0</v>
    <v>0</v>
    <v>a1r63m</v>
    <v>XNAS:DLTR</v>
    <v>299</v>
  </rv>
  <rv s="18">
    <v>58</v>
    <v>a1xfoc</v>
    <v>Daily</v>
    <v>46108</v>
    <v>46108</v>
    <v>0</v>
    <v>1</v>
    <v>639101664000000000,639106637144504552,0</v>
    <v>2</v>
    <v>a1xfoc</v>
    <v>XNAS:MDLZ</v>
    <v>300</v>
  </rv>
  <rv s="18">
    <v>58</v>
    <v>a1xroc</v>
    <v>Daily</v>
    <v>46108</v>
    <v>46108</v>
    <v>0</v>
    <v>1</v>
    <v>639101664000000000,639106637284496589,0</v>
    <v>2</v>
    <v>a1xroc</v>
    <v>XNYS:MMM</v>
    <v>301</v>
  </rv>
  <rv s="18">
    <v>58</v>
    <v>a1ne3m</v>
    <v>Weekly</v>
    <v>45921</v>
    <v>46109</v>
    <v>0</v>
    <v>1</v>
    <v>639101664000000000,639107140608008981,0</v>
    <v>0</v>
    <v>a1ne3m</v>
    <v>XNYS:AME</v>
    <v>302</v>
  </rv>
  <rv s="18">
    <v>58</v>
    <v>a1o8mw</v>
    <v>Weekly</v>
    <v>45921</v>
    <v>46109</v>
    <v>0</v>
    <v>1</v>
    <v>639101664000000000,639107140654909934,0</v>
    <v>0</v>
    <v>a1o8mw</v>
    <v>XNYS:TFC</v>
    <v>303</v>
  </rv>
  <rv s="18">
    <v>58</v>
    <v>a1wjkr</v>
    <v>Daily</v>
    <v>46108</v>
    <v>46108</v>
    <v>0</v>
    <v>1</v>
    <v>639101664000000000,639106637155710991,0</v>
    <v>2</v>
    <v>a1wjkr</v>
    <v>XNAS:KLAC</v>
    <v>304</v>
  </rv>
  <rv s="18">
    <v>58</v>
    <v>a249r7</v>
    <v>Weekly</v>
    <v>45921</v>
    <v>46109</v>
    <v>0</v>
    <v>1</v>
    <v>639101664000000000,639107140639024674,0</v>
    <v>0</v>
    <v>a249r7</v>
    <v>XNYS:TJX</v>
    <v>305</v>
  </rv>
  <rv s="18">
    <v>58</v>
    <v>a23tw7</v>
    <v>Weekly</v>
    <v>45921</v>
    <v>46109</v>
    <v>0</v>
    <v>1</v>
    <v>639101664000000000,639107140741515149,0</v>
    <v>0</v>
    <v>a23tw7</v>
    <v>XNYS:SWK</v>
    <v>306</v>
  </rv>
  <rv s="18">
    <v>58</v>
    <v>a1wh7w</v>
    <v>Weekly</v>
    <v>45921</v>
    <v>46109</v>
    <v>0</v>
    <v>1</v>
    <v>639101664000000000,639107140739097082,0</v>
    <v>0</v>
    <v>a1wh7w</v>
    <v>XNYS:KEYS</v>
    <v>307</v>
  </rv>
  <rv s="18">
    <v>58</v>
    <v>a23a5r</v>
    <v>Weekly</v>
    <v>45921</v>
    <v>46109</v>
    <v>0</v>
    <v>1</v>
    <v>639101664000000000,639107140761818652,0</v>
    <v>0</v>
    <v>a23a5r</v>
    <v>XNYS:SO</v>
    <v>308</v>
  </rv>
  <rv s="18">
    <v>58</v>
    <v>a1skmw</v>
    <v>Weekly</v>
    <v>45921</v>
    <v>46109</v>
    <v>0</v>
    <v>1</v>
    <v>639101664000000000,639107140644386434,0</v>
    <v>0</v>
    <v>a1skmw</v>
    <v>XNAS:FANG</v>
    <v>309</v>
  </rv>
  <rv s="18">
    <v>58</v>
    <v>a1qhz2</v>
    <v>Weekly</v>
    <v>45921</v>
    <v>46109</v>
    <v>0</v>
    <v>1</v>
    <v>639101664000000000,639107140641292791,0</v>
    <v>0</v>
    <v>a1qhz2</v>
    <v>XNAS:CTSH</v>
    <v>310</v>
  </rv>
  <rv s="18">
    <v>58</v>
    <v>a21wsm</v>
    <v>Weekly</v>
    <v>45921</v>
    <v>46109</v>
    <v>0</v>
    <v>1</v>
    <v>639101664000000000,639107140755805807,0</v>
    <v>0</v>
    <v>a21wsm</v>
    <v>XNYS:RF</v>
    <v>311</v>
  </rv>
  <rv s="18">
    <v>58</v>
    <v>a1rgxm</v>
    <v>Weekly</v>
    <v>45921</v>
    <v>46109</v>
    <v>0</v>
    <v>1</v>
    <v>639101664000000000,639107140709757735,0</v>
    <v>0</v>
    <v>a1rgxm</v>
    <v>XNAS:DXCM</v>
    <v>312</v>
  </rv>
  <rv s="18">
    <v>58</v>
    <v>a1rfsm</v>
    <v>Weekly</v>
    <v>45921</v>
    <v>46109</v>
    <v>0</v>
    <v>1</v>
    <v>639101664000000000,639107140645744658,0</v>
    <v>0</v>
    <v>a1rfsm</v>
    <v>XNYS:DD</v>
    <v>313</v>
  </rv>
  <rv s="18">
    <v>58</v>
    <v>a1ock2</v>
    <v>Daily</v>
    <v>46108</v>
    <v>46108</v>
    <v>0</v>
    <v>1</v>
    <v>639101664000000000,639106637232010044,0</v>
    <v>2</v>
    <v>a1ock2</v>
    <v>XNYS:BDX</v>
    <v>314</v>
  </rv>
  <rv s="18">
    <v>58</v>
    <v>a1om4c</v>
    <v>Weekly</v>
    <v>45921</v>
    <v>46109</v>
    <v>0</v>
    <v>1</v>
    <v>639101664000000000,639107140761779548,0</v>
    <v>0</v>
    <v>a1om4c</v>
    <v>XNYS:BLK</v>
    <v>315</v>
  </rv>
  <rv s="18">
    <v>58</v>
    <v>a24zec</v>
    <v>Daily</v>
    <v>46108</v>
    <v>46108</v>
    <v>0</v>
    <v>1</v>
    <v>639101664000000000,639106637240865807,0</v>
    <v>2</v>
    <v>a24zec</v>
    <v>XNYS:URI</v>
    <v>316</v>
  </rv>
  <rv s="18">
    <v>58</v>
    <v>a1wh7w</v>
    <v>Daily</v>
    <v>46108</v>
    <v>46108</v>
    <v>0</v>
    <v>1</v>
    <v>639101664000000000,639106637099691284,0</v>
    <v>2</v>
    <v>a1wh7w</v>
    <v>XNYS:KEYS</v>
    <v>317</v>
  </rv>
  <rv s="18">
    <v>58</v>
    <v>a1o9gh</v>
    <v>Weekly</v>
    <v>45921</v>
    <v>46109</v>
    <v>0</v>
    <v>1</v>
    <v>639101664000000000,639107140713919070,0</v>
    <v>0</v>
    <v>a1o9gh</v>
    <v>XNYS:BBY</v>
    <v>318</v>
  </rv>
  <rv s="18">
    <v>58</v>
    <v>a25rkr</v>
    <v>Daily</v>
    <v>46108</v>
    <v>46108</v>
    <v>0</v>
    <v>1</v>
    <v>639101664000000000,639106637080824230,0</v>
    <v>2</v>
    <v>a25rkr</v>
    <v>XNAS:WDAY</v>
    <v>319</v>
  </rv>
  <rv s="18">
    <v>58</v>
    <v>a1v6nm</v>
    <v>Weekly</v>
    <v>45921</v>
    <v>46109</v>
    <v>0</v>
    <v>1</v>
    <v>639101664000000000,639107140702897793,0</v>
    <v>0</v>
    <v>a1v6nm</v>
    <v>XNYS:IBM</v>
    <v>320</v>
  </rv>
  <rv s="18">
    <v>58</v>
    <v>a1nkm7</v>
    <v>Weekly</v>
    <v>45921</v>
    <v>46109</v>
    <v>0</v>
    <v>1</v>
    <v>639101664000000000,639107140781515566,0</v>
    <v>0</v>
    <v>a1nkm7</v>
    <v>XNYS:AOS</v>
    <v>321</v>
  </rv>
  <rv s="18">
    <v>58</v>
    <v>a1o76h</v>
    <v>Daily</v>
    <v>46108</v>
    <v>46108</v>
    <v>0</v>
    <v>1</v>
    <v>639101664000000000,639106637200488682,0</v>
    <v>2</v>
    <v>a1o76h</v>
    <v>XNYS:BAX</v>
    <v>322</v>
  </rv>
  <rv s="18">
    <v>58</v>
    <v>a1xvzr</v>
    <v>Weekly</v>
    <v>45921</v>
    <v>46109</v>
    <v>0</v>
    <v>1</v>
    <v>639101664000000000,639107140693607037,0</v>
    <v>0</v>
    <v>a1xvzr</v>
    <v>XNYS:MPC</v>
    <v>323</v>
  </rv>
  <rv s="18">
    <v>58</v>
    <v>a23xz2</v>
    <v>Daily</v>
    <v>46108</v>
    <v>46108</v>
    <v>0</v>
    <v>1</v>
    <v>639101664000000000,639106637153663241,0</v>
    <v>2</v>
    <v>a23xz2</v>
    <v>XNYS:TAP</v>
    <v>324</v>
  </rv>
  <rv s="18">
    <v>58</v>
    <v>a25k5r</v>
    <v>Weekly</v>
    <v>45921</v>
    <v>46109</v>
    <v>0</v>
    <v>1</v>
    <v>639101664000000000,639107140663191093,0</v>
    <v>0</v>
    <v>a25k5r</v>
    <v>XNAS:VRTX</v>
    <v>325</v>
  </rv>
  <rv s="18">
    <v>58</v>
    <v>a1zhcw</v>
    <v>Weekly</v>
    <v>45921</v>
    <v>46109</v>
    <v>0</v>
    <v>1</v>
    <v>639101664000000000,639107140757926531,0</v>
    <v>0</v>
    <v>a1zhcw</v>
    <v>XNAS:PAYX</v>
    <v>326</v>
  </rv>
  <rv s="18">
    <v>58</v>
    <v>a1slm7</v>
    <v>Daily</v>
    <v>46108</v>
    <v>46108</v>
    <v>0</v>
    <v>1</v>
    <v>639101664000000000,639106637100075173,0</v>
    <v>2</v>
    <v>a1slm7</v>
    <v>XNAS:META</v>
    <v>327</v>
  </rv>
  <rv s="18">
    <v>58</v>
    <v>a25552</v>
    <v>Daily</v>
    <v>46108</v>
    <v>46108</v>
    <v>0</v>
    <v>1</v>
    <v>639101664000000000,639106637076398422,0</v>
    <v>2</v>
    <v>a25552</v>
    <v>XNYS:RTX</v>
    <v>328</v>
  </rv>
  <rv s="18">
    <v>58</v>
    <v>a1o76h</v>
    <v>Weekly</v>
    <v>45921</v>
    <v>46109</v>
    <v>0</v>
    <v>1</v>
    <v>639101664000000000,639107140775887821,0</v>
    <v>0</v>
    <v>a1o76h</v>
    <v>XNYS:BAX</v>
    <v>329</v>
  </rv>
  <rv s="18">
    <v>58</v>
    <v>a1ndww</v>
    <v>Weekly</v>
    <v>45921</v>
    <v>46109</v>
    <v>0</v>
    <v>1</v>
    <v>639101664000000000,639107140742434478,0</v>
    <v>0</v>
    <v>a1ndww</v>
    <v>XNAS:AMD</v>
    <v>330</v>
  </rv>
  <rv s="18">
    <v>58</v>
    <v>a1vo7w</v>
    <v>Weekly</v>
    <v>45921</v>
    <v>46109</v>
    <v>0</v>
    <v>1</v>
    <v>639101664000000000,639107140698964659,0</v>
    <v>0</v>
    <v>a1vo7w</v>
    <v>XNYS:IP</v>
    <v>331</v>
  </rv>
  <rv s="18">
    <v>58</v>
    <v>a1np4c</v>
    <v>Daily</v>
    <v>46108</v>
    <v>46108</v>
    <v>0</v>
    <v>1</v>
    <v>639101664000000000,639106637123071421,0</v>
    <v>2</v>
    <v>a1np4c</v>
    <v>XNYS:ARE</v>
    <v>332</v>
  </rv>
  <rv s="18">
    <v>58</v>
    <v>a1pcf2</v>
    <v>Daily</v>
    <v>46108</v>
    <v>46108</v>
    <v>0</v>
    <v>1</v>
    <v>639101664000000000,639106637213722347,0</v>
    <v>2</v>
    <v>a1pcf2</v>
    <v>XNYS:CCI</v>
    <v>333</v>
  </rv>
  <rv s="18">
    <v>58</v>
    <v>a1qga2</v>
    <v>Weekly</v>
    <v>45921</v>
    <v>46109</v>
    <v>0</v>
    <v>1</v>
    <v>639101664000000000,639107140641471491,0</v>
    <v>0</v>
    <v>a1qga2</v>
    <v>XNAS:CSX</v>
    <v>334</v>
  </rv>
  <rv s="18">
    <v>58</v>
    <v>a1wjz2</v>
    <v>Daily</v>
    <v>46108</v>
    <v>46108</v>
    <v>0</v>
    <v>1</v>
    <v>639101664000000000,639106637242377119,0</v>
    <v>2</v>
    <v>a1wjz2</v>
    <v>XNAS:KMB</v>
    <v>335</v>
  </rv>
  <rv s="18">
    <v>58</v>
    <v>a1y7rw</v>
    <v>Daily</v>
    <v>46108</v>
    <v>46108</v>
    <v>0</v>
    <v>1</v>
    <v>639101664000000000,639106637155119172,0</v>
    <v>2</v>
    <v>a1y7rw</v>
    <v>XNAS:VTRS</v>
    <v>336</v>
  </rv>
  <rv s="18">
    <v>58</v>
    <v>a1wh27</v>
    <v>Daily</v>
    <v>46108</v>
    <v>46108</v>
    <v>0</v>
    <v>1</v>
    <v>639101664000000000,639106637098192676,0</v>
    <v>2</v>
    <v>a1wh27</v>
    <v>XNYS:KEY</v>
    <v>337</v>
  </rv>
  <rv s="18">
    <v>58</v>
    <v>a1q3jc</v>
    <v>Weekly</v>
    <v>45921</v>
    <v>46109</v>
    <v>0</v>
    <v>1</v>
    <v>639101664000000000,639107140722770238,0</v>
    <v>0</v>
    <v>a1q3jc</v>
    <v>XNYS:COF</v>
    <v>338</v>
  </rv>
  <rv s="18">
    <v>58</v>
    <v>a1r1r7</v>
    <v>Weekly</v>
    <v>45921</v>
    <v>46109</v>
    <v>0</v>
    <v>1</v>
    <v>639101664000000000,639107140631784557,0</v>
    <v>0</v>
    <v>a1r1r7</v>
    <v>XNYS:DHR</v>
    <v>339</v>
  </rv>
  <rv s="18">
    <v>58</v>
    <v>a1tr1h</v>
    <v>Weekly</v>
    <v>45921</v>
    <v>46109</v>
    <v>0</v>
    <v>1</v>
    <v>639101664000000000,639107140653085801,0</v>
    <v>0</v>
    <v>a1tr1h</v>
    <v>XNYS:GE</v>
    <v>340</v>
  </rv>
  <rv s="18">
    <v>58</v>
    <v>axxc6h</v>
    <v>Weekly</v>
    <v>45921</v>
    <v>46109</v>
    <v>0</v>
    <v>1</v>
    <v>639101664000000000,639107140758286736,0</v>
    <v>0</v>
    <v>axxc6h</v>
    <v>XNAS:PFG</v>
    <v>341</v>
  </rv>
  <rv s="18">
    <v>58</v>
    <v>a1p8tc</v>
    <v>Weekly</v>
    <v>45921</v>
    <v>46109</v>
    <v>0</v>
    <v>1</v>
    <v>639101664000000000,639107140684326368,0</v>
    <v>0</v>
    <v>a1p8tc</v>
    <v>XNYS:CB</v>
    <v>342</v>
  </rv>
  <rv s="18">
    <v>58</v>
    <v>a1nkgh</v>
    <v>Weekly</v>
    <v>45921</v>
    <v>46109</v>
    <v>0</v>
    <v>1</v>
    <v>639101664000000000,639107140725182024,0</v>
    <v>0</v>
    <v>a1nkgh</v>
    <v>XNYS:AON</v>
    <v>343</v>
  </rv>
  <rv s="18">
    <v>58</v>
    <v>a1qyvh</v>
    <v>Weekly</v>
    <v>45921</v>
    <v>46109</v>
    <v>0</v>
    <v>1</v>
    <v>639101664000000000,639107140699295031,0</v>
    <v>0</v>
    <v>a1qyvh</v>
    <v>XNYS:DG</v>
    <v>344</v>
  </rv>
  <rv s="18">
    <v>58</v>
    <v>a1v6hw</v>
    <v>Weekly</v>
    <v>45921</v>
    <v>46109</v>
    <v>0</v>
    <v>1</v>
    <v>639101664000000000,639107140779422615,0</v>
    <v>0</v>
    <v>a1v6hw</v>
    <v>XNAS:IBKR</v>
    <v>345</v>
  </rv>
  <rv s="18">
    <v>58</v>
    <v>a22227</v>
    <v>Weekly</v>
    <v>45921</v>
    <v>46109</v>
    <v>0</v>
    <v>1</v>
    <v>639101664000000000,639107140742105003,0</v>
    <v>0</v>
    <v>a22227</v>
    <v>XNYS:RJF</v>
    <v>346</v>
  </rv>
  <rv s="18">
    <v>58</v>
    <v>a1zk27</v>
    <v>Daily</v>
    <v>46108</v>
    <v>46108</v>
    <v>0</v>
    <v>1</v>
    <v>639101664000000000,639106637256800997,0</v>
    <v>2</v>
    <v>a1zk27</v>
    <v>XNAS:PCAR</v>
    <v>347</v>
  </rv>
  <rv s="18">
    <v>58</v>
    <v>a23www</v>
    <v>Daily</v>
    <v>46108</v>
    <v>46108</v>
    <v>0</v>
    <v>1</v>
    <v>639101664000000000,639106637245284039,0</v>
    <v>2</v>
    <v>a23www</v>
    <v>XNYS:T</v>
    <v>348</v>
  </rv>
  <rv s="18">
    <v>58</v>
    <v>a1w6zr</v>
    <v>Weekly</v>
    <v>45921</v>
    <v>46109</v>
    <v>0</v>
    <v>1</v>
    <v>639101664000000000,639107140610935784,0</v>
    <v>0</v>
    <v>a1w6zr</v>
    <v>XNAS:JKHY</v>
    <v>349</v>
  </rv>
  <rv s="18">
    <v>58</v>
    <v>a1zez2</v>
    <v>Weekly</v>
    <v>45921</v>
    <v>46109</v>
    <v>0</v>
    <v>1</v>
    <v>639101664000000000,639107140777882024,0</v>
    <v>0</v>
    <v>a1zez2</v>
    <v>XNYS:OXY</v>
    <v>350</v>
  </rv>
  <rv s="18">
    <v>58</v>
    <v>a1o4sm</v>
    <v>Weekly</v>
    <v>45921</v>
    <v>46109</v>
    <v>0</v>
    <v>1</v>
    <v>639101664000000000,639107140732992098,0</v>
    <v>0</v>
    <v>a1o4sm</v>
    <v>XNYS:BAC</v>
    <v>351</v>
  </rv>
  <rv s="18">
    <v>58</v>
    <v>a1shjc</v>
    <v>Weekly</v>
    <v>45921</v>
    <v>46109</v>
    <v>0</v>
    <v>1</v>
    <v>639101664000000000,639107140601872352,0</v>
    <v>0</v>
    <v>a1shjc</v>
    <v>XNAS:EXC</v>
    <v>352</v>
  </rv>
  <rv s="18">
    <v>58</v>
    <v>a24i3m</v>
    <v>Weekly</v>
    <v>45921</v>
    <v>46109</v>
    <v>0</v>
    <v>1</v>
    <v>639101664000000000,639107140703307546,0</v>
    <v>0</v>
    <v>a24i3m</v>
    <v>XNAS:TROW</v>
    <v>353</v>
  </rv>
  <rv s="18">
    <v>58</v>
    <v>a1w1rw</v>
    <v>Weekly</v>
    <v>45921</v>
    <v>46109</v>
    <v>0</v>
    <v>1</v>
    <v>639101664000000000,639107140713999655,0</v>
    <v>0</v>
    <v>a1w1rw</v>
    <v>XNAS:JBHT</v>
    <v>354</v>
  </rv>
  <rv s="18">
    <v>58</v>
    <v>a2627w</v>
    <v>Weekly</v>
    <v>45921</v>
    <v>46109</v>
    <v>0</v>
    <v>1</v>
    <v>639101664000000000,639107140637515291,0</v>
    <v>0</v>
    <v>a2627w</v>
    <v>XNYS:WSM</v>
    <v>355</v>
  </rv>
  <rv s="18">
    <v>58</v>
    <v>a1n6f2</v>
    <v>Daily</v>
    <v>46108</v>
    <v>46108</v>
    <v>0</v>
    <v>1</v>
    <v>639101664000000000,639106637202459698,0</v>
    <v>2</v>
    <v>a1n6f2</v>
    <v>XNYS:AIG</v>
    <v>356</v>
  </rv>
  <rv s="18">
    <v>58</v>
    <v>a1nwgh</v>
    <v>Weekly</v>
    <v>45921</v>
    <v>46109</v>
    <v>0</v>
    <v>1</v>
    <v>639101664000000000,639107140623771265,0</v>
    <v>0</v>
    <v>a1nwgh</v>
    <v>XNYS:ATO</v>
    <v>357</v>
  </rv>
  <rv s="18">
    <v>58</v>
    <v>a1xz1h</v>
    <v>Weekly</v>
    <v>45921</v>
    <v>46109</v>
    <v>0</v>
    <v>1</v>
    <v>639101664000000000,639107140726428821,0</v>
    <v>0</v>
    <v>a1xz1h</v>
    <v>XNYS:MSCI</v>
    <v>358</v>
  </rv>
  <rv s="18">
    <v>58</v>
    <v>a22i27</v>
    <v>Daily</v>
    <v>46108</v>
    <v>46108</v>
    <v>0</v>
    <v>1</v>
    <v>639101664000000000,639106637216869171,0</v>
    <v>2</v>
    <v>a22i27</v>
    <v>XNAS:SBAC</v>
    <v>359</v>
  </rv>
  <rv s="18">
    <v>58</v>
    <v>a1p58m</v>
    <v>Weekly</v>
    <v>45921</v>
    <v>46109</v>
    <v>0</v>
    <v>1</v>
    <v>639101664000000000,639107140669275519,0</v>
    <v>0</v>
    <v>a1p58m</v>
    <v>XNYS:CAH</v>
    <v>360</v>
  </rv>
  <rv s="18">
    <v>58</v>
    <v>a1w2cw</v>
    <v>Daily</v>
    <v>46108</v>
    <v>46108</v>
    <v>0</v>
    <v>1</v>
    <v>639101664000000000,639106637120061899,0</v>
    <v>2</v>
    <v>a1w2cw</v>
    <v>XNYS:JCI</v>
    <v>361</v>
  </rv>
  <rv s="18">
    <v>58</v>
    <v>a1naqh</v>
    <v>Weekly</v>
    <v>45921</v>
    <v>46109</v>
    <v>0</v>
    <v>1</v>
    <v>639101664000000000,639107140687031858,0</v>
    <v>0</v>
    <v>a1naqh</v>
    <v>XNYS:ALLE</v>
    <v>362</v>
  </rv>
  <rv s="18">
    <v>58</v>
    <v>a23jjc</v>
    <v>Daily</v>
    <v>46108</v>
    <v>46108</v>
    <v>0</v>
    <v>1</v>
    <v>639101664000000000,639106637082561789,0</v>
    <v>2</v>
    <v>a23jjc</v>
    <v>XNYS:SRE</v>
    <v>363</v>
  </rv>
  <rv s="18">
    <v>58</v>
    <v>a1rk52</v>
    <v>Weekly</v>
    <v>45921</v>
    <v>46109</v>
    <v>0</v>
    <v>1</v>
    <v>639101664000000000,639107140703545533,0</v>
    <v>0</v>
    <v>a1rk52</v>
    <v>XNAS:EBAY</v>
    <v>364</v>
  </rv>
  <rv s="18">
    <v>58</v>
    <v>a1mnrw</v>
    <v>Weekly</v>
    <v>45921</v>
    <v>46109</v>
    <v>0</v>
    <v>1</v>
    <v>639101664000000000,639107140629051485,0</v>
    <v>0</v>
    <v>a1mnrw</v>
    <v>XNYS:A</v>
    <v>365</v>
  </rv>
  <rv s="18">
    <v>58</v>
    <v>a1q1tc</v>
    <v>Weekly</v>
    <v>45921</v>
    <v>46109</v>
    <v>0</v>
    <v>1</v>
    <v>639101664000000000,639107140770085839,0</v>
    <v>0</v>
    <v>a1q1tc</v>
    <v>XNYS:CNP</v>
    <v>366</v>
  </rv>
  <rv s="18">
    <v>58</v>
    <v>a218mw</v>
    <v>Weekly</v>
    <v>45921</v>
    <v>46109</v>
    <v>0</v>
    <v>1</v>
    <v>639101664000000000,639107140632391780,0</v>
    <v>0</v>
    <v>a218mw</v>
    <v>XNYS:PSA</v>
    <v>367</v>
  </rv>
  <rv s="18">
    <v>58</v>
    <v>a1uv7w</v>
    <v>Daily</v>
    <v>46108</v>
    <v>46108</v>
    <v>0</v>
    <v>1</v>
    <v>639101664000000000,639106637102605852,0</v>
    <v>2</v>
    <v>a1uv7w</v>
    <v>XNYS:HRL</v>
    <v>368</v>
  </rv>
  <rv s="18">
    <v>58</v>
    <v>bp8fww</v>
    <v>Weekly</v>
    <v>45921</v>
    <v>46109</v>
    <v>0</v>
    <v>1</v>
    <v>639101664000000000,639107140675180020,0</v>
    <v>0</v>
    <v>bp8fww</v>
    <v>XNAS:FOXA</v>
    <v>369</v>
  </rv>
  <rv s="18">
    <v>60</v>
    <v>c4655r</v>
    <v>Daily</v>
    <v>46108</v>
    <v>46108</v>
    <v>0</v>
    <v>1</v>
    <v>639101664000000000,639106637261678434,0</v>
    <v>2</v>
    <v>c4655r</v>
    <v>XASX:IPG</v>
    <v>370</v>
  </rv>
  <rv s="18">
    <v>58</v>
    <v>a1s9dm</v>
    <v>Weekly</v>
    <v>45921</v>
    <v>46109</v>
    <v>0</v>
    <v>1</v>
    <v>639101664000000000,639107140761331979,0</v>
    <v>0</v>
    <v>a1s9dm</v>
    <v>XNYS:ESS</v>
    <v>371</v>
  </rv>
  <rv s="18">
    <v>58</v>
    <v>a1pyar</v>
    <v>Daily</v>
    <v>46108</v>
    <v>46108</v>
    <v>0</v>
    <v>1</v>
    <v>639101664000000000,639106637153377380,0</v>
    <v>2</v>
    <v>a1pyar</v>
    <v>XNYS:CMS</v>
    <v>372</v>
  </rv>
  <rv s="18">
    <v>58</v>
    <v>a1yeec</v>
    <v>Weekly</v>
    <v>45921</v>
    <v>46109</v>
    <v>0</v>
    <v>1</v>
    <v>639101664000000000,639107140687494505,0</v>
    <v>0</v>
    <v>a1yeec</v>
    <v>XNYS:NEM</v>
    <v>373</v>
  </rv>
  <rv s="18">
    <v>58</v>
    <v>a1xr1h</v>
    <v>Weekly</v>
    <v>45921</v>
    <v>46109</v>
    <v>0</v>
    <v>1</v>
    <v>639101664000000000,639107140754596881,0</v>
    <v>0</v>
    <v>a1xr1h</v>
    <v>XNYS:MRSH</v>
    <v>374</v>
  </rv>
  <rv s="18">
    <v>58</v>
    <v>a1odgh</v>
    <v>Daily</v>
    <v>46108</v>
    <v>46108</v>
    <v>0</v>
    <v>1</v>
    <v>639101664000000000,639106637097795368,0</v>
    <v>2</v>
    <v>a1odgh</v>
    <v>XNYS:BEN</v>
    <v>375</v>
  </rv>
  <rv s="18">
    <v>58</v>
    <v>a1vmf2</v>
    <v>Daily</v>
    <v>46108</v>
    <v>46108</v>
    <v>0</v>
    <v>1</v>
    <v>639101664000000000,639106637284153944,0</v>
    <v>2</v>
    <v>a1vmf2</v>
    <v>XNAS:INTC</v>
    <v>376</v>
  </rv>
  <rv s="18">
    <v>58</v>
    <v>a1xzr7</v>
    <v>Weekly</v>
    <v>45921</v>
    <v>46109</v>
    <v>0</v>
    <v>1</v>
    <v>639101664000000000,639107140673267676,0</v>
    <v>0</v>
    <v>a1xzr7</v>
    <v>XNYS:MSI</v>
    <v>377</v>
  </rv>
  <rv s="18">
    <v>58</v>
    <v>a24fh7</v>
    <v>Daily</v>
    <v>46108</v>
    <v>46108</v>
    <v>0</v>
    <v>1</v>
    <v>639101664000000000,639106637121559066,0</v>
    <v>2</v>
    <v>a24fh7</v>
    <v>XNYS:TPL</v>
    <v>378</v>
  </rv>
  <rv s="18">
    <v>58</v>
    <v>a1qe5r</v>
    <v>Weekly</v>
    <v>45921</v>
    <v>46109</v>
    <v>0</v>
    <v>1</v>
    <v>639101664000000000,639107140606326072,0</v>
    <v>0</v>
    <v>a1qe5r</v>
    <v>XNAS:CSCO</v>
    <v>379</v>
  </rv>
  <rv s="18">
    <v>58</v>
    <v>a1q5nm</v>
    <v>Daily</v>
    <v>46108</v>
    <v>46108</v>
    <v>0</v>
    <v>1</v>
    <v>639101664000000000,639106637245039069,0</v>
    <v>2</v>
    <v>a1q5nm</v>
    <v>XNYS:COP</v>
    <v>380</v>
  </rv>
  <rv s="18">
    <v>58</v>
    <v>a23r27</v>
    <v>Daily</v>
    <v>46108</v>
    <v>46108</v>
    <v>0</v>
    <v>1</v>
    <v>639101664000000000,639106637279843078,0</v>
    <v>2</v>
    <v>a23r27</v>
    <v>XNYS:STT</v>
    <v>381</v>
  </rv>
  <rv s="18">
    <v>58</v>
    <v>a1yy2w</v>
    <v>Daily</v>
    <v>46108</v>
    <v>46108</v>
    <v>0</v>
    <v>1</v>
    <v>639101664000000000,639106637119927543,0</v>
    <v>2</v>
    <v>a1yy2w</v>
    <v>XNAS:NXPI</v>
    <v>382</v>
  </rv>
  <rv s="18">
    <v>58</v>
    <v>a25xm7</v>
    <v>Daily</v>
    <v>46108</v>
    <v>46108</v>
    <v>0</v>
    <v>1</v>
    <v>639101664000000000,639106637084050043,0</v>
    <v>2</v>
    <v>a25xm7</v>
    <v>XNYS:WMB</v>
    <v>383</v>
  </rv>
  <rv s="18">
    <v>58</v>
    <v>brjvjc</v>
    <v>Daily</v>
    <v>46108</v>
    <v>46108</v>
    <v>0</v>
    <v>1</v>
    <v>639101664000000000,639106637166572865,0</v>
    <v>2</v>
    <v>brjvjc</v>
    <v>XNAS:DDOG</v>
    <v>384</v>
  </rv>
  <rv s="18">
    <v>58</v>
    <v>a24km7</v>
    <v>Daily</v>
    <v>46108</v>
    <v>46108</v>
    <v>0</v>
    <v>1</v>
    <v>639101664000000000,639106637267746612,0</v>
    <v>2</v>
    <v>a24km7</v>
    <v>XNYS:TSN</v>
    <v>385</v>
  </rv>
  <rv s="18">
    <v>58</v>
    <v>a25e77</v>
    <v>Weekly</v>
    <v>45921</v>
    <v>46109</v>
    <v>0</v>
    <v>1</v>
    <v>639101664000000000,639107140644293793,0</v>
    <v>0</v>
    <v>a25e77</v>
    <v>XNYS:VLO</v>
    <v>386</v>
  </rv>
  <rv s="18">
    <v>58</v>
    <v>a1uvar</v>
    <v>Daily</v>
    <v>46108</v>
    <v>46108</v>
    <v>0</v>
    <v>1</v>
    <v>639101664000000000,639106637118478004,0</v>
    <v>2</v>
    <v>a1uvar</v>
    <v>XNYS:LHX</v>
    <v>387</v>
  </rv>
  <rv s="18">
    <v>58</v>
    <v>a1mthw</v>
    <v>Daily</v>
    <v>46108</v>
    <v>46108</v>
    <v>0</v>
    <v>1</v>
    <v>639101664000000000,639106637129011324,0</v>
    <v>2</v>
    <v>a1mthw</v>
    <v>XNYS:ACN</v>
    <v>388</v>
  </rv>
  <rv s="18">
    <v>58</v>
    <v>a1pshw</v>
    <v>Daily</v>
    <v>46108</v>
    <v>46108</v>
    <v>0</v>
    <v>1</v>
    <v>639101664000000000,639106637107412041,0</v>
    <v>2</v>
    <v>a1pshw</v>
    <v>XNYS:CL</v>
    <v>389</v>
  </rv>
  <rv s="18">
    <v>58</v>
    <v>a1ye2w</v>
    <v>Daily</v>
    <v>46108</v>
    <v>46108</v>
    <v>0</v>
    <v>1</v>
    <v>639101664000000000,639106637237852668,0</v>
    <v>2</v>
    <v>a1ye2w</v>
    <v>XNYS:NEE</v>
    <v>390</v>
  </rv>
  <rv s="18">
    <v>58</v>
    <v>bqejrw</v>
    <v>Daily</v>
    <v>46108</v>
    <v>46108</v>
    <v>0</v>
    <v>1</v>
    <v>639101664000000000,639106637272190049,0</v>
    <v>2</v>
    <v>bqejrw</v>
    <v>XNYS:AMCR</v>
    <v>391</v>
  </rv>
  <rv s="18">
    <v>58</v>
    <v>a1zgm7</v>
    <v>Weekly</v>
    <v>45921</v>
    <v>46109</v>
    <v>0</v>
    <v>1</v>
    <v>639101664000000000,639107140704336196,0</v>
    <v>0</v>
    <v>a1zgm7</v>
    <v>XNAS:PANW</v>
    <v>392</v>
  </rv>
  <rv s="18">
    <v>58</v>
    <v>a2139c</v>
    <v>Weekly</v>
    <v>45921</v>
    <v>46109</v>
    <v>0</v>
    <v>1</v>
    <v>639101664000000000,639107140633996196,0</v>
    <v>0</v>
    <v>a2139c</v>
    <v>XNYS:PNW</v>
    <v>393</v>
  </rv>
  <rv s="18">
    <v>58</v>
    <v>a1u4fr</v>
    <v>Weekly</v>
    <v>45921</v>
    <v>46109</v>
    <v>0</v>
    <v>1</v>
    <v>639101664000000000,639107140682895921,0</v>
    <v>0</v>
    <v>a1u4fr</v>
    <v>XNYS:GPC</v>
    <v>394</v>
  </rv>
  <rv s="18">
    <v>58</v>
    <v>a1q7jc</v>
    <v>Weekly</v>
    <v>45921</v>
    <v>46109</v>
    <v>0</v>
    <v>1</v>
    <v>639101664000000000,639107140670003168,0</v>
    <v>0</v>
    <v>a1q7jc</v>
    <v>XNAS:CPB</v>
    <v>395</v>
  </rv>
  <rv s="18">
    <v>58</v>
    <v>a1pxbh</v>
    <v>Weekly</v>
    <v>45921</v>
    <v>46109</v>
    <v>0</v>
    <v>1</v>
    <v>639101664000000000,639107140765001268,0</v>
    <v>0</v>
    <v>a1pxbh</v>
    <v>XNYS:CMG</v>
    <v>396</v>
  </rv>
  <rv s="18">
    <v>58</v>
    <v>a1sp52</v>
    <v>Weekly</v>
    <v>45921</v>
    <v>46109</v>
    <v>0</v>
    <v>1</v>
    <v>639101664000000000,639107140625029046,0</v>
    <v>0</v>
    <v>a1sp52</v>
    <v>XNYS:FCX</v>
    <v>397</v>
  </rv>
  <rv s="18">
    <v>58</v>
    <v>a1nwgh</v>
    <v>Daily</v>
    <v>46108</v>
    <v>46108</v>
    <v>0</v>
    <v>1</v>
    <v>639101664000000000,639106637203175203,0</v>
    <v>2</v>
    <v>a1nwgh</v>
    <v>XNYS:ATO</v>
    <v>398</v>
  </rv>
  <rv s="18">
    <v>58</v>
    <v>a23r27</v>
    <v>Weekly</v>
    <v>45921</v>
    <v>46109</v>
    <v>0</v>
    <v>1</v>
    <v>639101664000000000,639107140768591039,0</v>
    <v>0</v>
    <v>a23r27</v>
    <v>XNYS:STT</v>
    <v>399</v>
  </rv>
  <rv s="18">
    <v>58</v>
    <v>a1uwu2</v>
    <v>Weekly</v>
    <v>45921</v>
    <v>46109</v>
    <v>0</v>
    <v>1</v>
    <v>639101664000000000,639107140707332389,0</v>
    <v>0</v>
    <v>a1uwu2</v>
    <v>XNYS:HSY</v>
    <v>400</v>
  </rv>
  <rv s="18">
    <v>58</v>
    <v>a1t377</v>
    <v>Weekly</v>
    <v>45921</v>
    <v>46109</v>
    <v>0</v>
    <v>1</v>
    <v>639101664000000000,639107140603219571,0</v>
    <v>0</v>
    <v>a1t377</v>
    <v>XNYS:CPAY</v>
    <v>401</v>
  </rv>
  <rv s="18">
    <v>58</v>
    <v>a1wyu2</v>
    <v>Weekly</v>
    <v>45921</v>
    <v>46109</v>
    <v>0</v>
    <v>1</v>
    <v>639101664000000000,639107140696246170,0</v>
    <v>0</v>
    <v>a1wyu2</v>
    <v>XNYS:LLY</v>
    <v>402</v>
  </rv>
  <rv s="18">
    <v>58</v>
    <v>a1xdvh</v>
    <v>Daily</v>
    <v>46108</v>
    <v>46108</v>
    <v>0</v>
    <v>1</v>
    <v>639101664000000000,639106637241569159,0</v>
    <v>2</v>
    <v>a1xdvh</v>
    <v>XNAS:MCHP</v>
    <v>403</v>
  </rv>
  <rv s="18">
    <v>58</v>
    <v>a1ug1h</v>
    <v>Daily</v>
    <v>46108</v>
    <v>46108</v>
    <v>0</v>
    <v>1</v>
    <v>639101664000000000,639106637121632221,0</v>
    <v>2</v>
    <v>a1ug1h</v>
    <v>XNAS:HAS</v>
    <v>404</v>
  </rv>
  <rv s="18">
    <v>58</v>
    <v>a1ou77</v>
    <v>Daily</v>
    <v>46108</v>
    <v>46108</v>
    <v>0</v>
    <v>1</v>
    <v>639101664000000000,639106637087075431,0</v>
    <v>2</v>
    <v>a1ou77</v>
    <v>XNYS:BRO</v>
    <v>405</v>
  </rv>
  <rv s="18">
    <v>58</v>
    <v>a1pwqh</v>
    <v>Weekly</v>
    <v>45921</v>
    <v>46109</v>
    <v>0</v>
    <v>1</v>
    <v>639101664000000000,639107140691815734,0</v>
    <v>0</v>
    <v>a1pwqh</v>
    <v>XNAS:CMCSA</v>
    <v>406</v>
  </rv>
  <rv s="18">
    <v>58</v>
    <v>a214vh</v>
    <v>Daily</v>
    <v>46108</v>
    <v>46108</v>
    <v>0</v>
    <v>1</v>
    <v>639101664000000000,639106637219242805,0</v>
    <v>2</v>
    <v>a214vh</v>
    <v>XNYS:PPL</v>
    <v>407</v>
  </rv>
  <rv s="18">
    <v>58</v>
    <v>a1q44c</v>
    <v>Daily</v>
    <v>46108</v>
    <v>46108</v>
    <v>0</v>
    <v>1</v>
    <v>639101664000000000,639106637283679396,0</v>
    <v>2</v>
    <v>a1q44c</v>
    <v>XNYS:CTRA</v>
    <v>408</v>
  </rv>
  <rv s="18">
    <v>58</v>
    <v>a1zxa2</v>
    <v>Daily</v>
    <v>46108</v>
    <v>46108</v>
    <v>0</v>
    <v>1</v>
    <v>639101664000000000,639106637077920872,0</v>
    <v>2</v>
    <v>a1zxa2</v>
    <v>XNYS:PKG</v>
    <v>409</v>
  </rv>
  <rv s="18">
    <v>58</v>
    <v>bnmq52</v>
    <v>Weekly</v>
    <v>45921</v>
    <v>46109</v>
    <v>0</v>
    <v>1</v>
    <v>639101664000000000,639107140661026069,0</v>
    <v>0</v>
    <v>bnmq52</v>
    <v>XNAS:LIN</v>
    <v>410</v>
  </rv>
  <rv s="18">
    <v>58</v>
    <v>a1zxa2</v>
    <v>Weekly</v>
    <v>45921</v>
    <v>46109</v>
    <v>0</v>
    <v>1</v>
    <v>639101664000000000,639107140688035000,0</v>
    <v>0</v>
    <v>a1zxa2</v>
    <v>XNYS:PKG</v>
    <v>411</v>
  </rv>
  <rv s="18">
    <v>58</v>
    <v>a1nanm</v>
    <v>Weekly</v>
    <v>45921</v>
    <v>46109</v>
    <v>0</v>
    <v>1</v>
    <v>639101664000000000,639107140697013225,0</v>
    <v>0</v>
    <v>a1nanm</v>
    <v>XNYS:ALL</v>
    <v>412</v>
  </rv>
  <rv s="18">
    <v>58</v>
    <v>a1tg3m</v>
    <v>Daily</v>
    <v>46108</v>
    <v>46108</v>
    <v>0</v>
    <v>1</v>
    <v>639101664000000000,639106637267027951,0</v>
    <v>2</v>
    <v>a1tg3m</v>
    <v>XNAS:FTNT</v>
    <v>413</v>
  </rv>
  <rv s="18">
    <v>58</v>
    <v>a1retc</v>
    <v>Daily</v>
    <v>46108</v>
    <v>46108</v>
    <v>0</v>
    <v>1</v>
    <v>639101664000000000,639106637177312215,0</v>
    <v>2</v>
    <v>a1retc</v>
    <v>XNYS:DELL</v>
    <v>414</v>
  </rv>
  <rv s="18">
    <v>58</v>
    <v>bu3ew7</v>
    <v>Daily</v>
    <v>46108</v>
    <v>46108</v>
    <v>0</v>
    <v>1</v>
    <v>639101664000000000,639106637222177940,0</v>
    <v>2</v>
    <v>bu3ew7</v>
    <v>XNYS:CARR</v>
    <v>415</v>
  </rv>
  <rv s="18">
    <v>58</v>
    <v>a1z6nm</v>
    <v>Weekly</v>
    <v>45921</v>
    <v>46109</v>
    <v>0</v>
    <v>1</v>
    <v>639101664000000000,639107140767600161,0</v>
    <v>0</v>
    <v>a1z6nm</v>
    <v>XNYS:OKE</v>
    <v>416</v>
  </rv>
  <rv s="18">
    <v>58</v>
    <v>a244ur</v>
    <v>Daily</v>
    <v>46108</v>
    <v>46108</v>
    <v>0</v>
    <v>1</v>
    <v>639101664000000000,639106637281118382,0</v>
    <v>2</v>
    <v>a244ur</v>
    <v>XNAS:TER</v>
    <v>417</v>
  </rv>
  <rv s="18">
    <v>58</v>
    <v>a1odxm</v>
    <v>Weekly</v>
    <v>45921</v>
    <v>46109</v>
    <v>0</v>
    <v>1</v>
    <v>639101664000000000,639107140695722887,0</v>
    <v>0</v>
    <v>a1odxm</v>
    <v>XNYS:BF.B</v>
    <v>418</v>
  </rv>
  <rv s="18">
    <v>58</v>
    <v>a23ocw</v>
    <v>Daily</v>
    <v>46108</v>
    <v>46108</v>
    <v>0</v>
    <v>1</v>
    <v>639101664000000000,639106637234204928,0</v>
    <v>2</v>
    <v>a23ocw</v>
    <v>XNYS:STE</v>
    <v>419</v>
  </rv>
  <rv s="18">
    <v>58</v>
    <v>a1ut3m</v>
    <v>Weekly</v>
    <v>45921</v>
    <v>46109</v>
    <v>0</v>
    <v>1</v>
    <v>639101664000000000,639107140637754256,0</v>
    <v>0</v>
    <v>a1ut3m</v>
    <v>XNAS:HON</v>
    <v>420</v>
  </rv>
  <rv s="18">
    <v>58</v>
    <v>a1r1lh</v>
    <v>Daily</v>
    <v>46108</v>
    <v>46108</v>
    <v>0</v>
    <v>1</v>
    <v>639101664000000000,639106637210580791,0</v>
    <v>2</v>
    <v>a1r1lh</v>
    <v>XNYS:DHI</v>
    <v>421</v>
  </rv>
  <rv s="18">
    <v>58</v>
    <v>a1mthw</v>
    <v>Weekly</v>
    <v>45921</v>
    <v>46109</v>
    <v>0</v>
    <v>1</v>
    <v>639101664000000000,639107140621351871,0</v>
    <v>0</v>
    <v>a1mthw</v>
    <v>XNYS:ACN</v>
    <v>422</v>
  </rv>
  <rv s="18">
    <v>58</v>
    <v>a1p7zr</v>
    <v>Daily</v>
    <v>46108</v>
    <v>46108</v>
    <v>0</v>
    <v>1</v>
    <v>639101664000000000,639106637082326153,0</v>
    <v>2</v>
    <v>a1p7zr</v>
    <v>XNYS:CAT</v>
    <v>423</v>
  </rv>
  <rv s="18">
    <v>58</v>
    <v>a1mzjc</v>
    <v>Daily</v>
    <v>46108</v>
    <v>46108</v>
    <v>0</v>
    <v>1</v>
    <v>639101664000000000,639106637150553308,0</v>
    <v>2</v>
    <v>a1mzjc</v>
    <v>XNYS:AFL</v>
    <v>424</v>
  </rv>
  <rv s="18">
    <v>58</v>
    <v>a1t377</v>
    <v>Daily</v>
    <v>46108</v>
    <v>46108</v>
    <v>0</v>
    <v>1</v>
    <v>639101664000000000,639106637267766007,0</v>
    <v>2</v>
    <v>a1t377</v>
    <v>XNYS:CPAY</v>
    <v>425</v>
  </rv>
  <rv s="18">
    <v>58</v>
    <v>a1oma2</v>
    <v>Daily</v>
    <v>46108</v>
    <v>46108</v>
    <v>0</v>
    <v>1</v>
    <v>639101664000000000,639106637278406264,0</v>
    <v>2</v>
    <v>a1oma2</v>
    <v>XNYS:BALL</v>
    <v>426</v>
  </rv>
  <rv s="18">
    <v>58</v>
    <v>a1wxjc</v>
    <v>Daily</v>
    <v>46108</v>
    <v>46108</v>
    <v>0</v>
    <v>1</v>
    <v>639101664000000000,639106637264222075,0</v>
    <v>2</v>
    <v>a1wxjc</v>
    <v>XNAS:LITE</v>
    <v>427</v>
  </rv>
  <rv s="18">
    <v>58</v>
    <v>a1pokr</v>
    <v>Weekly</v>
    <v>45921</v>
    <v>46109</v>
    <v>0</v>
    <v>1</v>
    <v>639101664000000000,639107140763818389,0</v>
    <v>0</v>
    <v>a1pokr</v>
    <v>XNAS:CHTR</v>
    <v>428</v>
  </rv>
  <rv s="18">
    <v>58</v>
    <v>a24ynm</v>
    <v>Daily</v>
    <v>46108</v>
    <v>46108</v>
    <v>0</v>
    <v>1</v>
    <v>639101664000000000,639106637100825237,0</v>
    <v>2</v>
    <v>a24ynm</v>
    <v>XNYS:UPS</v>
    <v>429</v>
  </rv>
  <rv s="18">
    <v>58</v>
    <v>a1xyjc</v>
    <v>Weekly</v>
    <v>45921</v>
    <v>46109</v>
    <v>0</v>
    <v>1</v>
    <v>639101664000000000,639107140663949147,0</v>
    <v>0</v>
    <v>a1xyjc</v>
    <v>XNYS:MS</v>
    <v>430</v>
  </rv>
  <rv s="18">
    <v>58</v>
    <v>a1ysr7</v>
    <v>Daily</v>
    <v>46108</v>
    <v>46108</v>
    <v>0</v>
    <v>1</v>
    <v>639101664000000000,639106637262645316,0</v>
    <v>2</v>
    <v>a1ysr7</v>
    <v>XNAS:NTRS</v>
    <v>431</v>
  </rv>
  <rv s="18">
    <v>58</v>
    <v>a24j8m</v>
    <v>Daily</v>
    <v>46108</v>
    <v>46108</v>
    <v>0</v>
    <v>1</v>
    <v>639101664000000000,639106637259677227,0</v>
    <v>2</v>
    <v>a24j8m</v>
    <v>XNYS:TRV</v>
    <v>432</v>
  </rv>
  <rv s="18">
    <v>58</v>
    <v>a1pj4c</v>
    <v>Daily</v>
    <v>46108</v>
    <v>46108</v>
    <v>0</v>
    <v>1</v>
    <v>639101664000000000,639106637147546812,0</v>
    <v>2</v>
    <v>a1pj4c</v>
    <v>XNYS:CFG</v>
    <v>433</v>
  </rv>
  <rv s="18">
    <v>58</v>
    <v>a1ry3m</v>
    <v>Weekly</v>
    <v>45921</v>
    <v>46109</v>
    <v>0</v>
    <v>1</v>
    <v>639101664000000000,639107140748700953,0</v>
    <v>0</v>
    <v>a1ry3m</v>
    <v>XNYS:EMR</v>
    <v>434</v>
  </rv>
  <rv s="18">
    <v>58</v>
    <v>a1tdvh</v>
    <v>Weekly</v>
    <v>45921</v>
    <v>46109</v>
    <v>0</v>
    <v>1</v>
    <v>639101664000000000,639107140767754310,0</v>
    <v>0</v>
    <v>a1tdvh</v>
    <v>XNAS:FSLR</v>
    <v>435</v>
  </rv>
  <rv s="18">
    <v>58</v>
    <v>a1p3ww</v>
    <v>Weekly</v>
    <v>45921</v>
    <v>46109</v>
    <v>0</v>
    <v>1</v>
    <v>639101664000000000,639107140767082808,0</v>
    <v>0</v>
    <v>a1p3ww</v>
    <v>XNYS:C</v>
    <v>436</v>
  </rv>
  <rv s="18">
    <v>58</v>
    <v>a1vn8m</v>
    <v>Daily</v>
    <v>46108</v>
    <v>46108</v>
    <v>0</v>
    <v>1</v>
    <v>639101664000000000,639106637176309504,0</v>
    <v>2</v>
    <v>a1vn8m</v>
    <v>XNYS:INVH</v>
    <v>437</v>
  </rv>
  <rv s="18">
    <v>58</v>
    <v>a21ua2</v>
    <v>Daily</v>
    <v>46108</v>
    <v>46108</v>
    <v>0</v>
    <v>1</v>
    <v>639101664000000000,639106637275419637,0</v>
    <v>2</v>
    <v>a21ua2</v>
    <v>XNAS:REG</v>
    <v>438</v>
  </rv>
  <rv s="18">
    <v>58</v>
    <v>a1nec7</v>
    <v>Daily</v>
    <v>46108</v>
    <v>46108</v>
    <v>0</v>
    <v>1</v>
    <v>639101664000000000,639106637237715865,0</v>
    <v>2</v>
    <v>a1nec7</v>
    <v>XNAS:AMGN</v>
    <v>439</v>
  </rv>
  <rv s="18">
    <v>58</v>
    <v>c8ki6h</v>
    <v>Daily</v>
    <v>46108</v>
    <v>46108</v>
    <v>0</v>
    <v>1</v>
    <v>639101664000000000,639106637169498633,0</v>
    <v>2</v>
    <v>c8ki6h</v>
    <v>XNYS:KVUE</v>
    <v>440</v>
  </rv>
  <rv s="18">
    <v>58</v>
    <v>cfwqww</v>
    <v>Weekly</v>
    <v>45921</v>
    <v>46109</v>
    <v>0</v>
    <v>1</v>
    <v>639101664000000000,639107140746138631,0</v>
    <v>0</v>
    <v>cfwqww</v>
    <v>XNAS:SNDK</v>
    <v>441</v>
  </rv>
  <rv s="18">
    <v>58</v>
    <v>a1tyrw</v>
    <v>Daily</v>
    <v>46108</v>
    <v>46108</v>
    <v>0</v>
    <v>1</v>
    <v>639101664000000000,639106637221033911,0</v>
    <v>2</v>
    <v>a1tyrw</v>
    <v>XNYS:GM</v>
    <v>442</v>
  </rv>
  <rv s="18">
    <v>58</v>
    <v>a1xvzr</v>
    <v>Daily</v>
    <v>46108</v>
    <v>46108</v>
    <v>0</v>
    <v>1</v>
    <v>639101664000000000,639106637144972351,0</v>
    <v>2</v>
    <v>a1xvzr</v>
    <v>XNYS:MPC</v>
    <v>443</v>
  </rv>
  <rv s="18">
    <v>58</v>
    <v>a1ngur</v>
    <v>Daily</v>
    <v>46108</v>
    <v>46108</v>
    <v>0</v>
    <v>1</v>
    <v>639101664000000000,639106637109724185,0</v>
    <v>2</v>
    <v>a1ngur</v>
    <v>XNYS:AMT</v>
    <v>444</v>
  </rv>
  <rv s="18">
    <v>58</v>
    <v>a1ru6h</v>
    <v>Weekly</v>
    <v>45921</v>
    <v>46109</v>
    <v>0</v>
    <v>1</v>
    <v>639101664000000000,639107140651861171,0</v>
    <v>0</v>
    <v>a1ru6h</v>
    <v>XNYS:EIX</v>
    <v>445</v>
  </rv>
  <rv s="18">
    <v>58</v>
    <v>a24tfr</v>
    <v>Daily</v>
    <v>46108</v>
    <v>46108</v>
    <v>0</v>
    <v>1</v>
    <v>639101664000000000,639106637259661591,0</v>
    <v>2</v>
    <v>a24tfr</v>
    <v>XNYS:UDR</v>
    <v>446</v>
  </rv>
  <rv s="18">
    <v>58</v>
    <v>a25zz2</v>
    <v>Daily</v>
    <v>46108</v>
    <v>46108</v>
    <v>0</v>
    <v>1</v>
    <v>639101664000000000,639106637200431052,0</v>
    <v>2</v>
    <v>a25zz2</v>
    <v>XNYS:WRB</v>
    <v>447</v>
  </rv>
  <rv s="18">
    <v>58</v>
    <v>a1om4c</v>
    <v>Daily</v>
    <v>46108</v>
    <v>46108</v>
    <v>0</v>
    <v>1</v>
    <v>639101664000000000,639106637223870491,0</v>
    <v>2</v>
    <v>a1om4c</v>
    <v>XNYS:BLK</v>
    <v>448</v>
  </rv>
  <rv s="18">
    <v>58</v>
    <v>a1xp2w</v>
    <v>Daily</v>
    <v>46108</v>
    <v>46108</v>
    <v>0</v>
    <v>1</v>
    <v>639101664000000000,639106637221346294,0</v>
    <v>2</v>
    <v>a1xp2w</v>
    <v>XNYS:MLM</v>
    <v>449</v>
  </rv>
  <rv s="18">
    <v>58</v>
    <v>a1z3h7</v>
    <v>Weekly</v>
    <v>45921</v>
    <v>46109</v>
    <v>0</v>
    <v>1</v>
    <v>639101664000000000,639107140776385992,0</v>
    <v>0</v>
    <v>a1z3h7</v>
    <v>XNAS:ODFL</v>
    <v>450</v>
  </rv>
  <rv s="18">
    <v>58</v>
    <v>a1xhvh</v>
    <v>Weekly</v>
    <v>45921</v>
    <v>46109</v>
    <v>0</v>
    <v>1</v>
    <v>639101664000000000,639107140754351686,0</v>
    <v>0</v>
    <v>a1xhvh</v>
    <v>XNYS:MET</v>
    <v>451</v>
  </rv>
  <rv s="18">
    <v>58</v>
    <v>a1squ2</v>
    <v>Daily</v>
    <v>46108</v>
    <v>46108</v>
    <v>0</v>
    <v>1</v>
    <v>639101664000000000,639106637147506022,0</v>
    <v>2</v>
    <v>a1squ2</v>
    <v>XNYS:FE</v>
    <v>452</v>
  </rv>
  <rv s="18">
    <v>58</v>
    <v>a1n977</v>
    <v>Daily</v>
    <v>46108</v>
    <v>46108</v>
    <v>0</v>
    <v>1</v>
    <v>639101664000000000,639106637263117416,0</v>
    <v>2</v>
    <v>a1n977</v>
    <v>XNYS:ALB</v>
    <v>453</v>
  </rv>
  <rv s="18">
    <v>58</v>
    <v>a1q8r7</v>
    <v>Weekly</v>
    <v>45921</v>
    <v>46109</v>
    <v>0</v>
    <v>1</v>
    <v>639101664000000000,639107140727887354,0</v>
    <v>0</v>
    <v>a1q8r7</v>
    <v>XNAS:CPRT</v>
    <v>454</v>
  </rv>
  <rv s="18">
    <v>58</v>
    <v>a1sx7w</v>
    <v>Weekly</v>
    <v>45921</v>
    <v>46109</v>
    <v>0</v>
    <v>1</v>
    <v>639101664000000000,639107140735494007,0</v>
    <v>0</v>
    <v>a1sx7w</v>
    <v>XNAS:FITB</v>
    <v>455</v>
  </rv>
  <rv s="18">
    <v>58</v>
    <v>a1tvoc</v>
    <v>Weekly</v>
    <v>45921</v>
    <v>46109</v>
    <v>0</v>
    <v>1</v>
    <v>639101664000000000,639107140760167089,0</v>
    <v>0</v>
    <v>a1tvoc</v>
    <v>XNAS:GILD</v>
    <v>456</v>
  </rv>
  <rv s="18">
    <v>58</v>
    <v>a1ql9c</v>
    <v>Daily</v>
    <v>46108</v>
    <v>46108</v>
    <v>0</v>
    <v>1</v>
    <v>639101664000000000,639106637252091437,0</v>
    <v>2</v>
    <v>a1ql9c</v>
    <v>XNYS:CVNA</v>
    <v>457</v>
  </rv>
  <rv s="18">
    <v>58</v>
    <v>a1ogsm</v>
    <v>Daily</v>
    <v>46108</v>
    <v>46108</v>
    <v>0</v>
    <v>1</v>
    <v>639101664000000000,639106637228278288,0</v>
    <v>2</v>
    <v>a1ogsm</v>
    <v>XNAS:BKR</v>
    <v>458</v>
  </rv>
  <rv s="18">
    <v>58</v>
    <v>bnmq52</v>
    <v>Daily</v>
    <v>46108</v>
    <v>46108</v>
    <v>0</v>
    <v>1</v>
    <v>639101664000000000,639106637124364567,0</v>
    <v>2</v>
    <v>bnmq52</v>
    <v>XNAS:LIN</v>
    <v>459</v>
  </rv>
  <rv s="18">
    <v>58</v>
    <v>a1sqr7</v>
    <v>Daily</v>
    <v>46108</v>
    <v>46108</v>
    <v>0</v>
    <v>1</v>
    <v>639101664000000000,639106637121530057,0</v>
    <v>2</v>
    <v>a1sqr7</v>
    <v>XNYS:FDX</v>
    <v>460</v>
  </rv>
  <rv s="18">
    <v>58</v>
    <v>a1wjkr</v>
    <v>Weekly</v>
    <v>45921</v>
    <v>46109</v>
    <v>0</v>
    <v>1</v>
    <v>639101664000000000,639107140673839933,0</v>
    <v>0</v>
    <v>a1wjkr</v>
    <v>XNAS:KLAC</v>
    <v>461</v>
  </rv>
  <rv s="18">
    <v>58</v>
    <v>a226rw</v>
    <v>Daily</v>
    <v>46108</v>
    <v>46108</v>
    <v>0</v>
    <v>1</v>
    <v>639101664000000000,639106637248235909,0</v>
    <v>2</v>
    <v>a226rw</v>
    <v>XNYS:ROL</v>
    <v>462</v>
  </rv>
  <rv s="18">
    <v>58</v>
    <v>a1pffr</v>
    <v>Weekly</v>
    <v>45921</v>
    <v>46109</v>
    <v>0</v>
    <v>1</v>
    <v>639101664000000000,639107140716895660,0</v>
    <v>0</v>
    <v>a1pffr</v>
    <v>XNYS:CE</v>
    <v>463</v>
  </rv>
  <rv s="18">
    <v>58</v>
    <v>a1q9c7</v>
    <v>Daily</v>
    <v>46108</v>
    <v>46108</v>
    <v>0</v>
    <v>1</v>
    <v>639101664000000000,639106637254213533,0</v>
    <v>2</v>
    <v>a1q9c7</v>
    <v>XNYS:CPT</v>
    <v>464</v>
  </rv>
  <rv s="18">
    <v>58</v>
    <v>a1waa2</v>
    <v>Weekly</v>
    <v>45921</v>
    <v>46109</v>
    <v>0</v>
    <v>1</v>
    <v>639101664000000000,639107140758480209,0</v>
    <v>0</v>
    <v>a1waa2</v>
    <v>XNYS:JPM</v>
    <v>465</v>
  </rv>
  <rv s="18">
    <v>58</v>
    <v>a1r8ur</v>
    <v>Daily</v>
    <v>46108</v>
    <v>46108</v>
    <v>0</v>
    <v>1</v>
    <v>639101664000000000,639106637078081512,0</v>
    <v>2</v>
    <v>a1r8ur</v>
    <v>XNYS:DOV</v>
    <v>466</v>
  </rv>
  <rv s="18">
    <v>58</v>
    <v>a1uyk2</v>
    <v>Daily</v>
    <v>46108</v>
    <v>46108</v>
    <v>0</v>
    <v>1</v>
    <v>639101664000000000,639106637119904141,0</v>
    <v>2</v>
    <v>a1uyk2</v>
    <v>XNYS:HUBB</v>
    <v>467</v>
  </rv>
  <rv s="18">
    <v>58</v>
    <v>a1xfoc</v>
    <v>Weekly</v>
    <v>45921</v>
    <v>46109</v>
    <v>0</v>
    <v>1</v>
    <v>639101664000000000,639107140705406865,0</v>
    <v>0</v>
    <v>a1xfoc</v>
    <v>XNAS:MDLZ</v>
    <v>468</v>
  </rv>
  <rv s="18">
    <v>58</v>
    <v>bq8rqh</v>
    <v>Daily</v>
    <v>46108</v>
    <v>46108</v>
    <v>0</v>
    <v>1</v>
    <v>639101664000000000,639106637083860802,0</v>
    <v>2</v>
    <v>bq8rqh</v>
    <v>XNAS:CRWD</v>
    <v>469</v>
  </rv>
  <rv s="18">
    <v>58</v>
    <v>a1px2w</v>
    <v>Daily</v>
    <v>46108</v>
    <v>46108</v>
    <v>0</v>
    <v>1</v>
    <v>639101664000000000,639106637258159202,0</v>
    <v>2</v>
    <v>a1px2w</v>
    <v>XNAS:CME</v>
    <v>470</v>
  </rv>
  <rv s="18">
    <v>58</v>
    <v>a1zsjc</v>
    <v>Weekly</v>
    <v>45921</v>
    <v>46109</v>
    <v>0</v>
    <v>1</v>
    <v>639101664000000000,639107140672426009,0</v>
    <v>0</v>
    <v>a1zsjc</v>
    <v>XNYS:PG</v>
    <v>471</v>
  </rv>
  <rv s="18">
    <v>58</v>
    <v>a1naqh</v>
    <v>Daily</v>
    <v>46108</v>
    <v>46108</v>
    <v>0</v>
    <v>1</v>
    <v>639101664000000000,639106637128986595,0</v>
    <v>2</v>
    <v>a1naqh</v>
    <v>XNYS:ALLE</v>
    <v>472</v>
  </rv>
  <rv s="18">
    <v>58</v>
    <v>a1odgh</v>
    <v>Weekly</v>
    <v>45921</v>
    <v>46109</v>
    <v>0</v>
    <v>1</v>
    <v>639101664000000000,639107140674662708,0</v>
    <v>0</v>
    <v>a1odgh</v>
    <v>XNYS:BEN</v>
    <v>473</v>
  </rv>
  <rv s="18">
    <v>58</v>
    <v>a1wucw</v>
    <v>Daily</v>
    <v>46108</v>
    <v>46108</v>
    <v>0</v>
    <v>1</v>
    <v>639101664000000000,639106637152059928,0</v>
    <v>2</v>
    <v>a1wucw</v>
    <v>XNYS:LEN</v>
    <v>474</v>
  </rv>
  <rv s="18">
    <v>58</v>
    <v>a21uim</v>
    <v>Weekly</v>
    <v>45921</v>
    <v>46109</v>
    <v>0</v>
    <v>1</v>
    <v>639101664000000000,639107140706934416,0</v>
    <v>0</v>
    <v>a21uim</v>
    <v>XNAS:REGN</v>
    <v>475</v>
  </rv>
  <rv s="18">
    <v>58</v>
    <v>a1skmw</v>
    <v>Daily</v>
    <v>46108</v>
    <v>46108</v>
    <v>0</v>
    <v>1</v>
    <v>639101664000000000,639106637130483304,0</v>
    <v>2</v>
    <v>a1skmw</v>
    <v>XNAS:FANG</v>
    <v>476</v>
  </rv>
  <rv s="18">
    <v>58</v>
    <v>a1q7jc</v>
    <v>Daily</v>
    <v>46108</v>
    <v>46108</v>
    <v>0</v>
    <v>1</v>
    <v>639101664000000000,639106637174004021,0</v>
    <v>2</v>
    <v>a1q7jc</v>
    <v>XNAS:CPB</v>
    <v>477</v>
  </rv>
  <rv s="18">
    <v>58</v>
    <v>a1w8ec</v>
    <v>Weekly</v>
    <v>45921</v>
    <v>46109</v>
    <v>0</v>
    <v>1</v>
    <v>639101664000000000,639107140752082184,0</v>
    <v>0</v>
    <v>a1w8ec</v>
    <v>XNYS:JNJ</v>
    <v>478</v>
  </rv>
  <rv s="18">
    <v>58</v>
    <v>caydcw</v>
    <v>Weekly</v>
    <v>45921</v>
    <v>46109</v>
    <v>0</v>
    <v>1</v>
    <v>639101664000000000,639107140704809024,0</v>
    <v>0</v>
    <v>caydcw</v>
    <v>XNYS:VLTO</v>
    <v>479</v>
  </rv>
  <rv s="18">
    <v>58</v>
    <v>a1q44c</v>
    <v>Weekly</v>
    <v>45921</v>
    <v>46109</v>
    <v>0</v>
    <v>1</v>
    <v>639101664000000000,639107140641431999,0</v>
    <v>0</v>
    <v>a1q44c</v>
    <v>XNYS:CTRA</v>
    <v>480</v>
  </rv>
  <rv s="18">
    <v>58</v>
    <v>a1svnm</v>
    <v>Weekly</v>
    <v>45921</v>
    <v>46109</v>
    <v>0</v>
    <v>1</v>
    <v>639101664000000000,639107140754133239,0</v>
    <v>0</v>
    <v>a1svnm</v>
    <v>XNYS:FICO</v>
    <v>481</v>
  </rv>
  <rv s="18">
    <v>58</v>
    <v>a25vnm</v>
    <v>Weekly</v>
    <v>45921</v>
    <v>46109</v>
    <v>0</v>
    <v>1</v>
    <v>639101664000000000,639107140670327875,0</v>
    <v>0</v>
    <v>a25vnm</v>
    <v>XNYS:WHR</v>
    <v>482</v>
  </rv>
  <rv s="18">
    <v>58</v>
    <v>a1tvzr</v>
    <v>Daily</v>
    <v>46108</v>
    <v>46108</v>
    <v>0</v>
    <v>1</v>
    <v>639101664000000000,639106637211784472,0</v>
    <v>2</v>
    <v>a1tvzr</v>
    <v>XNYS:GIS</v>
    <v>483</v>
  </rv>
  <rv s="18">
    <v>58</v>
    <v>a1vv8m</v>
    <v>Daily</v>
    <v>46108</v>
    <v>46108</v>
    <v>0</v>
    <v>1</v>
    <v>639101664000000000,639106637188204417,0</v>
    <v>2</v>
    <v>a1vv8m</v>
    <v>XNYS:ITW</v>
    <v>484</v>
  </rv>
  <rv s="18">
    <v>58</v>
    <v>a1s2fr</v>
    <v>Daily</v>
    <v>46108</v>
    <v>46108</v>
    <v>0</v>
    <v>1</v>
    <v>639101664000000000,639106637262645145,0</v>
    <v>2</v>
    <v>a1s2fr</v>
    <v>XNYS:EPAM</v>
    <v>485</v>
  </rv>
  <rv s="18">
    <v>58</v>
    <v>a1pxec</v>
    <v>Daily</v>
    <v>46108</v>
    <v>46108</v>
    <v>0</v>
    <v>1</v>
    <v>639101664000000000,639106637240947932,0</v>
    <v>2</v>
    <v>a1pxec</v>
    <v>XNYS:CMI</v>
    <v>486</v>
  </rv>
  <rv s="18">
    <v>58</v>
    <v>a1x7im</v>
    <v>Weekly</v>
    <v>45921</v>
    <v>46109</v>
    <v>0</v>
    <v>1</v>
    <v>639101664000000000,639107140626432888,0</v>
    <v>0</v>
    <v>a1x7im</v>
    <v>XNYS:LVS</v>
    <v>487</v>
  </rv>
  <rv s="18">
    <v>58</v>
    <v>a1ydc7</v>
    <v>Daily</v>
    <v>46108</v>
    <v>46108</v>
    <v>0</v>
    <v>1</v>
    <v>639101664000000000,639106637207769263,0</v>
    <v>2</v>
    <v>a1ydc7</v>
    <v>XNAS:NDAQ</v>
    <v>488</v>
  </rv>
  <rv s="18">
    <v>58</v>
    <v>a1rfsm</v>
    <v>Daily</v>
    <v>46108</v>
    <v>46108</v>
    <v>0</v>
    <v>1</v>
    <v>639101664000000000,639106637146092741,0</v>
    <v>2</v>
    <v>a1rfsm</v>
    <v>XNYS:DD</v>
    <v>489</v>
  </rv>
  <rv s="18">
    <v>58</v>
    <v>a26fww</v>
    <v>Weekly</v>
    <v>45921</v>
    <v>46109</v>
    <v>0</v>
    <v>1</v>
    <v>639101664000000000,639107140691458965,0</v>
    <v>0</v>
    <v>a26fww</v>
    <v>XNAS:ZBRA</v>
    <v>490</v>
  </rv>
  <rv s="18">
    <v>58</v>
    <v>a1svnm</v>
    <v>Daily</v>
    <v>46108</v>
    <v>46108</v>
    <v>0</v>
    <v>1</v>
    <v>639101664000000000,639106637127400698,0</v>
    <v>2</v>
    <v>a1svnm</v>
    <v>XNYS:FICO</v>
    <v>491</v>
  </rv>
  <rv s="18">
    <v>58</v>
    <v>a1uwoc</v>
    <v>Daily</v>
    <v>46108</v>
    <v>46108</v>
    <v>0</v>
    <v>1</v>
    <v>639101664000000000,639106637173108844,0</v>
    <v>2</v>
    <v>a1uwoc</v>
    <v>XNAS:HST</v>
    <v>492</v>
  </rv>
  <rv s="18">
    <v>58</v>
    <v>a1wifr</v>
    <v>Daily</v>
    <v>46108</v>
    <v>46108</v>
    <v>0</v>
    <v>1</v>
    <v>639101664000000000,639106637285596902,0</v>
    <v>2</v>
    <v>a1wifr</v>
    <v>XNYS:KIM</v>
    <v>493</v>
  </rv>
  <rv s="18">
    <v>58</v>
    <v>a1wrf2</v>
    <v>Weekly</v>
    <v>45921</v>
    <v>46109</v>
    <v>0</v>
    <v>1</v>
    <v>639101664000000000,639107140670690850,0</v>
    <v>0</v>
    <v>a1wrf2</v>
    <v>XNYS:BBWI</v>
    <v>494</v>
  </rv>
  <rv s="18">
    <v>58</v>
    <v>a243ec</v>
    <v>Daily</v>
    <v>46108</v>
    <v>46108</v>
    <v>0</v>
    <v>1</v>
    <v>639101664000000000,639106637224363518,0</v>
    <v>2</v>
    <v>a243ec</v>
    <v>XNYS:TDY</v>
    <v>495</v>
  </rv>
  <rv s="18">
    <v>58</v>
    <v>a25jqh</v>
    <v>Daily</v>
    <v>46108</v>
    <v>46108</v>
    <v>0</v>
    <v>1</v>
    <v>639101664000000000,639106637239233015,0</v>
    <v>2</v>
    <v>a25jqh</v>
    <v>XNAS:VRSN</v>
    <v>496</v>
  </rv>
  <rv s="18">
    <v>58</v>
    <v>a1yngh</v>
    <v>Daily</v>
    <v>46108</v>
    <v>46108</v>
    <v>0</v>
    <v>1</v>
    <v>639101664000000000,639106637265620285,0</v>
    <v>2</v>
    <v>a1yngh</v>
    <v>XNYS:NOC</v>
    <v>497</v>
  </rv>
  <rv s="18">
    <v>58</v>
    <v>a1mnrw</v>
    <v>Daily</v>
    <v>46108</v>
    <v>46108</v>
    <v>0</v>
    <v>1</v>
    <v>639101664000000000,639106637120190511,0</v>
    <v>2</v>
    <v>a1mnrw</v>
    <v>XNYS:A</v>
    <v>498</v>
  </rv>
  <rv s="18">
    <v>58</v>
    <v>a24c52</v>
    <v>Daily</v>
    <v>46108</v>
    <v>46108</v>
    <v>0</v>
    <v>1</v>
    <v>639101664000000000,639106637222295345,0</v>
    <v>2</v>
    <v>a24c52</v>
    <v>XNAS:TMUS</v>
    <v>499</v>
  </rv>
  <rv s="18">
    <v>58</v>
    <v>a1vwxm</v>
    <v>Daily</v>
    <v>46108</v>
    <v>46108</v>
    <v>0</v>
    <v>1</v>
    <v>639101664000000000,639106637192538151,0</v>
    <v>2</v>
    <v>a1vwxm</v>
    <v>XNYS:IVZ</v>
    <v>500</v>
  </rv>
  <rv s="18">
    <v>58</v>
    <v>a1rjec</v>
    <v>Daily</v>
    <v>46108</v>
    <v>46108</v>
    <v>0</v>
    <v>1</v>
    <v>639101664000000000,639106637146009708,0</v>
    <v>2</v>
    <v>a1rjec</v>
    <v>XNAS:EA</v>
    <v>501</v>
  </rv>
  <rv s="18">
    <v>58</v>
    <v>a1ossm</v>
    <v>Weekly</v>
    <v>45921</v>
    <v>46109</v>
    <v>0</v>
    <v>1</v>
    <v>639101664000000000,639107140642921576,0</v>
    <v>0</v>
    <v>a1ossm</v>
    <v>XNYS:BR</v>
    <v>502</v>
  </rv>
  <rv s="18">
    <v>58</v>
    <v>a1sl52</v>
    <v>Daily</v>
    <v>46108</v>
    <v>46108</v>
    <v>0</v>
    <v>1</v>
    <v>639101664000000000,639106637178405640,0</v>
    <v>2</v>
    <v>a1sl52</v>
    <v>XNAS:FAST</v>
    <v>503</v>
  </rv>
  <rv s="18">
    <v>58</v>
    <v>bptw77</v>
    <v>Weekly</v>
    <v>45921</v>
    <v>46109</v>
    <v>0</v>
    <v>1</v>
    <v>639101664000000000,639107140712540902,0</v>
    <v>0</v>
    <v>bptw77</v>
    <v>XNYS:UBER</v>
    <v>504</v>
  </rv>
  <rv s="18">
    <v>58</v>
    <v>a1xonm</v>
    <v>Weekly</v>
    <v>45921</v>
    <v>46109</v>
    <v>0</v>
    <v>1</v>
    <v>639101664000000000,639107140701813125,0</v>
    <v>0</v>
    <v>a1xonm</v>
    <v>XNAS:MKTX</v>
    <v>505</v>
  </rv>
  <rv s="18">
    <v>58</v>
    <v>a1ydc7</v>
    <v>Weekly</v>
    <v>45921</v>
    <v>46109</v>
    <v>0</v>
    <v>1</v>
    <v>639101664000000000,639107140664786634,0</v>
    <v>0</v>
    <v>a1ydc7</v>
    <v>XNAS:NDAQ</v>
    <v>506</v>
  </rv>
  <rv s="18">
    <v>58</v>
    <v>a23p6h</v>
    <v>Weekly</v>
    <v>45921</v>
    <v>46109</v>
    <v>0</v>
    <v>1</v>
    <v>639101664000000000,639107140770534846,0</v>
    <v>0</v>
    <v>a23p6h</v>
    <v>XNAS:STLD</v>
    <v>507</v>
  </rv>
  <rv s="18">
    <v>58</v>
    <v>a25ya2</v>
    <v>Daily</v>
    <v>46108</v>
    <v>46108</v>
    <v>0</v>
    <v>1</v>
    <v>639101664000000000,639106637210616392,0</v>
    <v>2</v>
    <v>a25ya2</v>
    <v>XNAS:WMT</v>
    <v>508</v>
  </rv>
  <rv s="18">
    <v>58</v>
    <v>a1ook2</v>
    <v>Weekly</v>
    <v>45921</v>
    <v>46109</v>
    <v>0</v>
    <v>1</v>
    <v>639101664000000000,639107140754749927,0</v>
    <v>0</v>
    <v>a1ook2</v>
    <v>XNYS:BMY</v>
    <v>509</v>
  </rv>
  <rv s="18">
    <v>58</v>
    <v>a232mw</v>
    <v>Daily</v>
    <v>46108</v>
    <v>46108</v>
    <v>0</v>
    <v>1</v>
    <v>639101664000000000,639106637108974484,0</v>
    <v>2</v>
    <v>a232mw</v>
    <v>XNYS:SLB</v>
    <v>510</v>
  </rv>
  <rv s="18">
    <v>58</v>
    <v>a1vqnm</v>
    <v>Weekly</v>
    <v>45921</v>
    <v>46109</v>
    <v>0</v>
    <v>1</v>
    <v>639101664000000000,639107140771532885,0</v>
    <v>0</v>
    <v>a1vqnm</v>
    <v>XNYS:TT</v>
    <v>511</v>
  </rv>
  <rv s="18">
    <v>58</v>
    <v>a1sp52</v>
    <v>Daily</v>
    <v>46108</v>
    <v>46108</v>
    <v>0</v>
    <v>1</v>
    <v>639101664000000000,639106637105721740,0</v>
    <v>2</v>
    <v>a1sp52</v>
    <v>XNYS:FCX</v>
    <v>512</v>
  </rv>
  <rv s="18">
    <v>58</v>
    <v>bxpkww</v>
    <v>Daily</v>
    <v>46108</v>
    <v>46108</v>
    <v>0</v>
    <v>1</v>
    <v>639101664000000000,639106637097570511,0</v>
    <v>2</v>
    <v>bxpkww</v>
    <v>XNAS:EXE</v>
    <v>513</v>
  </rv>
  <rv s="18">
    <v>58</v>
    <v>a1xtpr</v>
    <v>Daily</v>
    <v>46108</v>
    <v>46108</v>
    <v>0</v>
    <v>1</v>
    <v>639101664000000000,639106637128975133,0</v>
    <v>2</v>
    <v>a1xtpr</v>
    <v>XNYS:MO</v>
    <v>514</v>
  </rv>
  <rv s="18">
    <v>58</v>
    <v>a1sioc</v>
    <v>Daily</v>
    <v>46108</v>
    <v>46108</v>
    <v>0</v>
    <v>1</v>
    <v>639101664000000000,639106637218285041,0</v>
    <v>2</v>
    <v>a1sioc</v>
    <v>XNYS:EXR</v>
    <v>515</v>
  </rv>
  <rv s="18">
    <v>58</v>
    <v>a23vm7</v>
    <v>Daily</v>
    <v>46108</v>
    <v>46108</v>
    <v>0</v>
    <v>1</v>
    <v>639101664000000000,639106637085575663,0</v>
    <v>2</v>
    <v>a23vm7</v>
    <v>XNAS:GEN</v>
    <v>516</v>
  </rv>
  <rv s="18">
    <v>58</v>
    <v>a1z3h7</v>
    <v>Daily</v>
    <v>46108</v>
    <v>46108</v>
    <v>0</v>
    <v>1</v>
    <v>639101664000000000,639106637273617014,0</v>
    <v>2</v>
    <v>a1z3h7</v>
    <v>XNAS:ODFL</v>
    <v>517</v>
  </rv>
  <rv s="18">
    <v>60</v>
    <v>aa72pr</v>
    <v>Daily</v>
    <v>46108</v>
    <v>46108</v>
    <v>0</v>
    <v>1</v>
    <v>639101664000000000,639106637127527888,0</v>
    <v>2</v>
    <v>aa72pr</v>
    <v>XASX:WRK</v>
    <v>518</v>
  </rv>
  <rv s="18">
    <v>58</v>
    <v>a1q1tc</v>
    <v>Daily</v>
    <v>46108</v>
    <v>46108</v>
    <v>0</v>
    <v>1</v>
    <v>639101664000000000,639106637110398055,0</v>
    <v>2</v>
    <v>a1q1tc</v>
    <v>XNYS:CNP</v>
    <v>519</v>
  </rv>
  <rv s="18">
    <v>58</v>
    <v>a1ug1h</v>
    <v>Weekly</v>
    <v>45921</v>
    <v>46109</v>
    <v>0</v>
    <v>1</v>
    <v>639101664000000000,639107140625290101,0</v>
    <v>0</v>
    <v>a1ug1h</v>
    <v>XNAS:HAS</v>
    <v>520</v>
  </rv>
  <rv s="18">
    <v>58</v>
    <v>a1shjc</v>
    <v>Daily</v>
    <v>46108</v>
    <v>46108</v>
    <v>0</v>
    <v>1</v>
    <v>639101664000000000,639106637188440694,0</v>
    <v>2</v>
    <v>a1shjc</v>
    <v>XNAS:EXC</v>
    <v>521</v>
  </rv>
  <rv s="18">
    <v>58</v>
    <v>bqejrw</v>
    <v>Weekly</v>
    <v>45921</v>
    <v>46109</v>
    <v>0</v>
    <v>1</v>
    <v>639101664000000000,639107140672271275,0</v>
    <v>0</v>
    <v>bqejrw</v>
    <v>XNYS:AMCR</v>
    <v>522</v>
  </rv>
  <rv s="18">
    <v>58</v>
    <v>a1n7mw</v>
    <v>Daily</v>
    <v>46108</v>
    <v>46108</v>
    <v>0</v>
    <v>1</v>
    <v>639101664000000000,639106637265672152,0</v>
    <v>2</v>
    <v>a1n7mw</v>
    <v>XNYS:AIZ</v>
    <v>523</v>
  </rv>
  <rv s="18">
    <v>58</v>
    <v>a25l52</v>
    <v>Daily</v>
    <v>46108</v>
    <v>46108</v>
    <v>0</v>
    <v>1</v>
    <v>639101664000000000,639106637167144985,0</v>
    <v>2</v>
    <v>a25l52</v>
    <v>XNYS:VST</v>
    <v>524</v>
  </rv>
  <rv s="18">
    <v>58</v>
    <v>a1yv52</v>
    <v>Weekly</v>
    <v>45921</v>
    <v>46109</v>
    <v>0</v>
    <v>1</v>
    <v>639101664000000000,639107140768864615,0</v>
    <v>0</v>
    <v>a1yv52</v>
    <v>XNAS:NVDA</v>
    <v>525</v>
  </rv>
  <rv s="18">
    <v>58</v>
    <v>a1s9dm</v>
    <v>Daily</v>
    <v>46108</v>
    <v>46108</v>
    <v>0</v>
    <v>1</v>
    <v>639101664000000000,639106637238589810,0</v>
    <v>2</v>
    <v>a1s9dm</v>
    <v>XNYS:ESS</v>
    <v>526</v>
  </rv>
  <rv s="18">
    <v>58</v>
    <v>a243ec</v>
    <v>Weekly</v>
    <v>45921</v>
    <v>46109</v>
    <v>0</v>
    <v>1</v>
    <v>639101664000000000,639107140610962769,0</v>
    <v>0</v>
    <v>a243ec</v>
    <v>XNYS:TDY</v>
    <v>527</v>
  </rv>
  <rv s="18">
    <v>58</v>
    <v>a1ztlh</v>
    <v>Daily</v>
    <v>46108</v>
    <v>46108</v>
    <v>0</v>
    <v>1</v>
    <v>639101664000000000,639106637195609917,0</v>
    <v>2</v>
    <v>a1ztlh</v>
    <v>XNYS:PGR</v>
    <v>528</v>
  </rv>
  <rv s="18">
    <v>58</v>
    <v>a1ut3m</v>
    <v>Daily</v>
    <v>46108</v>
    <v>46108</v>
    <v>0</v>
    <v>1</v>
    <v>639101664000000000,639106637122999966,0</v>
    <v>2</v>
    <v>a1ut3m</v>
    <v>XNAS:HON</v>
    <v>529</v>
  </rv>
  <rv s="18">
    <v>58</v>
    <v>a1mxkr</v>
    <v>Daily</v>
    <v>46108</v>
    <v>46108</v>
    <v>0</v>
    <v>1</v>
    <v>639101664000000000,639106637215211018,0</v>
    <v>2</v>
    <v>a1mxkr</v>
    <v>XNYS:AEE</v>
    <v>530</v>
  </rv>
  <rv s="18">
    <v>58</v>
    <v>a24xww</v>
    <v>Weekly</v>
    <v>45921</v>
    <v>46109</v>
    <v>0</v>
    <v>1</v>
    <v>639101664000000000,639107140729033537,0</v>
    <v>0</v>
    <v>a24xww</v>
    <v>XNYS:UNP</v>
    <v>531</v>
  </rv>
  <rv s="18">
    <v>58</v>
    <v>a1tg3m</v>
    <v>Weekly</v>
    <v>45921</v>
    <v>46109</v>
    <v>0</v>
    <v>1</v>
    <v>639101664000000000,639107140750164228,0</v>
    <v>0</v>
    <v>a1tg3m</v>
    <v>XNAS:FTNT</v>
    <v>532</v>
  </rv>
  <rv s="18">
    <v>58</v>
    <v>a1y1w7</v>
    <v>Weekly</v>
    <v>45921</v>
    <v>46109</v>
    <v>0</v>
    <v>1</v>
    <v>639101664000000000,639107140710006860,0</v>
    <v>0</v>
    <v>a1y1w7</v>
    <v>XNYS:MTB</v>
    <v>533</v>
  </rv>
  <rv s="18">
    <v>58</v>
    <v>a2627w</v>
    <v>Daily</v>
    <v>46108</v>
    <v>46108</v>
    <v>0</v>
    <v>1</v>
    <v>639101664000000000,639106637212106156,0</v>
    <v>2</v>
    <v>a2627w</v>
    <v>XNYS:WSM</v>
    <v>534</v>
  </rv>
  <rv s="18">
    <v>58</v>
    <v>a1slm7</v>
    <v>Weekly</v>
    <v>45921</v>
    <v>46109</v>
    <v>0</v>
    <v>1</v>
    <v>639101664000000000,639107140681483308,0</v>
    <v>0</v>
    <v>a1slm7</v>
    <v>XNAS:META</v>
    <v>535</v>
  </rv>
  <rv s="18">
    <v>58</v>
    <v>a23tz2</v>
    <v>Daily</v>
    <v>46108</v>
    <v>46108</v>
    <v>0</v>
    <v>1</v>
    <v>639101664000000000,639106637210283012,0</v>
    <v>2</v>
    <v>a23tz2</v>
    <v>XNAS:SWKS</v>
    <v>536</v>
  </rv>
  <rv s="18">
    <v>58</v>
    <v>a21wsm</v>
    <v>Daily</v>
    <v>46108</v>
    <v>46108</v>
    <v>0</v>
    <v>1</v>
    <v>639101664000000000,639106637258541707,0</v>
    <v>2</v>
    <v>a21wsm</v>
    <v>XNYS:RF</v>
    <v>537</v>
  </rv>
  <rv s="18">
    <v>58</v>
    <v>a1vmf2</v>
    <v>Weekly</v>
    <v>45921</v>
    <v>46109</v>
    <v>0</v>
    <v>1</v>
    <v>639101664000000000,639107140690329400,0</v>
    <v>0</v>
    <v>a1vmf2</v>
    <v>XNAS:INTC</v>
    <v>538</v>
  </rv>
  <rv s="18">
    <v>58</v>
    <v>a1zha2</v>
    <v>Daily</v>
    <v>46108</v>
    <v>46108</v>
    <v>0</v>
    <v>1</v>
    <v>639101664000000000,639106637150504201,0</v>
    <v>2</v>
    <v>a1zha2</v>
    <v>XNYS:PAYC</v>
    <v>539</v>
  </rv>
  <rv s="18">
    <v>58</v>
    <v>a1vb5r</v>
    <v>Daily</v>
    <v>46108</v>
    <v>46108</v>
    <v>0</v>
    <v>1</v>
    <v>639101664000000000,639106637213596958,0</v>
    <v>2</v>
    <v>a1vb5r</v>
    <v>XNAS:IDXX</v>
    <v>540</v>
  </rv>
  <rv s="18">
    <v>58</v>
    <v>a1myk2</v>
    <v>Daily</v>
    <v>46108</v>
    <v>46108</v>
    <v>0</v>
    <v>1</v>
    <v>639101664000000000,639106637194527093,0</v>
    <v>2</v>
    <v>a1myk2</v>
    <v>XNYS:AES</v>
    <v>541</v>
  </rv>
  <rv s="18">
    <v>58</v>
    <v>a21k2w</v>
    <v>Daily</v>
    <v>46108</v>
    <v>46108</v>
    <v>0</v>
    <v>1</v>
    <v>639101664000000000,639106637149395010,0</v>
    <v>2</v>
    <v>a21k2w</v>
    <v>XNAS:QCOM</v>
    <v>542</v>
  </rv>
  <rv s="18">
    <v>58</v>
    <v>a1qlz2</v>
    <v>Daily</v>
    <v>46108</v>
    <v>46108</v>
    <v>0</v>
    <v>1</v>
    <v>639101664000000000,639106637166629415,0</v>
    <v>2</v>
    <v>a1qlz2</v>
    <v>XNYS:CVX</v>
    <v>543</v>
  </rv>
  <rv s="18">
    <v>58</v>
    <v>a1mv7w</v>
    <v>Daily</v>
    <v>46108</v>
    <v>46108</v>
    <v>0</v>
    <v>1</v>
    <v>639101664000000000,639106637082637629,0</v>
    <v>2</v>
    <v>a1mv7w</v>
    <v>XNAS:ADBE</v>
    <v>544</v>
  </rv>
  <rv s="18">
    <v>58</v>
    <v>a24kar</v>
    <v>Weekly</v>
    <v>45921</v>
    <v>46109</v>
    <v>0</v>
    <v>1</v>
    <v>639101664000000000,639107140710284692,0</v>
    <v>0</v>
    <v>a24kar</v>
    <v>XNAS:TSLA</v>
    <v>545</v>
  </rv>
  <rv s="18">
    <v>58</v>
    <v>a1wpxm</v>
    <v>Weekly</v>
    <v>45921</v>
    <v>46109</v>
    <v>0</v>
    <v>1</v>
    <v>639101664000000000,639107140701990990,0</v>
    <v>0</v>
    <v>a1wpxm</v>
    <v>XNYS:L</v>
    <v>546</v>
  </rv>
  <rv s="18">
    <v>58</v>
    <v>c4xjc7</v>
    <v>Weekly</v>
    <v>45921</v>
    <v>46109</v>
    <v>0</v>
    <v>1</v>
    <v>639101664000000000,639107140691566005,0</v>
    <v>0</v>
    <v>c4xjc7</v>
    <v>XNAS:CEG</v>
    <v>547</v>
  </rv>
  <rv s="18">
    <v>58</v>
    <v>a24bsm</v>
    <v>Weekly</v>
    <v>45921</v>
    <v>46109</v>
    <v>0</v>
    <v>1</v>
    <v>639101664000000000,639107140606501525,0</v>
    <v>0</v>
    <v>a24bsm</v>
    <v>XNYS:TMO</v>
    <v>548</v>
  </rv>
  <rv s="18">
    <v>58</v>
    <v>a21d27</v>
    <v>Daily</v>
    <v>46108</v>
    <v>46108</v>
    <v>0</v>
    <v>1</v>
    <v>639101664000000000,639106637073298670,0</v>
    <v>2</v>
    <v>a21d27</v>
    <v>XNYS:PSX</v>
    <v>549</v>
  </rv>
  <rv s="18">
    <v>58</v>
    <v>a1olgh</v>
    <v>Daily</v>
    <v>46108</v>
    <v>46108</v>
    <v>0</v>
    <v>1</v>
    <v>639101664000000000,639106637265585424,0</v>
    <v>2</v>
    <v>a1olgh</v>
    <v>XNYS:BLDR</v>
    <v>550</v>
  </rv>
  <rv s="18">
    <v>58</v>
    <v>a1u6sm</v>
    <v>Daily</v>
    <v>46108</v>
    <v>46108</v>
    <v>0</v>
    <v>1</v>
    <v>639101664000000000,639106637119924032,0</v>
    <v>2</v>
    <v>a1u6sm</v>
    <v>XNYS:GRMN</v>
    <v>551</v>
  </rv>
  <rv s="18">
    <v>58</v>
    <v>a1uu5r</v>
    <v>Daily</v>
    <v>46108</v>
    <v>46108</v>
    <v>0</v>
    <v>1</v>
    <v>639101664000000000,639106637156291716,0</v>
    <v>2</v>
    <v>a1uu5r</v>
    <v>XNYS:HPQ</v>
    <v>552</v>
  </rv>
  <rv s="18">
    <v>58</v>
    <v>a226jc</v>
    <v>Daily</v>
    <v>46108</v>
    <v>46108</v>
    <v>0</v>
    <v>1</v>
    <v>639101664000000000,639106637242317572,0</v>
    <v>2</v>
    <v>a226jc</v>
    <v>XNYS:ROK</v>
    <v>553</v>
  </rv>
  <rv s="18">
    <v>58</v>
    <v>a25f6h</v>
    <v>Weekly</v>
    <v>45921</v>
    <v>46109</v>
    <v>0</v>
    <v>1</v>
    <v>639101664000000000,639107140748329966,0</v>
    <v>0</v>
    <v>a25f6h</v>
    <v>XNYS:VMC</v>
    <v>554</v>
  </rv>
  <rv s="18">
    <v>58</v>
    <v>a1rjec</v>
    <v>Weekly</v>
    <v>45921</v>
    <v>46109</v>
    <v>0</v>
    <v>1</v>
    <v>639101664000000000,639107140606191094,0</v>
    <v>0</v>
    <v>a1rjec</v>
    <v>XNAS:EA</v>
    <v>555</v>
  </rv>
  <rv s="18">
    <v>58</v>
    <v>a1wkbh</v>
    <v>Daily</v>
    <v>46108</v>
    <v>46108</v>
    <v>0</v>
    <v>1</v>
    <v>639101664000000000,639106637268612286,0</v>
    <v>2</v>
    <v>a1wkbh</v>
    <v>XNYS:KMI</v>
    <v>556</v>
  </rv>
  <rv s="18">
    <v>58</v>
    <v>a1uqpr</v>
    <v>Daily</v>
    <v>46108</v>
    <v>46108</v>
    <v>0</v>
    <v>1</v>
    <v>639101664000000000,639106637078036361,0</v>
    <v>2</v>
    <v>a1uqpr</v>
    <v>XNYS:HLT</v>
    <v>557</v>
  </rv>
  <rv s="18">
    <v>58</v>
    <v>a1zha2</v>
    <v>Weekly</v>
    <v>45921</v>
    <v>46109</v>
    <v>0</v>
    <v>1</v>
    <v>639101664000000000,639107140779940067,0</v>
    <v>0</v>
    <v>a1zha2</v>
    <v>XNYS:PAYC</v>
    <v>558</v>
  </rv>
  <rv s="18">
    <v>58</v>
    <v>axxc6h</v>
    <v>Daily</v>
    <v>46108</v>
    <v>46108</v>
    <v>0</v>
    <v>1</v>
    <v>639101664000000000,639106637216599792,0</v>
    <v>2</v>
    <v>axxc6h</v>
    <v>XNAS:PFG</v>
    <v>559</v>
  </rv>
  <rv s="18">
    <v>58</v>
    <v>a1xdec</v>
    <v>Daily</v>
    <v>46108</v>
    <v>46108</v>
    <v>0</v>
    <v>1</v>
    <v>639101664000000000,639106637178832222,0</v>
    <v>2</v>
    <v>a1xdec</v>
    <v>XNYS:MCD</v>
    <v>560</v>
  </rv>
  <rv s="18">
    <v>58</v>
    <v>a1p55r</v>
    <v>Daily</v>
    <v>46108</v>
    <v>46108</v>
    <v>0</v>
    <v>1</v>
    <v>639101664000000000,639106637124603528,0</v>
    <v>2</v>
    <v>a1p55r</v>
    <v>XNYS:CAG</v>
    <v>561</v>
  </rv>
  <rv s="18">
    <v>61</v>
    <v>bvhx27</v>
    <v>Weekly</v>
    <v>45921</v>
    <v>46109</v>
    <v>0</v>
    <v>1</v>
    <v>639101664000000000,639107140598965549,0</v>
    <v>562</v>
    <v>bvhx27</v>
    <v>XTSX:PEAK</v>
    <v>563</v>
  </rv>
  <rv s="18">
    <v>58</v>
    <v>a1yoa2</v>
    <v>Daily</v>
    <v>46108</v>
    <v>46108</v>
    <v>0</v>
    <v>1</v>
    <v>639101664000000000,639106637095790829,0</v>
    <v>2</v>
    <v>a1yoa2</v>
    <v>XNYS:NOW</v>
    <v>564</v>
  </rv>
  <rv s="18">
    <v>58</v>
    <v>aythxm</v>
    <v>Weekly</v>
    <v>45921</v>
    <v>46109</v>
    <v>0</v>
    <v>1</v>
    <v>639101664000000000,639107140768719256,0</v>
    <v>0</v>
    <v>aythxm</v>
    <v>XNYS:VICI</v>
    <v>565</v>
  </rv>
  <rv s="18">
    <v>58</v>
    <v>a25xgh</v>
    <v>Daily</v>
    <v>46108</v>
    <v>46108</v>
    <v>0</v>
    <v>1</v>
    <v>639101664000000000,639106637261146684,0</v>
    <v>2</v>
    <v>a25xgh</v>
    <v>XNAS:WTW</v>
    <v>566</v>
  </rv>
  <rv s="18">
    <v>58</v>
    <v>a21uim</v>
    <v>Daily</v>
    <v>46108</v>
    <v>46108</v>
    <v>0</v>
    <v>1</v>
    <v>639101664000000000,639106637088275372,0</v>
    <v>2</v>
    <v>a21uim</v>
    <v>XNAS:REGN</v>
    <v>567</v>
  </rv>
  <rv s="18">
    <v>58</v>
    <v>c2mtww</v>
    <v>Daily</v>
    <v>46108</v>
    <v>46108</v>
    <v>0</v>
    <v>1</v>
    <v>639101664000000000,639106637152643416,0</v>
    <v>2</v>
    <v>c2mtww</v>
    <v>XNAS:HOOD</v>
    <v>568</v>
  </rv>
  <rv s="18">
    <v>58</v>
    <v>a1wy1h</v>
    <v>Daily</v>
    <v>46108</v>
    <v>46108</v>
    <v>0</v>
    <v>1</v>
    <v>639101664000000000,639106637239304124,0</v>
    <v>2</v>
    <v>a1wy1h</v>
    <v>XNAS:LKQ</v>
    <v>569</v>
  </rv>
  <rv s="18">
    <v>58</v>
    <v>a1nkgh</v>
    <v>Daily</v>
    <v>46108</v>
    <v>46108</v>
    <v>0</v>
    <v>1</v>
    <v>639101664000000000,639106637224019144,0</v>
    <v>2</v>
    <v>a1nkgh</v>
    <v>XNYS:AON</v>
    <v>570</v>
  </rv>
  <rv s="18">
    <v>58</v>
    <v>a1tyrw</v>
    <v>Weekly</v>
    <v>45921</v>
    <v>46109</v>
    <v>0</v>
    <v>1</v>
    <v>639101664000000000,639107140650102662,0</v>
    <v>0</v>
    <v>a1tyrw</v>
    <v>XNYS:GM</v>
    <v>571</v>
  </rv>
  <rv s="18">
    <v>58</v>
    <v>a249r7</v>
    <v>Daily</v>
    <v>46108</v>
    <v>46108</v>
    <v>0</v>
    <v>1</v>
    <v>639101664000000000,639106637074788079,0</v>
    <v>2</v>
    <v>a249r7</v>
    <v>XNYS:TJX</v>
    <v>572</v>
  </rv>
  <rv s="18">
    <v>58</v>
    <v>a1ugim</v>
    <v>Weekly</v>
    <v>45921</v>
    <v>46109</v>
    <v>0</v>
    <v>1</v>
    <v>639101664000000000,639107140665469226,0</v>
    <v>0</v>
    <v>a1ugim</v>
    <v>XNAS:HBAN</v>
    <v>573</v>
  </rv>
  <rv s="18">
    <v>58</v>
    <v>a1ypc7</v>
    <v>Weekly</v>
    <v>45921</v>
    <v>46109</v>
    <v>0</v>
    <v>1</v>
    <v>639101664000000000,639107140688744563,0</v>
    <v>0</v>
    <v>a1ypc7</v>
    <v>XNYS:NRG</v>
    <v>574</v>
  </rv>
  <rv s="18">
    <v>58</v>
    <v>a1rgxm</v>
    <v>Daily</v>
    <v>46108</v>
    <v>46108</v>
    <v>0</v>
    <v>1</v>
    <v>639101664000000000,639106637080556013,0</v>
    <v>2</v>
    <v>a1rgxm</v>
    <v>XNAS:DXCM</v>
    <v>575</v>
  </rv>
  <rv s="18">
    <v>58</v>
    <v>bu3f2w</v>
    <v>Daily</v>
    <v>46108</v>
    <v>46108</v>
    <v>0</v>
    <v>1</v>
    <v>639101664000000000,639106637178118823,0</v>
    <v>2</v>
    <v>bu3f2w</v>
    <v>XNYS:OTIS</v>
    <v>576</v>
  </rv>
  <rv s="18">
    <v>58</v>
    <v>a1u6sm</v>
    <v>Weekly</v>
    <v>45921</v>
    <v>46109</v>
    <v>0</v>
    <v>1</v>
    <v>639101664000000000,639107140781819291,0</v>
    <v>0</v>
    <v>a1u6sm</v>
    <v>XNYS:GRMN</v>
    <v>577</v>
  </rv>
  <rv s="18">
    <v>58</v>
    <v>a1s4yc</v>
    <v>Daily</v>
    <v>46108</v>
    <v>46108</v>
    <v>0</v>
    <v>1</v>
    <v>639101664000000000,639106637157138946,0</v>
    <v>2</v>
    <v>a1s4yc</v>
    <v>XNYS:EQR</v>
    <v>578</v>
  </rv>
  <rv s="18">
    <v>58</v>
    <v>a26c9c</v>
    <v>Daily</v>
    <v>46108</v>
    <v>46108</v>
    <v>0</v>
    <v>1</v>
    <v>639101664000000000,639106637236345689,0</v>
    <v>2</v>
    <v>a26c9c</v>
    <v>XNYS:XYL</v>
    <v>579</v>
  </rv>
  <rv s="18">
    <v>58</v>
    <v>a25jqh</v>
    <v>Weekly</v>
    <v>45921</v>
    <v>46109</v>
    <v>0</v>
    <v>1</v>
    <v>639101664000000000,639107140739128022,0</v>
    <v>0</v>
    <v>a25jqh</v>
    <v>XNAS:VRSN</v>
    <v>580</v>
  </rv>
  <rv s="18">
    <v>58</v>
    <v>a1tppr</v>
    <v>Daily</v>
    <v>46108</v>
    <v>46108</v>
    <v>0</v>
    <v>1</v>
    <v>639101664000000000,639106637124467255,0</v>
    <v>2</v>
    <v>a1tppr</v>
    <v>XNYS:GD</v>
    <v>581</v>
  </rv>
  <rv s="18">
    <v>58</v>
    <v>a1otrw</v>
    <v>Weekly</v>
    <v>45921</v>
    <v>46109</v>
    <v>0</v>
    <v>1</v>
    <v>639101664000000000,639107140742781968,0</v>
    <v>0</v>
    <v>a1otrw</v>
    <v>XNYS:BRK.B</v>
    <v>582</v>
  </rv>
  <rv s="18">
    <v>58</v>
    <v>a1ook2</v>
    <v>Daily</v>
    <v>46108</v>
    <v>46108</v>
    <v>0</v>
    <v>1</v>
    <v>639101664000000000,639106637243945362,0</v>
    <v>2</v>
    <v>a1ook2</v>
    <v>XNYS:BMY</v>
    <v>583</v>
  </rv>
  <rv s="18">
    <v>58</v>
    <v>a1rcp2</v>
    <v>Daily</v>
    <v>46108</v>
    <v>46108</v>
    <v>0</v>
    <v>1</v>
    <v>639101664000000000,639106637077895641,0</v>
    <v>2</v>
    <v>a1rcp2</v>
    <v>XNYS:DTE</v>
    <v>584</v>
  </rv>
  <rv s="18">
    <v>58</v>
    <v>a1zo52</v>
    <v>Weekly</v>
    <v>45921</v>
    <v>46109</v>
    <v>0</v>
    <v>1</v>
    <v>639101664000000000,639107140739408172,0</v>
    <v>0</v>
    <v>a1zo52</v>
    <v>XNYS:PEG</v>
    <v>585</v>
  </rv>
  <rv s="18">
    <v>58</v>
    <v>b19hc7</v>
    <v>Weekly</v>
    <v>45921</v>
    <v>46109</v>
    <v>0</v>
    <v>1</v>
    <v>639101664000000000,639107140678026572,0</v>
    <v>0</v>
    <v>b19hc7</v>
    <v>XNYS:VRT</v>
    <v>586</v>
  </rv>
  <rv s="18">
    <v>58</v>
    <v>a1uozr</v>
    <v>Daily</v>
    <v>46108</v>
    <v>46108</v>
    <v>0</v>
    <v>1</v>
    <v>639101664000000000,639106637270682711,0</v>
    <v>2</v>
    <v>a1uozr</v>
    <v>XNYS:HII</v>
    <v>587</v>
  </rv>
  <rv s="18">
    <v>58</v>
    <v>a1tvoc</v>
    <v>Daily</v>
    <v>46108</v>
    <v>46108</v>
    <v>0</v>
    <v>1</v>
    <v>639101664000000000,639106637193458018,0</v>
    <v>2</v>
    <v>a1tvoc</v>
    <v>XNAS:GILD</v>
    <v>588</v>
  </rv>
  <rv s="18">
    <v>58</v>
    <v>a1nanm</v>
    <v>Daily</v>
    <v>46108</v>
    <v>46108</v>
    <v>0</v>
    <v>1</v>
    <v>639101664000000000,639106637218358704,0</v>
    <v>2</v>
    <v>a1nanm</v>
    <v>XNYS:ALL</v>
    <v>589</v>
  </rv>
  <rv s="18">
    <v>58</v>
    <v>a1z8jc</v>
    <v>Daily</v>
    <v>46108</v>
    <v>46108</v>
    <v>0</v>
    <v>1</v>
    <v>639101664000000000,639106637195826432,0</v>
    <v>2</v>
    <v>a1z8jc</v>
    <v>XNAS:ON</v>
    <v>590</v>
  </rv>
  <rv s="18">
    <v>58</v>
    <v>a1zsjc</v>
    <v>Daily</v>
    <v>46108</v>
    <v>46108</v>
    <v>0</v>
    <v>1</v>
    <v>639101664000000000,639106637084133578,0</v>
    <v>2</v>
    <v>a1zsjc</v>
    <v>XNYS:PG</v>
    <v>591</v>
  </rv>
  <rv s="18">
    <v>58</v>
    <v>bo5fpr</v>
    <v>Weekly</v>
    <v>45921</v>
    <v>46109</v>
    <v>0</v>
    <v>1</v>
    <v>639101664000000000,639107140622800849,0</v>
    <v>0</v>
    <v>bo5fpr</v>
    <v>XNAS:MRNA</v>
    <v>592</v>
  </rv>
  <rv s="18">
    <v>58</v>
    <v>a269ec</v>
    <v>Weekly</v>
    <v>45921</v>
    <v>46109</v>
    <v>0</v>
    <v>1</v>
    <v>639101664000000000,639107140722974004,0</v>
    <v>0</v>
    <v>a269ec</v>
    <v>XNYS:XOM</v>
    <v>593</v>
  </rv>
  <rv s="18">
    <v>58</v>
    <v>a1yx9c</v>
    <v>Daily</v>
    <v>46108</v>
    <v>46108</v>
    <v>0</v>
    <v>1</v>
    <v>639101664000000000,639106637079377910,0</v>
    <v>2</v>
    <v>a1yx9c</v>
    <v>XNAS:NWSA</v>
    <v>594</v>
  </rv>
  <rv s="18">
    <v>58</v>
    <v>a1xam7</v>
    <v>Daily</v>
    <v>46108</v>
    <v>46108</v>
    <v>0</v>
    <v>1</v>
    <v>639101664000000000,639106637232619871,0</v>
    <v>2</v>
    <v>a1xam7</v>
    <v>XNYS:MAS</v>
    <v>595</v>
  </rv>
  <rv s="18">
    <v>58</v>
    <v>a26em7</v>
    <v>Daily</v>
    <v>46108</v>
    <v>46108</v>
    <v>0</v>
    <v>1</v>
    <v>639101664000000000,639106637147427316,0</v>
    <v>2</v>
    <v>a26em7</v>
    <v>XNYS:YUM</v>
    <v>596</v>
  </rv>
  <rv s="18">
    <v>58</v>
    <v>a1q3jc</v>
    <v>Daily</v>
    <v>46108</v>
    <v>46108</v>
    <v>0</v>
    <v>1</v>
    <v>639101664000000000,639106637234716834,0</v>
    <v>2</v>
    <v>a1q3jc</v>
    <v>XNYS:COF</v>
    <v>597</v>
  </rv>
  <rv s="18">
    <v>58</v>
    <v>a21rw7</v>
    <v>Daily</v>
    <v>46108</v>
    <v>46108</v>
    <v>0</v>
    <v>1</v>
    <v>639101664000000000,639106637143019704,0</v>
    <v>2</v>
    <v>a21rw7</v>
    <v>XNYS:RCL</v>
    <v>598</v>
  </rv>
  <rv s="18">
    <v>58</v>
    <v>a1yx6h</v>
    <v>Daily</v>
    <v>46108</v>
    <v>46108</v>
    <v>0</v>
    <v>1</v>
    <v>639101664000000000,639106637132010491,0</v>
    <v>2</v>
    <v>a1yx6h</v>
    <v>XNAS:NWS</v>
    <v>599</v>
  </rv>
  <rv s="18">
    <v>58</v>
    <v>a244dm</v>
    <v>Weekly</v>
    <v>45921</v>
    <v>46109</v>
    <v>0</v>
    <v>1</v>
    <v>639101664000000000,639107140650240486,0</v>
    <v>0</v>
    <v>a244dm</v>
    <v>XNYS:TEL</v>
    <v>600</v>
  </rv>
  <rv s="18">
    <v>58</v>
    <v>a1x8c7</v>
    <v>Daily</v>
    <v>46108</v>
    <v>46108</v>
    <v>0</v>
    <v>1</v>
    <v>639101664000000000,639106637074492585,0</v>
    <v>2</v>
    <v>a1x8c7</v>
    <v>XNYS:LYB</v>
    <v>601</v>
  </rv>
  <rv s="18">
    <v>58</v>
    <v>a1x2ur</v>
    <v>Weekly</v>
    <v>45921</v>
    <v>46109</v>
    <v>0</v>
    <v>1</v>
    <v>639101664000000000,639107140656423343,0</v>
    <v>0</v>
    <v>a1x2ur</v>
    <v>XNYS:LOW</v>
    <v>602</v>
  </rv>
  <rv s="18">
    <v>58</v>
    <v>a213c7</v>
    <v>Daily</v>
    <v>46108</v>
    <v>46108</v>
    <v>0</v>
    <v>1</v>
    <v>639101664000000000,639106637243950199,0</v>
    <v>2</v>
    <v>a213c7</v>
    <v>XNAS:PODD</v>
    <v>603</v>
  </rv>
  <rv s="18">
    <v>58</v>
    <v>a1p3ww</v>
    <v>Daily</v>
    <v>46108</v>
    <v>46108</v>
    <v>0</v>
    <v>1</v>
    <v>639101664000000000,639106637130535646,0</v>
    <v>2</v>
    <v>a1p3ww</v>
    <v>XNYS:C</v>
    <v>604</v>
  </rv>
  <rv s="18">
    <v>58</v>
    <v>a21277</v>
    <v>Daily</v>
    <v>46108</v>
    <v>46108</v>
    <v>0</v>
    <v>1</v>
    <v>639101664000000000,639106637192447822,0</v>
    <v>2</v>
    <v>a21277</v>
    <v>XNYS:PNC</v>
    <v>605</v>
  </rv>
  <rv s="18">
    <v>58</v>
    <v>a1n7pr</v>
    <v>Daily</v>
    <v>46108</v>
    <v>46108</v>
    <v>0</v>
    <v>1</v>
    <v>639101664000000000,639106637197511756,0</v>
    <v>2</v>
    <v>a1n7pr</v>
    <v>XNYS:AJG</v>
    <v>606</v>
  </rv>
  <rv s="18">
    <v>58</v>
    <v>a1uyk2</v>
    <v>Weekly</v>
    <v>45921</v>
    <v>46109</v>
    <v>0</v>
    <v>1</v>
    <v>639101664000000000,639107140774955655,0</v>
    <v>0</v>
    <v>a1uyk2</v>
    <v>XNYS:HUBB</v>
    <v>607</v>
  </rv>
  <rv s="18">
    <v>58</v>
    <v>a25jnm</v>
    <v>Daily</v>
    <v>46108</v>
    <v>46108</v>
    <v>0</v>
    <v>1</v>
    <v>639101664000000000,639106637201976694,0</v>
    <v>2</v>
    <v>a25jnm</v>
    <v>XNAS:VRSK</v>
    <v>608</v>
  </rv>
  <rv s="18">
    <v>58</v>
    <v>a1saoc</v>
    <v>Daily</v>
    <v>46108</v>
    <v>46108</v>
    <v>0</v>
    <v>1</v>
    <v>639101664000000000,639106637127528875,0</v>
    <v>2</v>
    <v>a1saoc</v>
    <v>XNYS:ETR</v>
    <v>609</v>
  </rv>
  <rv s="18">
    <v>58</v>
    <v>a1yq5r</v>
    <v>Daily</v>
    <v>46108</v>
    <v>46108</v>
    <v>0</v>
    <v>1</v>
    <v>639101664000000000,639106637264758454,0</v>
    <v>2</v>
    <v>a1yq5r</v>
    <v>XNYS:NSC</v>
    <v>610</v>
  </rv>
  <rv s="18">
    <v>58</v>
    <v>a1squ2</v>
    <v>Weekly</v>
    <v>45921</v>
    <v>46109</v>
    <v>0</v>
    <v>1</v>
    <v>639101664000000000,639107140703864223,0</v>
    <v>0</v>
    <v>a1squ2</v>
    <v>XNYS:FE</v>
    <v>611</v>
  </rv>
  <rv s="18">
    <v>58</v>
    <v>a1ufm7</v>
    <v>Daily</v>
    <v>46108</v>
    <v>46108</v>
    <v>0</v>
    <v>1</v>
    <v>639101664000000000,639106637086783603,0</v>
    <v>2</v>
    <v>a1ufm7</v>
    <v>XNYS:HAL</v>
    <v>612</v>
  </rv>
  <rv s="18">
    <v>58</v>
    <v>a1qc1h</v>
    <v>Weekly</v>
    <v>45921</v>
    <v>46109</v>
    <v>0</v>
    <v>1</v>
    <v>639101664000000000,639107140692589739,0</v>
    <v>0</v>
    <v>a1qc1h</v>
    <v>XNYS:CRM</v>
    <v>613</v>
  </rv>
  <rv s="18">
    <v>58</v>
    <v>a214h7</v>
    <v>Daily</v>
    <v>46108</v>
    <v>46108</v>
    <v>0</v>
    <v>1</v>
    <v>639101664000000000,639106637149315836,0</v>
    <v>2</v>
    <v>a214h7</v>
    <v>XNYS:PPG</v>
    <v>614</v>
  </rv>
  <rv s="18">
    <v>58</v>
    <v>a23v7w</v>
    <v>Daily</v>
    <v>46108</v>
    <v>46108</v>
    <v>0</v>
    <v>1</v>
    <v>639101664000000000,639106637170237679,0</v>
    <v>2</v>
    <v>a23v7w</v>
    <v>XNYS:SYF</v>
    <v>615</v>
  </rv>
  <rv s="18">
    <v>58</v>
    <v>a24gur</v>
    <v>Daily</v>
    <v>46108</v>
    <v>46108</v>
    <v>0</v>
    <v>1</v>
    <v>639101664000000000,639106637169818061,0</v>
    <v>2</v>
    <v>a24gur</v>
    <v>XNYS:TRGP</v>
    <v>616</v>
  </rv>
  <rv s="18">
    <v>58</v>
    <v>a1xoc7</v>
    <v>Daily</v>
    <v>46108</v>
    <v>46108</v>
    <v>0</v>
    <v>1</v>
    <v>639101664000000000,639106637232848846,0</v>
    <v>2</v>
    <v>a1xoc7</v>
    <v>XNYS:MKC</v>
    <v>617</v>
  </rv>
  <rv s="18">
    <v>58</v>
    <v>a1nyw7</v>
    <v>Daily</v>
    <v>46108</v>
    <v>46108</v>
    <v>0</v>
    <v>1</v>
    <v>639101664000000000,639106637080856380,0</v>
    <v>2</v>
    <v>a1nyw7</v>
    <v>XNYS:AVB</v>
    <v>618</v>
  </rv>
  <rv s="18">
    <v>58</v>
    <v>a1u3rw</v>
    <v>Daily</v>
    <v>46108</v>
    <v>46108</v>
    <v>0</v>
    <v>1</v>
    <v>639101664000000000,639106637175395959,0</v>
    <v>2</v>
    <v>a1u3rw</v>
    <v>XNAS:GOOGL</v>
    <v>619</v>
  </rv>
  <rv s="18">
    <v>58</v>
    <v>a21icw</v>
    <v>Daily</v>
    <v>46108</v>
    <v>46108</v>
    <v>0</v>
    <v>1</v>
    <v>639101664000000000,639106637096592271,0</v>
    <v>2</v>
    <v>a21icw</v>
    <v>XNAS:PYPL</v>
    <v>620</v>
  </rv>
  <rv s="18">
    <v>58</v>
    <v>a1nihw</v>
    <v>Daily</v>
    <v>46108</v>
    <v>46108</v>
    <v>0</v>
    <v>1</v>
    <v>639101664000000000,639106637179607450,0</v>
    <v>2</v>
    <v>a1nihw</v>
    <v>XNYS:ANET</v>
    <v>621</v>
  </rv>
  <rv s="18">
    <v>58</v>
    <v>a1mxkr</v>
    <v>Weekly</v>
    <v>45921</v>
    <v>46109</v>
    <v>0</v>
    <v>1</v>
    <v>639101664000000000,639107140676121795,0</v>
    <v>0</v>
    <v>a1mxkr</v>
    <v>XNYS:AEE</v>
    <v>622</v>
  </rv>
  <rv s="18">
    <v>58</v>
    <v>a1qeh7</v>
    <v>Daily</v>
    <v>46108</v>
    <v>46108</v>
    <v>0</v>
    <v>1</v>
    <v>639101664000000000,639106637144650983,0</v>
    <v>2</v>
    <v>a1qeh7</v>
    <v>XNAS:CSGP</v>
    <v>623</v>
  </rv>
  <rv s="18">
    <v>58</v>
    <v>bwvem7</v>
    <v>Daily</v>
    <v>46108</v>
    <v>46108</v>
    <v>0</v>
    <v>1</v>
    <v>639101664000000000,639106637232724590,0</v>
    <v>2</v>
    <v>bwvem7</v>
    <v>XNAS:ABNB</v>
    <v>624</v>
  </rv>
  <rv s="18">
    <v>58</v>
    <v>a1vmtc</v>
    <v>Daily</v>
    <v>46108</v>
    <v>46108</v>
    <v>0</v>
    <v>1</v>
    <v>639101664000000000,639106637127534946,0</v>
    <v>2</v>
    <v>a1vmtc</v>
    <v>XNAS:INTU</v>
    <v>625</v>
  </rv>
  <rv s="18">
    <v>58</v>
    <v>a1wt7w</v>
    <v>Daily</v>
    <v>46108</v>
    <v>46108</v>
    <v>0</v>
    <v>1</v>
    <v>639101664000000000,639106637086780603,0</v>
    <v>2</v>
    <v>a1wt7w</v>
    <v>XNYS:LDOS</v>
    <v>626</v>
  </rv>
  <rv s="18">
    <v>58</v>
    <v>a21k2w</v>
    <v>Weekly</v>
    <v>45921</v>
    <v>46109</v>
    <v>0</v>
    <v>1</v>
    <v>639101664000000000,639107140665240219,0</v>
    <v>0</v>
    <v>a21k2w</v>
    <v>XNAS:QCOM</v>
    <v>627</v>
  </rv>
  <rv s="18">
    <v>58</v>
    <v>c4xjc7</v>
    <v>Daily</v>
    <v>46108</v>
    <v>46108</v>
    <v>0</v>
    <v>1</v>
    <v>639101664000000000,639106637283444127,0</v>
    <v>2</v>
    <v>c4xjc7</v>
    <v>XNAS:CEG</v>
    <v>628</v>
  </rv>
  <rv s="18">
    <v>58</v>
    <v>az6g8m</v>
    <v>Weekly</v>
    <v>45921</v>
    <v>46109</v>
    <v>0</v>
    <v>1</v>
    <v>639101664000000000,639107140683417409,0</v>
    <v>0</v>
    <v>az6g8m</v>
    <v>XNAS:BKNG</v>
    <v>629</v>
  </rv>
  <rv s="18">
    <v>58</v>
    <v>a1vtoc</v>
    <v>Daily</v>
    <v>46108</v>
    <v>46108</v>
    <v>0</v>
    <v>1</v>
    <v>639101664000000000,639106637258694586,0</v>
    <v>2</v>
    <v>a1vtoc</v>
    <v>XNYS:IT</v>
    <v>630</v>
  </rv>
  <rv s="18">
    <v>58</v>
    <v>a26hyc</v>
    <v>Daily</v>
    <v>46108</v>
    <v>46108</v>
    <v>0</v>
    <v>1</v>
    <v>639101664000000000,639106637133532593,0</v>
    <v>2</v>
    <v>a26hyc</v>
    <v>XNYS:ZTS</v>
    <v>631</v>
  </rv>
  <rv s="18">
    <v>58</v>
    <v>a1x6m7</v>
    <v>Weekly</v>
    <v>45921</v>
    <v>46109</v>
    <v>0</v>
    <v>1</v>
    <v>639101664000000000,639107140619305800,0</v>
    <v>0</v>
    <v>a1x6m7</v>
    <v>XNAS:LULU</v>
    <v>632</v>
  </rv>
  <rv s="18">
    <v>58</v>
    <v>a1y2bh</v>
    <v>Daily</v>
    <v>46108</v>
    <v>46108</v>
    <v>0</v>
    <v>1</v>
    <v>639101664000000000,639106637132008754,0</v>
    <v>2</v>
    <v>a1y2bh</v>
    <v>XNAS:MTCH</v>
    <v>633</v>
  </rv>
  <rv s="18">
    <v>58</v>
    <v>a223r7</v>
    <v>Daily</v>
    <v>46108</v>
    <v>46108</v>
    <v>0</v>
    <v>1</v>
    <v>639101664000000000,639106637174813181,0</v>
    <v>2</v>
    <v>a223r7</v>
    <v>XNYS:RMD</v>
    <v>634</v>
  </rv>
  <rv s="18">
    <v>58</v>
    <v>a1ohur</v>
    <v>Weekly</v>
    <v>45921</v>
    <v>46109</v>
    <v>0</v>
    <v>1</v>
    <v>639101664000000000,639107140608084575,0</v>
    <v>0</v>
    <v>a1ohur</v>
    <v>XNAS:BIIB</v>
    <v>635</v>
  </rv>
  <rv s="18">
    <v>58</v>
    <v>a23vdm</v>
    <v>Weekly</v>
    <v>45921</v>
    <v>46109</v>
    <v>0</v>
    <v>1</v>
    <v>639101664000000000,639107140630462974,0</v>
    <v>0</v>
    <v>a23vdm</v>
    <v>XNYS:SYK</v>
    <v>636</v>
  </rv>
  <rv s="18">
    <v>58</v>
    <v>a1n7yc</v>
    <v>Weekly</v>
    <v>45921</v>
    <v>46109</v>
    <v>0</v>
    <v>1</v>
    <v>639101664000000000,639107140754077328,0</v>
    <v>0</v>
    <v>a1n7yc</v>
    <v>XNAS:AKAM</v>
    <v>637</v>
  </rv>
  <rv s="18">
    <v>58</v>
    <v>a25l52</v>
    <v>Weekly</v>
    <v>45921</v>
    <v>46109</v>
    <v>0</v>
    <v>1</v>
    <v>639101664000000000,639107140743020980,0</v>
    <v>0</v>
    <v>a25l52</v>
    <v>XNYS:VST</v>
    <v>638</v>
  </rv>
  <rv s="18">
    <v>58</v>
    <v>axyhnm</v>
    <v>Daily</v>
    <v>46108</v>
    <v>46108</v>
    <v>0</v>
    <v>1</v>
    <v>639101664000000000,639106637255288060,0</v>
    <v>2</v>
    <v>axyhnm</v>
    <v>XNAS:PEP</v>
    <v>639</v>
  </rv>
  <rv s="18">
    <v>58</v>
    <v>c8bc4c</v>
    <v>Weekly</v>
    <v>45921</v>
    <v>46109</v>
    <v>0</v>
    <v>1</v>
    <v>639101664000000000,639107140630280667,0</v>
    <v>0</v>
    <v>c8bc4c</v>
    <v>XNAS:GEHC</v>
    <v>640</v>
  </rv>
  <rv s="18">
    <v>58</v>
    <v>bq89dm</v>
    <v>Weekly</v>
    <v>45921</v>
    <v>46109</v>
    <v>0</v>
    <v>1</v>
    <v>639101664000000000,639107140654965377,0</v>
    <v>0</v>
    <v>bq89dm</v>
    <v>XNYS:CTVA</v>
    <v>641</v>
  </rv>
  <rv s="18">
    <v>58</v>
    <v>a1yrar</v>
    <v>Daily</v>
    <v>46108</v>
    <v>46108</v>
    <v>0</v>
    <v>1</v>
    <v>639101664000000000,639106637172914433,0</v>
    <v>2</v>
    <v>a1yrar</v>
    <v>XNAS:NTAP</v>
    <v>642</v>
  </rv>
  <rv s="18">
    <v>58</v>
    <v>bo5fpr</v>
    <v>Daily</v>
    <v>46108</v>
    <v>46108</v>
    <v>0</v>
    <v>1</v>
    <v>639101664000000000,639106637074264408,0</v>
    <v>2</v>
    <v>bo5fpr</v>
    <v>XNAS:MRNA</v>
    <v>643</v>
  </rv>
  <rv s="18">
    <v>58</v>
    <v>a1oeww</v>
    <v>Daily</v>
    <v>46108</v>
    <v>46108</v>
    <v>0</v>
    <v>1</v>
    <v>639101664000000000,639106637268656956,0</v>
    <v>2</v>
    <v>a1oeww</v>
    <v>XNYS:BG</v>
    <v>644</v>
  </rv>
  <rv s="18">
    <v>58</v>
    <v>a1wzw7</v>
    <v>Daily</v>
    <v>46108</v>
    <v>46108</v>
    <v>0</v>
    <v>1</v>
    <v>639101664000000000,639106637258227573,0</v>
    <v>2</v>
    <v>a1wzw7</v>
    <v>XNYS:LMT</v>
    <v>645</v>
  </rv>
  <rv s="18">
    <v>58</v>
    <v>a1x8c7</v>
    <v>Weekly</v>
    <v>45921</v>
    <v>46109</v>
    <v>0</v>
    <v>1</v>
    <v>639101664000000000,639107140644264822,0</v>
    <v>0</v>
    <v>a1x8c7</v>
    <v>XNYS:LYB</v>
    <v>646</v>
  </rv>
  <rv s="18">
    <v>58</v>
    <v>axxudm</v>
    <v>Weekly</v>
    <v>45921</v>
    <v>46109</v>
    <v>0</v>
    <v>1</v>
    <v>639101664000000000,639107140725121622,0</v>
    <v>0</v>
    <v>axxudm</v>
    <v>XNYS:NCLH</v>
    <v>647</v>
  </rv>
  <rv s="18">
    <v>58</v>
    <v>a1vcgh</v>
    <v>Weekly</v>
    <v>45921</v>
    <v>46109</v>
    <v>0</v>
    <v>1</v>
    <v>639101664000000000,639107140612398091,0</v>
    <v>0</v>
    <v>a1vcgh</v>
    <v>XNYS:IFF</v>
    <v>648</v>
  </rv>
  <rv s="18">
    <v>58</v>
    <v>a239hw</v>
    <v>Weekly</v>
    <v>45921</v>
    <v>46109</v>
    <v>0</v>
    <v>1</v>
    <v>639101664000000000,639107140671724214,0</v>
    <v>0</v>
    <v>a239hw</v>
    <v>XNAS:SNPS</v>
    <v>649</v>
  </rv>
  <rv s="18">
    <v>58</v>
    <v>a23tw7</v>
    <v>Daily</v>
    <v>46108</v>
    <v>46108</v>
    <v>0</v>
    <v>1</v>
    <v>639101664000000000,639106637193747989,0</v>
    <v>2</v>
    <v>a23tw7</v>
    <v>XNYS:SWK</v>
    <v>650</v>
  </rv>
  <rv s="18">
    <v>58</v>
    <v>a1qhz2</v>
    <v>Daily</v>
    <v>46108</v>
    <v>46108</v>
    <v>0</v>
    <v>1</v>
    <v>639101664000000000,639106637251217854,0</v>
    <v>2</v>
    <v>a1qhz2</v>
    <v>XNAS:CTSH</v>
    <v>651</v>
  </rv>
  <rv s="18">
    <v>58</v>
    <v>a1sx27</v>
    <v>Daily</v>
    <v>46108</v>
    <v>46108</v>
    <v>0</v>
    <v>1</v>
    <v>639101664000000000,639106637199879690,0</v>
    <v>2</v>
    <v>a1sx27</v>
    <v>XNAS:FISV</v>
    <v>652</v>
  </rv>
  <rv s="18">
    <v>58</v>
    <v>a222gh</v>
    <v>Daily</v>
    <v>46108</v>
    <v>46108</v>
    <v>0</v>
    <v>1</v>
    <v>639101664000000000,639106637174007923,0</v>
    <v>2</v>
    <v>a222gh</v>
    <v>XNYS:RL</v>
    <v>653</v>
  </rv>
  <rv s="18">
    <v>58</v>
    <v>a1mybh</v>
    <v>Daily</v>
    <v>46108</v>
    <v>46108</v>
    <v>0</v>
    <v>1</v>
    <v>639101664000000000,639106637276909923,0</v>
    <v>2</v>
    <v>a1mybh</v>
    <v>XNAS:AEP</v>
    <v>654</v>
  </rv>
  <rv s="18">
    <v>58</v>
    <v>a1oeww</v>
    <v>Weekly</v>
    <v>45921</v>
    <v>46109</v>
    <v>0</v>
    <v>1</v>
    <v>639101664000000000,639107140770790482,0</v>
    <v>0</v>
    <v>a1oeww</v>
    <v>XNYS:BG</v>
    <v>655</v>
  </rv>
  <rv s="18">
    <v>58</v>
    <v>a1uj52</v>
    <v>Daily</v>
    <v>46108</v>
    <v>46108</v>
    <v>0</v>
    <v>1</v>
    <v>639101664000000000,639106637287217396,0</v>
    <v>2</v>
    <v>a1uj52</v>
    <v>XNYS:HD</v>
    <v>656</v>
  </rv>
  <rv s="18">
    <v>58</v>
    <v>a1mwoc</v>
    <v>Daily</v>
    <v>46108</v>
    <v>46108</v>
    <v>0</v>
    <v>1</v>
    <v>639101664000000000,639106637119911024,0</v>
    <v>2</v>
    <v>a1mwoc</v>
    <v>XNAS:ADSK</v>
    <v>657</v>
  </rv>
  <rv s="18">
    <v>58</v>
    <v>a1s5xm</v>
    <v>Daily</v>
    <v>46108</v>
    <v>46108</v>
    <v>0</v>
    <v>1</v>
    <v>639101664000000000,639106637264678800,0</v>
    <v>2</v>
    <v>a1s5xm</v>
    <v>XNAS:CZR</v>
    <v>658</v>
  </rv>
  <rv s="18">
    <v>58</v>
    <v>a1pidm</v>
    <v>Weekly</v>
    <v>45921</v>
    <v>46109</v>
    <v>0</v>
    <v>1</v>
    <v>639101664000000000,639107140743548664,0</v>
    <v>0</v>
    <v>a1pidm</v>
    <v>XNYS:CF</v>
    <v>659</v>
  </rv>
  <rv s="18">
    <v>58</v>
    <v>b17tur</v>
    <v>Daily</v>
    <v>46108</v>
    <v>46108</v>
    <v>0</v>
    <v>1</v>
    <v>639101664000000000,639106637132044192,0</v>
    <v>2</v>
    <v>b17tur</v>
    <v>XNAS:EVRG</v>
    <v>660</v>
  </rv>
  <rv s="18">
    <v>58</v>
    <v>a1ojc7</v>
    <v>Daily</v>
    <v>46108</v>
    <v>46108</v>
    <v>0</v>
    <v>1</v>
    <v>639101664000000000,639106637243876188,0</v>
    <v>2</v>
    <v>a1ojc7</v>
    <v>XNYS:BK</v>
    <v>661</v>
  </rv>
  <rv s="18">
    <v>58</v>
    <v>a1uhnm</v>
    <v>Daily</v>
    <v>46108</v>
    <v>46108</v>
    <v>0</v>
    <v>1</v>
    <v>639101664000000000,639106637105381429,0</v>
    <v>2</v>
    <v>a1uhnm</v>
    <v>XNYS:HCA</v>
    <v>662</v>
  </rv>
  <rv s="18">
    <v>58</v>
    <v>a1pxec</v>
    <v>Weekly</v>
    <v>45921</v>
    <v>46109</v>
    <v>0</v>
    <v>1</v>
    <v>639101664000000000,639107140719645667,0</v>
    <v>0</v>
    <v>a1pxec</v>
    <v>XNYS:CMI</v>
    <v>663</v>
  </rv>
  <rv s="18">
    <v>58</v>
    <v>a1xear</v>
    <v>Weekly</v>
    <v>45921</v>
    <v>46109</v>
    <v>0</v>
    <v>1</v>
    <v>639101664000000000,639107140603096978,0</v>
    <v>0</v>
    <v>a1xear</v>
    <v>XNYS:MCO</v>
    <v>664</v>
  </rv>
  <rv s="18">
    <v>58</v>
    <v>a1qpw7</v>
    <v>Weekly</v>
    <v>45921</v>
    <v>46109</v>
    <v>0</v>
    <v>1</v>
    <v>639101664000000000,639107140757922295,0</v>
    <v>0</v>
    <v>a1qpw7</v>
    <v>XNYS:D</v>
    <v>665</v>
  </rv>
  <rv s="18">
    <v>58</v>
    <v>a1vrec</v>
    <v>Weekly</v>
    <v>45921</v>
    <v>46109</v>
    <v>0</v>
    <v>1</v>
    <v>639101664000000000,639107140728964744,0</v>
    <v>0</v>
    <v>a1vrec</v>
    <v>XNYS:IRM</v>
    <v>666</v>
  </rv>
  <rv s="18">
    <v>58</v>
    <v>a2w5cw</v>
    <v>Weekly</v>
    <v>45921</v>
    <v>46109</v>
    <v>0</v>
    <v>1</v>
    <v>639101664000000000,639107140737884572,0</v>
    <v>0</v>
    <v>a2w5cw</v>
    <v>XNYS:SW</v>
    <v>667</v>
  </rv>
  <rv s="18">
    <v>58</v>
    <v>a1nec7</v>
    <v>Weekly</v>
    <v>45921</v>
    <v>46109</v>
    <v>0</v>
    <v>1</v>
    <v>639101664000000000,639107140640441349,0</v>
    <v>0</v>
    <v>a1nec7</v>
    <v>XNAS:AMGN</v>
    <v>668</v>
  </rv>
  <rv s="18">
    <v>58</v>
    <v>a1nqw7</v>
    <v>Daily</v>
    <v>46108</v>
    <v>46108</v>
    <v>0</v>
    <v>1</v>
    <v>639101664000000000,639106637154811295,0</v>
    <v>2</v>
    <v>a1nqw7</v>
    <v>XNYS:HWM</v>
    <v>669</v>
  </rv>
  <rv s="18">
    <v>58</v>
    <v>bq8rqh</v>
    <v>Weekly</v>
    <v>45921</v>
    <v>46109</v>
    <v>0</v>
    <v>1</v>
    <v>639101664000000000,639107140601870053,0</v>
    <v>0</v>
    <v>bq8rqh</v>
    <v>XNAS:CRWD</v>
    <v>670</v>
  </rv>
  <rv s="18">
    <v>58</v>
    <v>a24p1h</v>
    <v>Daily</v>
    <v>46108</v>
    <v>46108</v>
    <v>0</v>
    <v>1</v>
    <v>639101664000000000,639106637106921972,0</v>
    <v>2</v>
    <v>a24p1h</v>
    <v>XNAS:TXN</v>
    <v>671</v>
  </rv>
  <rv s="18">
    <v>58</v>
    <v>a1wj9c</v>
    <v>Daily</v>
    <v>46108</v>
    <v>46108</v>
    <v>0</v>
    <v>1</v>
    <v>639101664000000000,639106637146062524,0</v>
    <v>2</v>
    <v>a1wj9c</v>
    <v>XNYS:KKR</v>
    <v>672</v>
  </rv>
  <rv s="18">
    <v>58</v>
    <v>a1wljc</v>
    <v>Daily</v>
    <v>46108</v>
    <v>46108</v>
    <v>0</v>
    <v>1</v>
    <v>639101664000000000,639106637166298690,0</v>
    <v>2</v>
    <v>a1wljc</v>
    <v>XNYS:KO</v>
    <v>673</v>
  </rv>
  <rv s="18">
    <v>58</v>
    <v>a1pap2</v>
    <v>Daily</v>
    <v>46108</v>
    <v>46108</v>
    <v>0</v>
    <v>1</v>
    <v>639101664000000000,639106637107207019,0</v>
    <v>2</v>
    <v>a1pap2</v>
    <v>BATS:CBOE</v>
    <v>674</v>
  </rv>
  <rv s="18">
    <v>58</v>
    <v>a1xonm</v>
    <v>Daily</v>
    <v>46108</v>
    <v>46108</v>
    <v>0</v>
    <v>1</v>
    <v>639101664000000000,639106637142800517,0</v>
    <v>2</v>
    <v>a1xonm</v>
    <v>XNAS:MKTX</v>
    <v>675</v>
  </rv>
  <rv s="18">
    <v>58</v>
    <v>a24qnm</v>
    <v>Daily</v>
    <v>46108</v>
    <v>46108</v>
    <v>0</v>
    <v>1</v>
    <v>639101664000000000,639106637106901860,0</v>
    <v>2</v>
    <v>a24qnm</v>
    <v>XNAS:UAL</v>
    <v>676</v>
  </rv>
  <rv s="18">
    <v>58</v>
    <v>a1p8tc</v>
    <v>Daily</v>
    <v>46108</v>
    <v>46108</v>
    <v>0</v>
    <v>1</v>
    <v>639101664000000000,639106637234106923,0</v>
    <v>2</v>
    <v>a1p8tc</v>
    <v>XNYS:CB</v>
    <v>677</v>
  </rv>
  <rv s="18">
    <v>58</v>
    <v>a1r5fr</v>
    <v>Daily</v>
    <v>46108</v>
    <v>46108</v>
    <v>0</v>
    <v>1</v>
    <v>639101664000000000,639106637145982878,0</v>
    <v>2</v>
    <v>a1r5fr</v>
    <v>XNYS:DLR</v>
    <v>678</v>
  </rv>
  <rv s="18">
    <v>58</v>
    <v>a1safr</v>
    <v>Daily</v>
    <v>46108</v>
    <v>46108</v>
    <v>0</v>
    <v>1</v>
    <v>639101664000000000,639106637144290315,0</v>
    <v>2</v>
    <v>a1safr</v>
    <v>XNYS:ETN</v>
    <v>679</v>
  </rv>
  <rv s="18">
    <v>58</v>
    <v>a1y2ec</v>
    <v>Daily</v>
    <v>46108</v>
    <v>46108</v>
    <v>0</v>
    <v>1</v>
    <v>639101664000000000,639106637235051445,0</v>
    <v>2</v>
    <v>a1y2ec</v>
    <v>XNYS:MTD</v>
    <v>680</v>
  </rv>
  <rv s="18">
    <v>58</v>
    <v>a1x8nm</v>
    <v>Weekly</v>
    <v>45921</v>
    <v>46109</v>
    <v>0</v>
    <v>1</v>
    <v>639101664000000000,639107140745857372,0</v>
    <v>0</v>
    <v>a1x8nm</v>
    <v>XNYS:LYV</v>
    <v>681</v>
  </rv>
  <rv s="18">
    <v>58</v>
    <v>a1tym7</v>
    <v>Daily</v>
    <v>46108</v>
    <v>46108</v>
    <v>0</v>
    <v>1</v>
    <v>639101664000000000,639106637122894164,0</v>
    <v>2</v>
    <v>a1tym7</v>
    <v>XNYS:GLW</v>
    <v>682</v>
  </rv>
  <rv s="18">
    <v>58</v>
    <v>a1x2ur</v>
    <v>Daily</v>
    <v>46108</v>
    <v>46108</v>
    <v>0</v>
    <v>1</v>
    <v>639101664000000000,639106637082061085,0</v>
    <v>2</v>
    <v>a1x2ur</v>
    <v>XNYS:LOW</v>
    <v>683</v>
  </rv>
  <rv s="18">
    <v>58</v>
    <v>a1xdvh</v>
    <v>Weekly</v>
    <v>45921</v>
    <v>46109</v>
    <v>0</v>
    <v>1</v>
    <v>639101664000000000,639107140703385926,0</v>
    <v>0</v>
    <v>a1xdvh</v>
    <v>XNAS:MCHP</v>
    <v>684</v>
  </rv>
  <rv s="18">
    <v>58</v>
    <v>a1ysr7</v>
    <v>Weekly</v>
    <v>45921</v>
    <v>46109</v>
    <v>0</v>
    <v>1</v>
    <v>639101664000000000,639107140681847248,0</v>
    <v>0</v>
    <v>a1ysr7</v>
    <v>XNAS:NTRS</v>
    <v>685</v>
  </rv>
  <rv s="18">
    <v>58</v>
    <v>a1qc1h</v>
    <v>Daily</v>
    <v>46108</v>
    <v>46108</v>
    <v>0</v>
    <v>1</v>
    <v>639101664000000000,639106637147499989,0</v>
    <v>2</v>
    <v>a1qc1h</v>
    <v>XNYS:CRM</v>
    <v>686</v>
  </rv>
  <rv s="18">
    <v>58</v>
    <v>a1z7mw</v>
    <v>Daily</v>
    <v>46108</v>
    <v>46108</v>
    <v>0</v>
    <v>1</v>
    <v>639101664000000000,639106637212256166,0</v>
    <v>2</v>
    <v>a1z7mw</v>
    <v>XNYS:OMC</v>
    <v>687</v>
  </rv>
  <rv s="18">
    <v>58</v>
    <v>a1mpqh</v>
    <v>Daily</v>
    <v>46108</v>
    <v>46108</v>
    <v>0</v>
    <v>1</v>
    <v>639101664000000000,639106637096239117,0</v>
    <v>2</v>
    <v>a1mpqh</v>
    <v>XNYS:ABBV</v>
    <v>688</v>
  </rv>
  <rv s="18">
    <v>58</v>
    <v>a1vv8m</v>
    <v>Weekly</v>
    <v>45921</v>
    <v>46109</v>
    <v>0</v>
    <v>1</v>
    <v>639101664000000000,639107140607767255,0</v>
    <v>0</v>
    <v>a1vv8m</v>
    <v>XNYS:ITW</v>
    <v>689</v>
  </rv>
  <rv s="18">
    <v>58</v>
    <v>a1vt77</v>
    <v>Daily</v>
    <v>46108</v>
    <v>46108</v>
    <v>0</v>
    <v>1</v>
    <v>639101664000000000,639106637151135044,0</v>
    <v>2</v>
    <v>a1vt77</v>
    <v>XNAS:ISRG</v>
    <v>690</v>
  </rv>
  <rv s="18">
    <v>58</v>
    <v>a1mybh</v>
    <v>Weekly</v>
    <v>45921</v>
    <v>46109</v>
    <v>0</v>
    <v>1</v>
    <v>639101664000000000,639107140708046567,0</v>
    <v>0</v>
    <v>a1mybh</v>
    <v>XNAS:AEP</v>
    <v>691</v>
  </rv>
  <rv s="18">
    <v>58</v>
    <v>a24xww</v>
    <v>Daily</v>
    <v>46108</v>
    <v>46108</v>
    <v>0</v>
    <v>1</v>
    <v>639101664000000000,639106637108099161,0</v>
    <v>2</v>
    <v>a24xww</v>
    <v>XNYS:UNP</v>
    <v>692</v>
  </rv>
  <rv s="18">
    <v>58</v>
    <v>a25m77</v>
    <v>Daily</v>
    <v>46108</v>
    <v>46108</v>
    <v>0</v>
    <v>1</v>
    <v>639101664000000000,639106637180258966,0</v>
    <v>2</v>
    <v>a25m77</v>
    <v>XNYS:VTR</v>
    <v>693</v>
  </rv>
  <rv s="18">
    <v>58</v>
    <v>a1mou2</v>
    <v>Daily</v>
    <v>46108</v>
    <v>46108</v>
    <v>0</v>
    <v>1</v>
    <v>639101664000000000,639106637209262517,0</v>
    <v>2</v>
    <v>a1mou2</v>
    <v>XNAS:AAPL</v>
    <v>694</v>
  </rv>
  <rv s="18">
    <v>58</v>
    <v>ay4lu2</v>
    <v>Daily</v>
    <v>46108</v>
    <v>46108</v>
    <v>0</v>
    <v>1</v>
    <v>639101664000000000,639106637288106022,0</v>
    <v>2</v>
    <v>ay4lu2</v>
    <v>XNAS:XEL</v>
    <v>695</v>
  </rv>
  <rv s="18">
    <v>58</v>
    <v>a1qlnm</v>
    <v>Daily</v>
    <v>46108</v>
    <v>46108</v>
    <v>0</v>
    <v>1</v>
    <v>639101664000000000,639106637232052106,0</v>
    <v>2</v>
    <v>a1qlnm</v>
    <v>XNYS:CVS</v>
    <v>696</v>
  </rv>
  <rv s="18">
    <v>58</v>
    <v>a1uou2</v>
    <v>Daily</v>
    <v>46108</v>
    <v>46108</v>
    <v>0</v>
    <v>1</v>
    <v>639101664000000000,639106637075999313,0</v>
    <v>2</v>
    <v>a1uou2</v>
    <v>XNYS:HIG</v>
    <v>697</v>
  </rv>
  <rv s="18">
    <v>58</v>
    <v>a24fmw</v>
    <v>Weekly</v>
    <v>45921</v>
    <v>46109</v>
    <v>0</v>
    <v>1</v>
    <v>639101664000000000,639107140696565639,0</v>
    <v>0</v>
    <v>a24fmw</v>
    <v>XNYS:TPR</v>
    <v>698</v>
  </rv>
  <rv s="18">
    <v>58</v>
    <v>a1yy2w</v>
    <v>Weekly</v>
    <v>45921</v>
    <v>46109</v>
    <v>0</v>
    <v>1</v>
    <v>639101664000000000,639107140606525189,0</v>
    <v>0</v>
    <v>a1yy2w</v>
    <v>XNAS:NXPI</v>
    <v>699</v>
  </rv>
  <rv s="18">
    <v>58</v>
    <v>a2139c</v>
    <v>Daily</v>
    <v>46108</v>
    <v>46108</v>
    <v>0</v>
    <v>1</v>
    <v>639101664000000000,639106637196022823,0</v>
    <v>2</v>
    <v>a2139c</v>
    <v>XNYS:PNW</v>
    <v>700</v>
  </rv>
  <rv s="18">
    <v>58</v>
    <v>a1v6hw</v>
    <v>Daily</v>
    <v>46108</v>
    <v>46108</v>
    <v>0</v>
    <v>1</v>
    <v>639101664000000000,639106637189171376,0</v>
    <v>2</v>
    <v>a1v6hw</v>
    <v>XNAS:IBKR</v>
    <v>701</v>
  </rv>
  <rv s="18">
    <v>58</v>
    <v>a1rxu2</v>
    <v>Daily</v>
    <v>46108</v>
    <v>46108</v>
    <v>0</v>
    <v>1</v>
    <v>639101664000000000,639106637256731084,0</v>
    <v>2</v>
    <v>a1rxu2</v>
    <v>XNYS:EMN</v>
    <v>702</v>
  </rv>
  <rv s="18">
    <v>58</v>
    <v>a1pxbh</v>
    <v>Daily</v>
    <v>46108</v>
    <v>46108</v>
    <v>0</v>
    <v>1</v>
    <v>639101664000000000,639106637219845769,0</v>
    <v>2</v>
    <v>a1pxbh</v>
    <v>XNYS:CMG</v>
    <v>703</v>
  </rv>
  <rv s="18">
    <v>58</v>
    <v>a21d7w</v>
    <v>Daily</v>
    <v>46108</v>
    <v>46108</v>
    <v>0</v>
    <v>1</v>
    <v>639101664000000000,639106637179882147,0</v>
    <v>2</v>
    <v>a21d7w</v>
    <v>XNAS:PTC</v>
    <v>704</v>
  </rv>
  <rv s="18">
    <v>58</v>
    <v>a1r177</v>
    <v>Daily</v>
    <v>46108</v>
    <v>46108</v>
    <v>0</v>
    <v>1</v>
    <v>639101664000000000,639106637126094144,0</v>
    <v>2</v>
    <v>a1r177</v>
    <v>XNYS:DGX</v>
    <v>705</v>
  </rv>
  <rv s="18">
    <v>58</v>
    <v>a1uysm</v>
    <v>Weekly</v>
    <v>45921</v>
    <v>46109</v>
    <v>0</v>
    <v>1</v>
    <v>639101664000000000,639107140748329657,0</v>
    <v>0</v>
    <v>a1uysm</v>
    <v>XNYS:HUM</v>
    <v>706</v>
  </rv>
  <rv s="18">
    <v>58</v>
    <v>a1qqbh</v>
    <v>Daily</v>
    <v>46108</v>
    <v>46108</v>
    <v>0</v>
    <v>1</v>
    <v>639101664000000000,639106637148930737,0</v>
    <v>2</v>
    <v>a1qqbh</v>
    <v>XNYS:DAL</v>
    <v>707</v>
  </rv>
  <rv s="18">
    <v>58</v>
    <v>a1nlzr</v>
    <v>Daily</v>
    <v>46108</v>
    <v>46108</v>
    <v>0</v>
    <v>1</v>
    <v>639101664000000000,639106637078702571,0</v>
    <v>2</v>
    <v>a1nlzr</v>
    <v>XNYS:APO</v>
    <v>708</v>
  </rv>
  <rv s="18">
    <v>58</v>
    <v>a1wi77</v>
    <v>Daily</v>
    <v>46108</v>
    <v>46108</v>
    <v>0</v>
    <v>1</v>
    <v>639101664000000000,639106637077761576,0</v>
    <v>2</v>
    <v>a1wi77</v>
    <v>XNAS:KHC</v>
    <v>709</v>
  </rv>
  <rv s="18">
    <v>58</v>
    <v>a1sjw7</v>
    <v>Daily</v>
    <v>46108</v>
    <v>46108</v>
    <v>0</v>
    <v>1</v>
    <v>639101664000000000,639106637179877638,0</v>
    <v>2</v>
    <v>a1sjw7</v>
    <v>XNYS:F</v>
    <v>710</v>
  </rv>
  <rv s="18">
    <v>58</v>
    <v>a1ock2</v>
    <v>Weekly</v>
    <v>45921</v>
    <v>46109</v>
    <v>0</v>
    <v>1</v>
    <v>639101664000000000,639107140608008675,0</v>
    <v>0</v>
    <v>a1ock2</v>
    <v>XNYS:BDX</v>
    <v>711</v>
  </rv>
  <rv s="18">
    <v>58</v>
    <v>a1zgm7</v>
    <v>Daily</v>
    <v>46108</v>
    <v>46108</v>
    <v>0</v>
    <v>1</v>
    <v>639101664000000000,639106637178816036,0</v>
    <v>2</v>
    <v>a1zgm7</v>
    <v>XNAS:PANW</v>
    <v>712</v>
  </rv>
  <rv s="18">
    <v>58</v>
    <v>a1pctc</v>
    <v>Daily</v>
    <v>46108</v>
    <v>46108</v>
    <v>0</v>
    <v>1</v>
    <v>639101664000000000,639106637109978315,0</v>
    <v>2</v>
    <v>a1pctc</v>
    <v>XNYS:CCL</v>
    <v>713</v>
  </rv>
  <rv s="18">
    <v>58</v>
    <v>a1nda2</v>
    <v>Weekly</v>
    <v>45921</v>
    <v>46109</v>
    <v>0</v>
    <v>1</v>
    <v>639101664000000000,639107140721826261,0</v>
    <v>0</v>
    <v>a1nda2</v>
    <v>XNAS:AMAT</v>
    <v>714</v>
  </rv>
  <rv s="18">
    <v>58</v>
    <v>a23d9c</v>
    <v>Weekly</v>
    <v>45921</v>
    <v>46109</v>
    <v>0</v>
    <v>1</v>
    <v>639101664000000000,639107140612460733,0</v>
    <v>0</v>
    <v>a23d9c</v>
    <v>XNYS:SPGI</v>
    <v>715</v>
  </rv>
  <rv s="18">
    <v>58</v>
    <v>a242qh</v>
    <v>Daily</v>
    <v>46108</v>
    <v>46108</v>
    <v>0</v>
    <v>1</v>
    <v>639101664000000000,639106637079060386,0</v>
    <v>2</v>
    <v>a242qh</v>
    <v>XNYS:TDG</v>
    <v>716</v>
  </rv>
  <rv s="18">
    <v>58</v>
    <v>a1xxmw</v>
    <v>Daily</v>
    <v>46108</v>
    <v>46108</v>
    <v>0</v>
    <v>1</v>
    <v>639101664000000000,639106637084719644,0</v>
    <v>2</v>
    <v>a1xxmw</v>
    <v>XNYS:MRK</v>
    <v>717</v>
  </rv>
  <rv s="18">
    <v>58</v>
    <v>a1nllh</v>
    <v>Weekly</v>
    <v>45921</v>
    <v>46109</v>
    <v>0</v>
    <v>1</v>
    <v>639101664000000000,639107140745082863,0</v>
    <v>0</v>
    <v>a1nllh</v>
    <v>XNYS:APH</v>
    <v>718</v>
  </rv>
  <rv s="18">
    <v>58</v>
    <v>a21gh7</v>
    <v>Daily</v>
    <v>46108</v>
    <v>46108</v>
    <v>0</v>
    <v>1</v>
    <v>639101664000000000,639106637178773890,0</v>
    <v>2</v>
    <v>a21gh7</v>
    <v>XNYS:PWR</v>
    <v>719</v>
  </rv>
  <rv s="18">
    <v>58</v>
    <v>a1o2lh</v>
    <v>Weekly</v>
    <v>45921</v>
    <v>46109</v>
    <v>0</v>
    <v>1</v>
    <v>639101664000000000,639107140646882565,0</v>
    <v>0</v>
    <v>a1o2lh</v>
    <v>XNYS:AXP</v>
    <v>720</v>
  </rv>
  <rv s="18">
    <v>58</v>
    <v>a25ya2</v>
    <v>Weekly</v>
    <v>45921</v>
    <v>46109</v>
    <v>0</v>
    <v>1</v>
    <v>639101664000000000,639107140626631401,0</v>
    <v>0</v>
    <v>a25ya2</v>
    <v>XNAS:WMT</v>
    <v>721</v>
  </rv>
  <rv s="18">
    <v>58</v>
    <v>a1o8mw</v>
    <v>Daily</v>
    <v>46108</v>
    <v>46108</v>
    <v>0</v>
    <v>1</v>
    <v>639101664000000000,639106637268635400,0</v>
    <v>2</v>
    <v>a1o8mw</v>
    <v>XNYS:TFC</v>
    <v>722</v>
  </rv>
  <rv s="18">
    <v>58</v>
    <v>az6zf2</v>
    <v>Daily</v>
    <v>46108</v>
    <v>46108</v>
    <v>0</v>
    <v>1</v>
    <v>639101664000000000,639106637174602213,0</v>
    <v>2</v>
    <v>az6zf2</v>
    <v>XNYS:WELL</v>
    <v>723</v>
  </rv>
  <rv s="18">
    <v>58</v>
    <v>a1xr1h</v>
    <v>Daily</v>
    <v>46108</v>
    <v>46108</v>
    <v>0</v>
    <v>1</v>
    <v>639101664000000000,639106637150750961,0</v>
    <v>2</v>
    <v>a1xr1h</v>
    <v>XNYS:MRSH</v>
    <v>724</v>
  </rv>
  <rv s="18">
    <v>58</v>
    <v>a1qlnm</v>
    <v>Weekly</v>
    <v>45921</v>
    <v>46109</v>
    <v>0</v>
    <v>1</v>
    <v>639101664000000000,639107140716846673,0</v>
    <v>0</v>
    <v>a1qlnm</v>
    <v>XNYS:CVS</v>
    <v>725</v>
  </rv>
  <rv s="18">
    <v>58</v>
    <v>a1x8w7</v>
    <v>Daily</v>
    <v>46108</v>
    <v>46108</v>
    <v>0</v>
    <v>1</v>
    <v>639101664000000000,639106637106614851,0</v>
    <v>2</v>
    <v>a1x8w7</v>
    <v>XNYS:MA</v>
    <v>726</v>
  </rv>
  <rv s="18">
    <v>58</v>
    <v>a1vc52</v>
    <v>Weekly</v>
    <v>45921</v>
    <v>46109</v>
    <v>0</v>
    <v>1</v>
    <v>639101664000000000,639107140669286876,0</v>
    <v>0</v>
    <v>a1vc52</v>
    <v>XNYS:IEX</v>
    <v>727</v>
  </rv>
  <rv s="18">
    <v>58</v>
    <v>a1njmw</v>
    <v>Daily</v>
    <v>46108</v>
    <v>46108</v>
    <v>0</v>
    <v>1</v>
    <v>639101664000000000,639106637284204445,0</v>
    <v>2</v>
    <v>a1njmw</v>
    <v>XNYS:ELV</v>
    <v>728</v>
  </rv>
  <rv s="18">
    <v>58</v>
    <v>a1qvjc</v>
    <v>Daily</v>
    <v>46108</v>
    <v>46108</v>
    <v>0</v>
    <v>1</v>
    <v>639101664000000000,639106637085607960,0</v>
    <v>2</v>
    <v>a1qvjc</v>
    <v>XNYS:DE</v>
    <v>729</v>
  </rv>
  <rv s="18">
    <v>58</v>
    <v>a23vm7</v>
    <v>Weekly</v>
    <v>45921</v>
    <v>46109</v>
    <v>0</v>
    <v>1</v>
    <v>639101664000000000,639107140673120189,0</v>
    <v>0</v>
    <v>a23vm7</v>
    <v>XNAS:GEN</v>
    <v>730</v>
  </rv>
  <rv s="18">
    <v>58</v>
    <v>a1wucw</v>
    <v>Weekly</v>
    <v>45921</v>
    <v>46109</v>
    <v>0</v>
    <v>1</v>
    <v>639101664000000000,639107140763301928,0</v>
    <v>0</v>
    <v>a1wucw</v>
    <v>XNYS:LEN</v>
    <v>731</v>
  </rv>
  <rv s="18">
    <v>58</v>
    <v>aw2c52</v>
    <v>Daily</v>
    <v>46108</v>
    <v>46108</v>
    <v>0</v>
    <v>1</v>
    <v>639101664000000000,639106637253653217,0</v>
    <v>2</v>
    <v>aw2c52</v>
    <v>XNYS:IQV</v>
    <v>732</v>
  </rv>
  <rv s="18">
    <v>58</v>
    <v>a1p55r</v>
    <v>Weekly</v>
    <v>45921</v>
    <v>46109</v>
    <v>0</v>
    <v>1</v>
    <v>639101664000000000,639107140659238108,0</v>
    <v>0</v>
    <v>a1p55r</v>
    <v>XNYS:CAG</v>
    <v>733</v>
  </rv>
  <rv s="18">
    <v>58</v>
    <v>a1ry3m</v>
    <v>Daily</v>
    <v>46108</v>
    <v>46108</v>
    <v>0</v>
    <v>1</v>
    <v>639101664000000000,639106637219341775,0</v>
    <v>2</v>
    <v>a1ry3m</v>
    <v>XNYS:EMR</v>
    <v>734</v>
  </rv>
  <rv s="18">
    <v>58</v>
    <v>a1saoc</v>
    <v>Weekly</v>
    <v>45921</v>
    <v>46109</v>
    <v>0</v>
    <v>1</v>
    <v>639101664000000000,639107140627483202,0</v>
    <v>0</v>
    <v>a1saoc</v>
    <v>XNYS:ETR</v>
    <v>735</v>
  </rv>
  <rv s="18">
    <v>58</v>
    <v>a269ec</v>
    <v>Daily</v>
    <v>46108</v>
    <v>46108</v>
    <v>0</v>
    <v>1</v>
    <v>639101664000000000,639106637127542931,0</v>
    <v>2</v>
    <v>a269ec</v>
    <v>XNYS:XOM</v>
    <v>736</v>
  </rv>
  <rv s="18">
    <v>58</v>
    <v>a1nllh</v>
    <v>Daily</v>
    <v>46108</v>
    <v>46108</v>
    <v>0</v>
    <v>1</v>
    <v>639101664000000000,639106637245380855,0</v>
    <v>2</v>
    <v>a1nllh</v>
    <v>XNYS:APH</v>
    <v>737</v>
  </rv>
  <rv s="18">
    <v>58</v>
    <v>a1pj4c</v>
    <v>Weekly</v>
    <v>45921</v>
    <v>46109</v>
    <v>0</v>
    <v>1</v>
    <v>639101664000000000,639107140777545174,0</v>
    <v>0</v>
    <v>a1pj4c</v>
    <v>XNYS:CFG</v>
    <v>738</v>
  </rv>
  <rv s="18">
    <v>58</v>
    <v>a1wljc</v>
    <v>Weekly</v>
    <v>45921</v>
    <v>46109</v>
    <v>0</v>
    <v>1</v>
    <v>639101664000000000,639107140622210827,0</v>
    <v>0</v>
    <v>a1wljc</v>
    <v>XNYS:KO</v>
    <v>739</v>
  </rv>
  <rv s="18">
    <v>58</v>
    <v>a25tgh</v>
    <v>Daily</v>
    <v>46108</v>
    <v>46108</v>
    <v>0</v>
    <v>1</v>
    <v>639101664000000000,639106637201996599,0</v>
    <v>2</v>
    <v>a25tgh</v>
    <v>XNYS:WFC</v>
    <v>740</v>
  </rv>
  <rv s="18">
    <v>58</v>
    <v>a1usr7</v>
    <v>Daily</v>
    <v>46108</v>
    <v>46108</v>
    <v>0</v>
    <v>1</v>
    <v>639101664000000000,639106637125842366,0</v>
    <v>2</v>
    <v>a1usr7</v>
    <v>XNAS:HOLX</v>
    <v>741</v>
  </rv>
  <rv s="18">
    <v>58</v>
    <v>bp8fzr</v>
    <v>Weekly</v>
    <v>45921</v>
    <v>46109</v>
    <v>0</v>
    <v>1</v>
    <v>639101664000000000,639107140704325880,0</v>
    <v>0</v>
    <v>bp8fzr</v>
    <v>XNAS:FOX</v>
    <v>742</v>
  </rv>
  <rv s="18">
    <v>62</v>
    <v>aajh6h</v>
    <v>Weekly</v>
    <v>45921</v>
    <v>46109</v>
    <v>0</v>
    <v>1</v>
    <v>639101664000000000,639107140705055078,0</v>
    <v>192</v>
    <v>aajh6h</v>
    <v>XWBO:PFE</v>
    <v>743</v>
  </rv>
  <rv s="18">
    <v>58</v>
    <v>a256cw</v>
    <v>Daily</v>
    <v>46108</v>
    <v>46108</v>
    <v>0</v>
    <v>1</v>
    <v>639101664000000000,639106637073275804,0</v>
    <v>2</v>
    <v>a256cw</v>
    <v>XNYS:V</v>
    <v>744</v>
  </rv>
  <rv s="18">
    <v>58</v>
    <v>a1ythw</v>
    <v>Daily</v>
    <v>46108</v>
    <v>46108</v>
    <v>0</v>
    <v>1</v>
    <v>639101664000000000,639106637267683052,0</v>
    <v>2</v>
    <v>a1ythw</v>
    <v>XNYS:NUE</v>
    <v>745</v>
  </rv>
  <rv s="18">
    <v>58</v>
    <v>a1wyu2</v>
    <v>Daily</v>
    <v>46108</v>
    <v>46108</v>
    <v>0</v>
    <v>1</v>
    <v>639101664000000000,639106637243545604,0</v>
    <v>2</v>
    <v>a1wyu2</v>
    <v>XNYS:LLY</v>
    <v>746</v>
  </rv>
  <rv s="18">
    <v>58</v>
    <v>a25tgh</v>
    <v>Weekly</v>
    <v>45921</v>
    <v>46109</v>
    <v>0</v>
    <v>1</v>
    <v>639101664000000000,639107140611966337,0</v>
    <v>0</v>
    <v>a25tgh</v>
    <v>XNYS:WFC</v>
    <v>747</v>
  </rv>
  <rv s="18">
    <v>58</v>
    <v>a1zhcw</v>
    <v>Daily</v>
    <v>46108</v>
    <v>46108</v>
    <v>0</v>
    <v>1</v>
    <v>639101664000000000,639106637082634798,0</v>
    <v>2</v>
    <v>a1zhcw</v>
    <v>XNAS:PAYX</v>
    <v>748</v>
  </rv>
  <rv s="18">
    <v>58</v>
    <v>a1yw1h</v>
    <v>Daily</v>
    <v>46108</v>
    <v>46108</v>
    <v>0</v>
    <v>1</v>
    <v>639101664000000000,639106637077563777,0</v>
    <v>2</v>
    <v>a1yw1h</v>
    <v>XNYS:NVR</v>
    <v>749</v>
  </rv>
  <rv s="18">
    <v>58</v>
    <v>cfwqww</v>
    <v>Daily</v>
    <v>46108</v>
    <v>46108</v>
    <v>0</v>
    <v>1</v>
    <v>639101664000000000,639107140750529368,0</v>
    <v>2</v>
    <v>cfwqww</v>
    <v>XNAS:SNDK</v>
    <v>750</v>
  </rv>
  <rv s="18">
    <v>58</v>
    <v>a1mrar</v>
    <v>Weekly</v>
    <v>45921</v>
    <v>46109</v>
    <v>0</v>
    <v>1</v>
    <v>639101664000000000,639107140715811305,0</v>
    <v>0</v>
    <v>a1mrar</v>
    <v>XNYS:ABT</v>
    <v>751</v>
  </rv>
  <rv s="18">
    <v>58</v>
    <v>a1x8nm</v>
    <v>Daily</v>
    <v>46108</v>
    <v>46108</v>
    <v>0</v>
    <v>1</v>
    <v>639101664000000000,639106637082369689,0</v>
    <v>2</v>
    <v>a1x8nm</v>
    <v>XNYS:LYV</v>
    <v>752</v>
  </rv>
  <rv s="18">
    <v>58</v>
    <v>a1z7mw</v>
    <v>Weekly</v>
    <v>45921</v>
    <v>46109</v>
    <v>0</v>
    <v>1</v>
    <v>639101664000000000,639107140775459703,0</v>
    <v>0</v>
    <v>a1z7mw</v>
    <v>XNYS:OMC</v>
    <v>753</v>
  </rv>
  <rv s="18">
    <v>58</v>
    <v>a1r63m</v>
    <v>Daily</v>
    <v>46108</v>
    <v>46108</v>
    <v>0</v>
    <v>1</v>
    <v>639101664000000000,639106637083825979,0</v>
    <v>2</v>
    <v>a1r63m</v>
    <v>XNAS:DLTR</v>
    <v>754</v>
  </rv>
  <rv s="18">
    <v>58</v>
    <v>a1vb5r</v>
    <v>Weekly</v>
    <v>45921</v>
    <v>46109</v>
    <v>0</v>
    <v>1</v>
    <v>639101664000000000,639107140653280070,0</v>
    <v>0</v>
    <v>a1vb5r</v>
    <v>XNAS:IDXX</v>
    <v>755</v>
  </rv>
  <rv s="18">
    <v>58</v>
    <v>a22k9c</v>
    <v>Weekly</v>
    <v>45921</v>
    <v>46109</v>
    <v>0</v>
    <v>1</v>
    <v>639101664000000000,639107140598776289,0</v>
    <v>0</v>
    <v>a22k9c</v>
    <v>XNAS:SBUX</v>
    <v>756</v>
  </rv>
  <rv s="18">
    <v>58</v>
    <v>a1vt77</v>
    <v>Weekly</v>
    <v>45921</v>
    <v>46109</v>
    <v>0</v>
    <v>1</v>
    <v>639101664000000000,639107140603244620,0</v>
    <v>0</v>
    <v>a1vt77</v>
    <v>XNAS:ISRG</v>
    <v>757</v>
  </rv>
  <rv s="18">
    <v>58</v>
    <v>a1mzjc</v>
    <v>Weekly</v>
    <v>45921</v>
    <v>46109</v>
    <v>0</v>
    <v>1</v>
    <v>639101664000000000,639107140620713189,0</v>
    <v>0</v>
    <v>a1mzjc</v>
    <v>XNYS:AFL</v>
    <v>758</v>
  </rv>
  <rv s="18">
    <v>58</v>
    <v>a1n7yc</v>
    <v>Daily</v>
    <v>46108</v>
    <v>46108</v>
    <v>0</v>
    <v>1</v>
    <v>639101664000000000,639106637154106218,0</v>
    <v>2</v>
    <v>a1n7yc</v>
    <v>XNAS:AKAM</v>
    <v>759</v>
  </rv>
  <rv s="18">
    <v>58</v>
    <v>a1xth7</v>
    <v>Daily</v>
    <v>46108</v>
    <v>46108</v>
    <v>0</v>
    <v>1</v>
    <v>639101664000000000,639106637189472718,0</v>
    <v>2</v>
    <v>a1xth7</v>
    <v>XNAS:MNST</v>
    <v>760</v>
  </rv>
  <rv s="18">
    <v>58</v>
    <v>a1vjbh</v>
    <v>Weekly</v>
    <v>45921</v>
    <v>46109</v>
    <v>0</v>
    <v>1</v>
    <v>639101664000000000,639107140720717838,0</v>
    <v>0</v>
    <v>a1vjbh</v>
    <v>XNAS:INCY</v>
    <v>761</v>
  </rv>
  <rv s="18">
    <v>58</v>
    <v>ay4lu2</v>
    <v>Weekly</v>
    <v>45921</v>
    <v>46109</v>
    <v>0</v>
    <v>1</v>
    <v>639101664000000000,639107140706531066,0</v>
    <v>0</v>
    <v>ay4lu2</v>
    <v>XNAS:XEL</v>
    <v>762</v>
  </rv>
  <rv s="18">
    <v>58</v>
    <v>a1p2ar</v>
    <v>Daily</v>
    <v>46108</v>
    <v>46108</v>
    <v>0</v>
    <v>1</v>
    <v>639101664000000000,639106637152249097,0</v>
    <v>2</v>
    <v>a1p2ar</v>
    <v>XNYS:BX</v>
    <v>763</v>
  </rv>
  <rv s="18">
    <v>58</v>
    <v>a1nlzr</v>
    <v>Weekly</v>
    <v>45921</v>
    <v>46109</v>
    <v>0</v>
    <v>1</v>
    <v>639101664000000000,639107140656152340,0</v>
    <v>0</v>
    <v>a1nlzr</v>
    <v>XNYS:APO</v>
    <v>764</v>
  </rv>
  <rv s="18">
    <v>58</v>
    <v>a1qvjc</v>
    <v>Weekly</v>
    <v>45921</v>
    <v>46109</v>
    <v>0</v>
    <v>1</v>
    <v>639101664000000000,639107140735485152,0</v>
    <v>0</v>
    <v>a1qvjc</v>
    <v>XNYS:DE</v>
    <v>765</v>
  </rv>
  <rv s="18">
    <v>58</v>
    <v>a25k5r</v>
    <v>Daily</v>
    <v>46108</v>
    <v>46108</v>
    <v>0</v>
    <v>1</v>
    <v>639101664000000000,639106637129044015,0</v>
    <v>2</v>
    <v>a25k5r</v>
    <v>XNAS:VRTX</v>
    <v>766</v>
  </rv>
  <rv s="18">
    <v>58</v>
    <v>a1uhnm</v>
    <v>Weekly</v>
    <v>45921</v>
    <v>46109</v>
    <v>0</v>
    <v>1</v>
    <v>639101664000000000,639107140633346185,0</v>
    <v>0</v>
    <v>a1uhnm</v>
    <v>XNYS:HCA</v>
    <v>767</v>
  </rv>
  <rv s="18">
    <v>58</v>
    <v>a1ww5r</v>
    <v>Weekly</v>
    <v>45921</v>
    <v>46109</v>
    <v>0</v>
    <v>1</v>
    <v>639101664000000000,639107140767803309,0</v>
    <v>0</v>
    <v>a1ww5r</v>
    <v>XNYS:LH</v>
    <v>768</v>
  </rv>
  <rv s="18">
    <v>58</v>
    <v>a25xjc</v>
    <v>Daily</v>
    <v>46108</v>
    <v>46108</v>
    <v>0</v>
    <v>1</v>
    <v>639101664000000000,639106637279187222,0</v>
    <v>2</v>
    <v>a25xjc</v>
    <v>XNYS:WM</v>
    <v>769</v>
  </rv>
  <rv s="18">
    <v>58</v>
    <v>a1q6k2</v>
    <v>Daily</v>
    <v>46108</v>
    <v>46108</v>
    <v>0</v>
    <v>1</v>
    <v>639101664000000000,639106637171346663,0</v>
    <v>2</v>
    <v>a1q6k2</v>
    <v>XNAS:COST</v>
    <v>770</v>
  </rv>
  <rv s="18">
    <v>58</v>
    <v>a1xz1h</v>
    <v>Daily</v>
    <v>46108</v>
    <v>46108</v>
    <v>0</v>
    <v>1</v>
    <v>639101664000000000,639106637088585014,0</v>
    <v>2</v>
    <v>a1xz1h</v>
    <v>XNYS:MSCI</v>
    <v>771</v>
  </rv>
  <rv s="18">
    <v>58</v>
    <v>a1sxp2</v>
    <v>Weekly</v>
    <v>45921</v>
    <v>46109</v>
    <v>0</v>
    <v>1</v>
    <v>639101664000000000,639107140645456423,0</v>
    <v>0</v>
    <v>a1sxp2</v>
    <v>XNYS:FIX</v>
    <v>772</v>
  </rv>
  <rv s="18">
    <v>58</v>
    <v>a1p18m</v>
    <v>Weekly</v>
    <v>45921</v>
    <v>46109</v>
    <v>0</v>
    <v>1</v>
    <v>639101664000000000,639107140780467088,0</v>
    <v>0</v>
    <v>a1p18m</v>
    <v>XNYS:BWA</v>
    <v>773</v>
  </rv>
  <rv s="18">
    <v>58</v>
    <v>a1rk52</v>
    <v>Daily</v>
    <v>46108</v>
    <v>46108</v>
    <v>0</v>
    <v>1</v>
    <v>639101664000000000,639106637081085584,0</v>
    <v>2</v>
    <v>a1rk52</v>
    <v>XNAS:EBAY</v>
    <v>774</v>
  </rv>
  <rv s="18">
    <v>58</v>
    <v>a1pshw</v>
    <v>Weekly</v>
    <v>45921</v>
    <v>46109</v>
    <v>0</v>
    <v>1</v>
    <v>639101664000000000,639107140684032234,0</v>
    <v>0</v>
    <v>a1pshw</v>
    <v>XNYS:CL</v>
    <v>775</v>
  </rv>
  <rv s="18">
    <v>58</v>
    <v>a1mvjc</v>
    <v>Daily</v>
    <v>46108</v>
    <v>46108</v>
    <v>0</v>
    <v>1</v>
    <v>639101664000000000,639106637085301879,0</v>
    <v>2</v>
    <v>a1mvjc</v>
    <v>XNAS:ADI</v>
    <v>776</v>
  </rv>
  <rv s="18">
    <v>58</v>
    <v>a1s4mw</v>
    <v>Daily</v>
    <v>46108</v>
    <v>46108</v>
    <v>0</v>
    <v>1</v>
    <v>639101664000000000,639106637255698362,0</v>
    <v>2</v>
    <v>a1s4mw</v>
    <v>XNAS:EQIX</v>
    <v>777</v>
  </rv>
  <rv s="18">
    <v>58</v>
    <v>a1u1z2</v>
    <v>Daily</v>
    <v>46108</v>
    <v>46108</v>
    <v>0</v>
    <v>1</v>
    <v>639101664000000000,639106637124391622,0</v>
    <v>2</v>
    <v>a1u1z2</v>
    <v>XNYS:GNRC</v>
    <v>778</v>
  </rv>
  <rv s="18">
    <v>58</v>
    <v>a1pf4c</v>
    <v>Daily</v>
    <v>46108</v>
    <v>46108</v>
    <v>0</v>
    <v>1</v>
    <v>639101664000000000,639106637215060488,0</v>
    <v>2</v>
    <v>a1pf4c</v>
    <v>XNAS:CDW</v>
    <v>779</v>
  </rv>
  <rv s="18">
    <v>58</v>
    <v>a1pyar</v>
    <v>Weekly</v>
    <v>45921</v>
    <v>46109</v>
    <v>0</v>
    <v>1</v>
    <v>639101664000000000,639107140684388113,0</v>
    <v>0</v>
    <v>a1pyar</v>
    <v>XNYS:CMS</v>
    <v>780</v>
  </rv>
  <rv s="18">
    <v>58</v>
    <v>a1wrf2</v>
    <v>Daily</v>
    <v>46108</v>
    <v>46108</v>
    <v>0</v>
    <v>1</v>
    <v>639101664000000000,639106637087111245,0</v>
    <v>2</v>
    <v>a1wrf2</v>
    <v>XNYS:BBWI</v>
    <v>781</v>
  </rv>
  <rv s="18">
    <v>58</v>
    <v>a24jvh</v>
    <v>Weekly</v>
    <v>45921</v>
    <v>46109</v>
    <v>0</v>
    <v>1</v>
    <v>639101664000000000,639107140680261737,0</v>
    <v>0</v>
    <v>a24jvh</v>
    <v>XNAS:TSCO</v>
    <v>782</v>
  </rv>
  <rv s="18">
    <v>58</v>
    <v>a1r1r7</v>
    <v>Daily</v>
    <v>46108</v>
    <v>46108</v>
    <v>0</v>
    <v>1</v>
    <v>639101664000000000,639106637261238084,0</v>
    <v>2</v>
    <v>a1r1r7</v>
    <v>XNYS:DHR</v>
    <v>783</v>
  </rv>
  <rv s="18">
    <v>58</v>
    <v>bvsk7w</v>
    <v>Daily</v>
    <v>46108</v>
    <v>46108</v>
    <v>0</v>
    <v>1</v>
    <v>639101664000000000,639106637101251796,0</v>
    <v>2</v>
    <v>bvsk7w</v>
    <v>XNAS:PLTR</v>
    <v>784</v>
  </rv>
  <rv s="18">
    <v>58</v>
    <v>a22n4c</v>
    <v>Daily</v>
    <v>46108</v>
    <v>46108</v>
    <v>0</v>
    <v>1</v>
    <v>639101664000000000,639106637100558305,0</v>
    <v>2</v>
    <v>a22n4c</v>
    <v>XNYS:SCHW</v>
    <v>785</v>
  </rv>
  <rv s="18">
    <v>58</v>
    <v>a1xyjc</v>
    <v>Daily</v>
    <v>46108</v>
    <v>46108</v>
    <v>0</v>
    <v>1</v>
    <v>639101664000000000,639106637177540897,0</v>
    <v>2</v>
    <v>a1xyjc</v>
    <v>XNYS:MS</v>
    <v>786</v>
  </rv>
  <rv s="18">
    <v>58</v>
    <v>a1ossm</v>
    <v>Daily</v>
    <v>46108</v>
    <v>46108</v>
    <v>0</v>
    <v>1</v>
    <v>639101664000000000,639106637128905850,0</v>
    <v>2</v>
    <v>a1ossm</v>
    <v>XNYS:BR</v>
    <v>787</v>
  </rv>
  <rv s="18">
    <v>58</v>
    <v>a22ydm</v>
    <v>Weekly</v>
    <v>45921</v>
    <v>46109</v>
    <v>0</v>
    <v>1</v>
    <v>639101664000000000,639107140724848362,0</v>
    <v>0</v>
    <v>a22ydm</v>
    <v>XNYS:SIG</v>
    <v>788</v>
  </rv>
  <rv s="18">
    <v>58</v>
    <v>a213c7</v>
    <v>Weekly</v>
    <v>45921</v>
    <v>46109</v>
    <v>0</v>
    <v>1</v>
    <v>639101664000000000,639107140702348622,0</v>
    <v>0</v>
    <v>a213c7</v>
    <v>XNAS:PODD</v>
    <v>789</v>
  </rv>
  <rv s="18">
    <v>58</v>
    <v>a1sl52</v>
    <v>Weekly</v>
    <v>45921</v>
    <v>46109</v>
    <v>0</v>
    <v>1</v>
    <v>639101664000000000,639107140743127049,0</v>
    <v>0</v>
    <v>a1sl52</v>
    <v>XNAS:FAST</v>
    <v>790</v>
  </rv>
  <rv s="18">
    <v>58</v>
    <v>a1p58m</v>
    <v>Daily</v>
    <v>46108</v>
    <v>46108</v>
    <v>0</v>
    <v>1</v>
    <v>639101664000000000,639106637242145062,0</v>
    <v>2</v>
    <v>a1p58m</v>
    <v>XNYS:CAH</v>
    <v>791</v>
  </rv>
  <rv s="18">
    <v>58</v>
    <v>a1z8jc</v>
    <v>Weekly</v>
    <v>45921</v>
    <v>46109</v>
    <v>0</v>
    <v>1</v>
    <v>639101664000000000,639107140628753734,0</v>
    <v>0</v>
    <v>a1z8jc</v>
    <v>XNAS:ON</v>
    <v>792</v>
  </rv>
  <rv s="18">
    <v>58</v>
    <v>a1xg3m</v>
    <v>Daily</v>
    <v>46108</v>
    <v>46108</v>
    <v>0</v>
    <v>1</v>
    <v>639101664000000000,639106637103678924,0</v>
    <v>2</v>
    <v>a1xg3m</v>
    <v>XNYS:MDT</v>
    <v>793</v>
  </rv>
  <rv s="18">
    <v>58</v>
    <v>a1tym7</v>
    <v>Weekly</v>
    <v>45921</v>
    <v>46109</v>
    <v>0</v>
    <v>1</v>
    <v>639101664000000000,639107140723617369,0</v>
    <v>0</v>
    <v>a1tym7</v>
    <v>XNYS:GLW</v>
    <v>794</v>
  </rv>
  <rv s="18">
    <v>58</v>
    <v>a1oxur</v>
    <v>Daily</v>
    <v>46108</v>
    <v>46108</v>
    <v>0</v>
    <v>1</v>
    <v>639101664000000000,639106637190101374,0</v>
    <v>2</v>
    <v>a1oxur</v>
    <v>XNYS:BSX</v>
    <v>795</v>
  </rv>
  <rv s="18">
    <v>58</v>
    <v>bptw77</v>
    <v>Daily</v>
    <v>46108</v>
    <v>46108</v>
    <v>0</v>
    <v>1</v>
    <v>639101664000000000,639106637099363543,0</v>
    <v>2</v>
    <v>bptw77</v>
    <v>XNYS:UBER</v>
    <v>796</v>
  </rv>
  <rv s="18">
    <v>58</v>
    <v>a1xhvh</v>
    <v>Daily</v>
    <v>46108</v>
    <v>46108</v>
    <v>0</v>
    <v>1</v>
    <v>639101664000000000,639106637102756338,0</v>
    <v>2</v>
    <v>a1xhvh</v>
    <v>XNYS:MET</v>
    <v>797</v>
  </rv>
  <rv s="18">
    <v>58</v>
    <v>a1mscw</v>
    <v>Daily</v>
    <v>46108</v>
    <v>46108</v>
    <v>0</v>
    <v>1</v>
    <v>639101664000000000,639106637249719162,0</v>
    <v>2</v>
    <v>a1mscw</v>
    <v>XNAS:ACGL</v>
    <v>798</v>
  </rv>
  <rv s="18">
    <v>58</v>
    <v>a23wlh</v>
    <v>Weekly</v>
    <v>45921</v>
    <v>46109</v>
    <v>0</v>
    <v>1</v>
    <v>639101664000000000,639107140604593687,0</v>
    <v>0</v>
    <v>a23wlh</v>
    <v>XNYS:SYY</v>
    <v>799</v>
  </rv>
  <rv s="18">
    <v>61</v>
    <v>bvhx27</v>
    <v>Daily</v>
    <v>46108</v>
    <v>46108</v>
    <v>0</v>
    <v>1</v>
    <v>639101664000000000,639106637125835281,0</v>
    <v>2</v>
    <v>bvhx27</v>
    <v>XTSX:PEAK</v>
    <v>800</v>
  </rv>
  <rv s="18">
    <v>58</v>
    <v>a1yv52</v>
    <v>Daily</v>
    <v>46108</v>
    <v>46108</v>
    <v>0</v>
    <v>1</v>
    <v>639101664000000000,639106637085276974,0</v>
    <v>2</v>
    <v>a1yv52</v>
    <v>XNAS:NVDA</v>
    <v>801</v>
  </rv>
  <rv s="18">
    <v>58</v>
    <v>a1udz2</v>
    <v>Daily</v>
    <v>46108</v>
    <v>46108</v>
    <v>0</v>
    <v>1</v>
    <v>639101664000000000,639106637261150226,0</v>
    <v>2</v>
    <v>a1udz2</v>
    <v>XNYS:GWW</v>
    <v>802</v>
  </rv>
  <rv s="18">
    <v>58</v>
    <v>a1x7oc</v>
    <v>Daily</v>
    <v>46108</v>
    <v>46108</v>
    <v>0</v>
    <v>1</v>
    <v>639101664000000000,639106637216837440,0</v>
    <v>2</v>
    <v>a1x7oc</v>
    <v>XNYS:LW</v>
    <v>803</v>
  </rv>
  <rv s="18">
    <v>58</v>
    <v>a1uwoc</v>
    <v>Weekly</v>
    <v>45921</v>
    <v>46109</v>
    <v>0</v>
    <v>1</v>
    <v>639101664000000000,639107140709289786,0</v>
    <v>0</v>
    <v>a1uwoc</v>
    <v>XNAS:HST</v>
    <v>804</v>
  </rv>
  <rv s="18">
    <v>58</v>
    <v>a22777</v>
    <v>Weekly</v>
    <v>45921</v>
    <v>46109</v>
    <v>0</v>
    <v>1</v>
    <v>639101664000000000,639107140627254470,0</v>
    <v>0</v>
    <v>a22777</v>
    <v>XNAS:ROP</v>
    <v>805</v>
  </rv>
  <rv s="18">
    <v>58</v>
    <v>a1w1ur</v>
    <v>Daily</v>
    <v>46108</v>
    <v>46108</v>
    <v>0</v>
    <v>1</v>
    <v>639101664000000000,639106637252721258,0</v>
    <v>2</v>
    <v>a1w1ur</v>
    <v>XNYS:JBL</v>
    <v>806</v>
  </rv>
  <rv s="18">
    <v>58</v>
    <v>a1u3p2</v>
    <v>Daily</v>
    <v>46108</v>
    <v>46108</v>
    <v>0</v>
    <v>1</v>
    <v>639101664000000000,639106637192814505,0</v>
    <v>2</v>
    <v>a1u3p2</v>
    <v>XNAS:GOOG</v>
    <v>807</v>
  </rv>
  <rv s="18">
    <v>58</v>
    <v>a1tr1h</v>
    <v>Daily</v>
    <v>46108</v>
    <v>46108</v>
    <v>0</v>
    <v>1</v>
    <v>639101664000000000,639106637176886909,0</v>
    <v>2</v>
    <v>a1tr1h</v>
    <v>XNYS:GE</v>
    <v>808</v>
  </rv>
  <rv s="18">
    <v>58</v>
    <v>a1xwnm</v>
    <v>Daily</v>
    <v>46108</v>
    <v>46108</v>
    <v>0</v>
    <v>1</v>
    <v>639101664000000000,639106637143424436,0</v>
    <v>2</v>
    <v>a1xwnm</v>
    <v>XNAS:MPWR</v>
    <v>809</v>
  </rv>
  <rv s="18">
    <v>58</v>
    <v>a1xaar</v>
    <v>Weekly</v>
    <v>45921</v>
    <v>46109</v>
    <v>0</v>
    <v>1</v>
    <v>639101664000000000,639107140762818723,0</v>
    <v>0</v>
    <v>a1xaar</v>
    <v>XNAS:MAR</v>
    <v>810</v>
  </rv>
  <rv s="18">
    <v>58</v>
    <v>a1ndww</v>
    <v>Daily</v>
    <v>46108</v>
    <v>46108</v>
    <v>0</v>
    <v>1</v>
    <v>639101664000000000,639106637168398607,0</v>
    <v>2</v>
    <v>a1ndww</v>
    <v>XNAS:AMD</v>
    <v>811</v>
  </rv>
  <rv s="18">
    <v>58</v>
    <v>a1yoa2</v>
    <v>Weekly</v>
    <v>45921</v>
    <v>46109</v>
    <v>0</v>
    <v>1</v>
    <v>639101664000000000,639107140688532464,0</v>
    <v>0</v>
    <v>a1yoa2</v>
    <v>XNYS:NOW</v>
    <v>812</v>
  </rv>
  <rv s="18">
    <v>58</v>
    <v>a1z2f2</v>
    <v>Weekly</v>
    <v>45921</v>
    <v>46109</v>
    <v>0</v>
    <v>1</v>
    <v>639101664000000000,639107140774632892,0</v>
    <v>0</v>
    <v>a1z2f2</v>
    <v>XNYS:OC</v>
    <v>813</v>
  </rv>
  <rv s="18">
    <v>58</v>
    <v>a25omw</v>
    <v>Daily</v>
    <v>46108</v>
    <v>46108</v>
    <v>0</v>
    <v>1</v>
    <v>639101664000000000,639106637168274041,0</v>
    <v>2</v>
    <v>a25omw</v>
    <v>XNYS:WAB</v>
    <v>814</v>
  </rv>
  <rv s="18">
    <v>58</v>
    <v>a23i8m</v>
    <v>Weekly</v>
    <v>45921</v>
    <v>46109</v>
    <v>0</v>
    <v>1</v>
    <v>639101664000000000,639107140598754910,0</v>
    <v>0</v>
    <v>a23i8m</v>
    <v>XNYS:XYZ</v>
    <v>815</v>
  </rv>
  <rv s="18">
    <v>58</v>
    <v>a1zbvh</v>
    <v>Daily</v>
    <v>46108</v>
    <v>46108</v>
    <v>0</v>
    <v>1</v>
    <v>639101664000000000,639106637150424190,0</v>
    <v>2</v>
    <v>a1zbvh</v>
    <v>XNAS:ORLY</v>
    <v>816</v>
  </rv>
  <rv s="18">
    <v>58</v>
    <v>a1ygoc</v>
    <v>Daily</v>
    <v>46108</v>
    <v>46108</v>
    <v>0</v>
    <v>1</v>
    <v>639101664000000000,639106637202084709,0</v>
    <v>2</v>
    <v>a1ygoc</v>
    <v>XNAS:NFLX</v>
    <v>817</v>
  </rv>
  <rv s="18">
    <v>58</v>
    <v>a1w6zr</v>
    <v>Daily</v>
    <v>46108</v>
    <v>46108</v>
    <v>0</v>
    <v>1</v>
    <v>639101664000000000,639106637222317195,0</v>
    <v>2</v>
    <v>a1w6zr</v>
    <v>XNAS:JKHY</v>
    <v>818</v>
  </rv>
  <rv s="18">
    <v>58</v>
    <v>a251gh</v>
    <v>Daily</v>
    <v>46108</v>
    <v>46108</v>
    <v>0</v>
    <v>1</v>
    <v>639101664000000000,639106637086212062,0</v>
    <v>2</v>
    <v>a251gh</v>
    <v>XNYS:USB</v>
    <v>819</v>
  </rv>
  <rv s="18">
    <v>58</v>
    <v>a1zbec</v>
    <v>Daily</v>
    <v>46108</v>
    <v>46108</v>
    <v>0</v>
    <v>1</v>
    <v>639101664000000000,639106637213573071,0</v>
    <v>2</v>
    <v>a1zbec</v>
    <v>XNYS:ORCL</v>
    <v>820</v>
  </rv>
  <rv s="18">
    <v>58</v>
    <v>a1o4sm</v>
    <v>Daily</v>
    <v>46108</v>
    <v>46108</v>
    <v>0</v>
    <v>1</v>
    <v>639101664000000000,639106637107394809,0</v>
    <v>2</v>
    <v>a1o4sm</v>
    <v>XNYS:BAC</v>
    <v>821</v>
  </rv>
  <rv s="18">
    <v>58</v>
    <v>c8ki6h</v>
    <v>Weekly</v>
    <v>45921</v>
    <v>46109</v>
    <v>0</v>
    <v>1</v>
    <v>639101664000000000,639107140699422259,0</v>
    <v>0</v>
    <v>c8ki6h</v>
    <v>XNYS:KVUE</v>
    <v>822</v>
  </rv>
  <rv s="18">
    <v>58</v>
    <v>a212zr</v>
    <v>Daily</v>
    <v>46108</v>
    <v>46108</v>
    <v>0</v>
    <v>1</v>
    <v>639101664000000000,639106637285698254,0</v>
    <v>2</v>
    <v>a212zr</v>
    <v>XNYS:PNR</v>
    <v>823</v>
  </rv>
  <rv s="18">
    <v>58</v>
    <v>a1ppvh</v>
    <v>Weekly</v>
    <v>45921</v>
    <v>46109</v>
    <v>0</v>
    <v>1</v>
    <v>639101664000000000,639107140627989693,0</v>
    <v>0</v>
    <v>a1ppvh</v>
    <v>XNYS:CIEN</v>
    <v>824</v>
  </rv>
  <rv s="18">
    <v>58</v>
    <v>a1xth7</v>
    <v>Weekly</v>
    <v>45921</v>
    <v>46109</v>
    <v>0</v>
    <v>1</v>
    <v>639101664000000000,639107140749816052,0</v>
    <v>0</v>
    <v>a1xth7</v>
    <v>XNAS:MNST</v>
    <v>825</v>
  </rv>
  <rv s="18">
    <v>58</v>
    <v>a1stjc</v>
    <v>Weekly</v>
    <v>45921</v>
    <v>46109</v>
    <v>0</v>
    <v>1</v>
    <v>639101664000000000,639107140745733993,0</v>
    <v>0</v>
    <v>a1stjc</v>
    <v>XNAS:FFIV</v>
    <v>826</v>
  </rv>
  <rv s="18">
    <v>58</v>
    <v>a1xe52</v>
    <v>Weekly</v>
    <v>45921</v>
    <v>46109</v>
    <v>0</v>
    <v>1</v>
    <v>639101664000000000,639107140685036384,0</v>
    <v>0</v>
    <v>a1xe52</v>
    <v>XNYS:MCK</v>
    <v>827</v>
  </rv>
  <rv s="18">
    <v>58</v>
    <v>a1qbxm</v>
    <v>Daily</v>
    <v>46108</v>
    <v>46108</v>
    <v>0</v>
    <v>1</v>
    <v>639101664000000000,639106637234939419,0</v>
    <v>2</v>
    <v>a1qbxm</v>
    <v>XNYS:CRL</v>
    <v>828</v>
  </rv>
  <rv s="18">
    <v>58</v>
    <v>a1zutc</v>
    <v>Weekly</v>
    <v>45921</v>
    <v>46109</v>
    <v>0</v>
    <v>1</v>
    <v>639101664000000000,639107140724135089,0</v>
    <v>0</v>
    <v>a1zutc</v>
    <v>XNYS:PHM</v>
    <v>829</v>
  </rv>
  <rv s="18">
    <v>58</v>
    <v>a23rjc</v>
    <v>Daily</v>
    <v>46108</v>
    <v>46108</v>
    <v>0</v>
    <v>1</v>
    <v>639101664000000000,639106637104233743,0</v>
    <v>2</v>
    <v>a23rjc</v>
    <v>XNAS:STX</v>
    <v>830</v>
  </rv>
  <rv s="18">
    <v>58</v>
    <v>a1npa2</v>
    <v>Weekly</v>
    <v>45921</v>
    <v>46109</v>
    <v>0</v>
    <v>1</v>
    <v>639101664000000000,639107140676244625,0</v>
    <v>0</v>
    <v>a1npa2</v>
    <v>XNYS:ARES</v>
    <v>831</v>
  </rv>
  <rv s="18">
    <v>58</v>
    <v>a24ynm</v>
    <v>Weekly</v>
    <v>45921</v>
    <v>46109</v>
    <v>0</v>
    <v>1</v>
    <v>639101664000000000,639107140663310914,0</v>
    <v>0</v>
    <v>a24ynm</v>
    <v>XNYS:UPS</v>
    <v>832</v>
  </rv>
  <rv s="18">
    <v>58</v>
    <v>a1uv7w</v>
    <v>Weekly</v>
    <v>45921</v>
    <v>46109</v>
    <v>0</v>
    <v>1</v>
    <v>639101664000000000,639107140735899344,0</v>
    <v>0</v>
    <v>a1uv7w</v>
    <v>XNYS:HRL</v>
    <v>833</v>
  </rv>
  <rv s="18">
    <v>58</v>
    <v>a226jc</v>
    <v>Weekly</v>
    <v>45921</v>
    <v>46109</v>
    <v>0</v>
    <v>1</v>
    <v>639101664000000000,639107140755155232,0</v>
    <v>0</v>
    <v>a226jc</v>
    <v>XNYS:ROK</v>
    <v>834</v>
  </rv>
  <rv s="18">
    <v>58</v>
    <v>a1zxcw</v>
    <v>Daily</v>
    <v>46108</v>
    <v>46108</v>
    <v>0</v>
    <v>1</v>
    <v>639101664000000000,639106637079334657,0</v>
    <v>2</v>
    <v>a1zxcw</v>
    <v>XNYS:RVTY</v>
    <v>835</v>
  </rv>
  <rv s="18">
    <v>58</v>
    <v>a1wt7w</v>
    <v>Weekly</v>
    <v>45921</v>
    <v>46109</v>
    <v>0</v>
    <v>1</v>
    <v>639101664000000000,639107140747114333,0</v>
    <v>0</v>
    <v>a1wt7w</v>
    <v>XNYS:LDOS</v>
    <v>836</v>
  </rv>
  <rv s="18">
    <v>58</v>
    <v>a23jjc</v>
    <v>Weekly</v>
    <v>45921</v>
    <v>46109</v>
    <v>0</v>
    <v>1</v>
    <v>639101664000000000,639107140669609898,0</v>
    <v>0</v>
    <v>a23jjc</v>
    <v>XNYS:SRE</v>
    <v>837</v>
  </rv>
  <rv s="18">
    <v>58</v>
    <v>a1rcp2</v>
    <v>Weekly</v>
    <v>45921</v>
    <v>46109</v>
    <v>0</v>
    <v>1</v>
    <v>639101664000000000,639107140642961386,0</v>
    <v>0</v>
    <v>a1rcp2</v>
    <v>XNYS:DTE</v>
    <v>838</v>
  </rv>
  <rv s="18">
    <v>60</v>
    <v>aa72pr</v>
    <v>Weekly</v>
    <v>45921</v>
    <v>46109</v>
    <v>0</v>
    <v>1</v>
    <v>639101664000000000,639107140622241813,0</v>
    <v>231</v>
    <v>aa72pr</v>
    <v>XASX:WRK</v>
    <v>839</v>
  </rv>
  <rv s="18">
    <v>58</v>
    <v>a1pffr</v>
    <v>Daily</v>
    <v>46108</v>
    <v>46108</v>
    <v>0</v>
    <v>1</v>
    <v>639101664000000000,639106637079588678,0</v>
    <v>2</v>
    <v>a1pffr</v>
    <v>XNYS:CE</v>
    <v>840</v>
  </rv>
  <rv s="18">
    <v>58</v>
    <v>a1rzh7</v>
    <v>Weekly</v>
    <v>45921</v>
    <v>46109</v>
    <v>0</v>
    <v>1</v>
    <v>639101664000000000,639107140603612283,0</v>
    <v>0</v>
    <v>a1rzh7</v>
    <v>XNAS:ENPH</v>
    <v>841</v>
  </rv>
  <rv s="18">
    <v>58</v>
    <v>a1rmkr</v>
    <v>Daily</v>
    <v>46108</v>
    <v>46108</v>
    <v>0</v>
    <v>1</v>
    <v>639101664000000000,639106637098588540,0</v>
    <v>2</v>
    <v>a1rmkr</v>
    <v>XNYS:ED</v>
    <v>842</v>
  </rv>
  <rv s="18">
    <v>58</v>
    <v>a1wy1h</v>
    <v>Weekly</v>
    <v>45921</v>
    <v>46109</v>
    <v>0</v>
    <v>1</v>
    <v>639101664000000000,639107140722050676,0</v>
    <v>0</v>
    <v>a1wy1h</v>
    <v>XNAS:LKQ</v>
    <v>843</v>
  </rv>
  <rv s="18">
    <v>58</v>
    <v>a1rxu2</v>
    <v>Weekly</v>
    <v>45921</v>
    <v>46109</v>
    <v>0</v>
    <v>1</v>
    <v>639101664000000000,639107140723348905,0</v>
    <v>0</v>
    <v>a1rxu2</v>
    <v>XNYS:EMN</v>
    <v>844</v>
  </rv>
  <rv s="18">
    <v>58</v>
    <v>a1xroc</v>
    <v>Weekly</v>
    <v>45921</v>
    <v>46109</v>
    <v>0</v>
    <v>1</v>
    <v>639101664000000000,639107140600369596,0</v>
    <v>0</v>
    <v>a1xroc</v>
    <v>XNYS:MMM</v>
    <v>845</v>
  </rv>
  <rv s="18">
    <v>58</v>
    <v>a1x8z2</v>
    <v>Daily</v>
    <v>46108</v>
    <v>46108</v>
    <v>0</v>
    <v>1</v>
    <v>639101664000000000,639106637244625774,0</v>
    <v>2</v>
    <v>a1x8z2</v>
    <v>XNYS:MAA</v>
    <v>846</v>
  </rv>
  <rv s="18">
    <v>58</v>
    <v>a1ne3m</v>
    <v>Daily</v>
    <v>46108</v>
    <v>46108</v>
    <v>0</v>
    <v>1</v>
    <v>639101664000000000,639106637125900127,0</v>
    <v>2</v>
    <v>a1ne3m</v>
    <v>XNYS:AME</v>
    <v>847</v>
  </rv>
  <rv s="18">
    <v>58</v>
    <v>axyhnm</v>
    <v>Weekly</v>
    <v>45921</v>
    <v>46109</v>
    <v>0</v>
    <v>1</v>
    <v>639101664000000000,639107140756871159,0</v>
    <v>0</v>
    <v>axyhnm</v>
    <v>XNAS:PEP</v>
    <v>848</v>
  </rv>
  <rv s="18">
    <v>58</v>
    <v>a1yism</v>
    <v>Weekly</v>
    <v>45921</v>
    <v>46109</v>
    <v>0</v>
    <v>1</v>
    <v>639101664000000000,639107140695761108,0</v>
    <v>0</v>
    <v>a1yism</v>
    <v>XNYS:NI</v>
    <v>849</v>
  </rv>
  <rv s="18">
    <v>58</v>
    <v>a1swsm</v>
    <v>Daily</v>
    <v>46108</v>
    <v>46108</v>
    <v>0</v>
    <v>1</v>
    <v>639101664000000000,639106637194709833,0</v>
    <v>2</v>
    <v>a1swsm</v>
    <v>XNYS:FIS</v>
    <v>850</v>
  </rv>
  <rv s="18">
    <v>58</v>
    <v>a1x6m7</v>
    <v>Daily</v>
    <v>46108</v>
    <v>46108</v>
    <v>0</v>
    <v>1</v>
    <v>639101664000000000,639106637278234160,0</v>
    <v>2</v>
    <v>a1x6m7</v>
    <v>XNAS:LULU</v>
    <v>851</v>
  </rv>
  <rv s="18">
    <v>58</v>
    <v>a244dm</v>
    <v>Daily</v>
    <v>46108</v>
    <v>46108</v>
    <v>0</v>
    <v>1</v>
    <v>639101664000000000,639106637194298359,0</v>
    <v>2</v>
    <v>a244dm</v>
    <v>XNYS:TEL</v>
    <v>852</v>
  </rv>
  <rv s="18">
    <v>58</v>
    <v>a1ser7</v>
    <v>Daily</v>
    <v>46108</v>
    <v>46108</v>
    <v>0</v>
    <v>1</v>
    <v>639101664000000000,639106637176029051,0</v>
    <v>2</v>
    <v>a1ser7</v>
    <v>XNYS:EW</v>
    <v>853</v>
  </rv>
  <rv s="18">
    <v>58</v>
    <v>a1tppr</v>
    <v>Weekly</v>
    <v>45921</v>
    <v>46109</v>
    <v>0</v>
    <v>1</v>
    <v>639101664000000000,639107140620869177,0</v>
    <v>0</v>
    <v>a1tppr</v>
    <v>XNYS:GD</v>
    <v>854</v>
  </rv>
  <rv s="18">
    <v>58</v>
    <v>a1yq5r</v>
    <v>Weekly</v>
    <v>45921</v>
    <v>46109</v>
    <v>0</v>
    <v>1</v>
    <v>639101664000000000,639107140735185442,0</v>
    <v>0</v>
    <v>a1yq5r</v>
    <v>XNYS:NSC</v>
    <v>855</v>
  </rv>
  <rv s="18">
    <v>58</v>
    <v>a24war</v>
    <v>Weekly</v>
    <v>45921</v>
    <v>46109</v>
    <v>0</v>
    <v>1</v>
    <v>639101664000000000,639107140621972450,0</v>
    <v>0</v>
    <v>a24war</v>
    <v>XNAS:ULTA</v>
    <v>856</v>
  </rv>
  <rv s="18">
    <v>58</v>
    <v>a25xm7</v>
    <v>Weekly</v>
    <v>45921</v>
    <v>46109</v>
    <v>0</v>
    <v>1</v>
    <v>639101664000000000,639107140709240052,0</v>
    <v>0</v>
    <v>a25xm7</v>
    <v>XNYS:WMB</v>
    <v>857</v>
  </rv>
  <rv s="18">
    <v>58</v>
    <v>a1o3tc</v>
    <v>Weekly</v>
    <v>45921</v>
    <v>46109</v>
    <v>0</v>
    <v>1</v>
    <v>639101664000000000,639107140759974042,0</v>
    <v>0</v>
    <v>a1o3tc</v>
    <v>XNYS:AZO</v>
    <v>858</v>
  </rv>
  <rv s="18">
    <v>58</v>
    <v>a1xaar</v>
    <v>Daily</v>
    <v>46108</v>
    <v>46108</v>
    <v>0</v>
    <v>1</v>
    <v>639101664000000000,639106637188613820,0</v>
    <v>2</v>
    <v>a1xaar</v>
    <v>XNAS:MAR</v>
    <v>859</v>
  </rv>
  <rv s="18">
    <v>58</v>
    <v>a1vrec</v>
    <v>Daily</v>
    <v>46108</v>
    <v>46108</v>
    <v>0</v>
    <v>1</v>
    <v>639101664000000000,639106637099061422,0</v>
    <v>2</v>
    <v>a1vrec</v>
    <v>XNYS:IRM</v>
    <v>860</v>
  </rv>
  <rv s="18">
    <v>58</v>
    <v>a1qpw7</v>
    <v>Daily</v>
    <v>46108</v>
    <v>46108</v>
    <v>0</v>
    <v>1</v>
    <v>639101664000000000,639106637121361157,0</v>
    <v>2</v>
    <v>a1qpw7</v>
    <v>XNYS:D</v>
    <v>861</v>
  </rv>
  <rv s="18">
    <v>58</v>
    <v>a1r9cw</v>
    <v>Daily</v>
    <v>46108</v>
    <v>46108</v>
    <v>0</v>
    <v>1</v>
    <v>639101664000000000,639106637085683514,0</v>
    <v>2</v>
    <v>a1r9cw</v>
    <v>XNAS:KDP</v>
    <v>862</v>
  </rv>
  <rv s="18">
    <v>62</v>
    <v>aajh6h</v>
    <v>Daily</v>
    <v>46108</v>
    <v>46108</v>
    <v>0</v>
    <v>1</v>
    <v>639101664000000000,639106637172884488,0</v>
    <v>2</v>
    <v>aajh6h</v>
    <v>XWBO:PFE</v>
    <v>863</v>
  </rv>
  <rv s="18">
    <v>58</v>
    <v>a1wksm</v>
    <v>Daily</v>
    <v>46108</v>
    <v>46108</v>
    <v>0</v>
    <v>1</v>
    <v>639101664000000000,639106637155637453,0</v>
    <v>2</v>
    <v>a1wksm</v>
    <v>XNYS:KMX</v>
    <v>864</v>
  </rv>
  <rv s="18">
    <v>58</v>
    <v>a1yrar</v>
    <v>Weekly</v>
    <v>45921</v>
    <v>46109</v>
    <v>0</v>
    <v>1</v>
    <v>639101664000000000,639107140628727503,0</v>
    <v>0</v>
    <v>a1yrar</v>
    <v>XNAS:NTAP</v>
    <v>865</v>
  </rv>
  <rv s="18">
    <v>58</v>
    <v>a1zbec</v>
    <v>Weekly</v>
    <v>45921</v>
    <v>46109</v>
    <v>0</v>
    <v>1</v>
    <v>639101664000000000,639107140737318727,0</v>
    <v>0</v>
    <v>a1zbec</v>
    <v>XNYS:ORCL</v>
    <v>866</v>
  </rv>
  <rv s="18">
    <v>58</v>
    <v>a21zf2</v>
    <v>Weekly</v>
    <v>45921</v>
    <v>46109</v>
    <v>0</v>
    <v>1</v>
    <v>639101664000000000,639107140697461947,0</v>
    <v>0</v>
    <v>a21zf2</v>
    <v>XNYS:RHI</v>
    <v>867</v>
  </rv>
  <rv s="18">
    <v>58</v>
    <v>a26fim</v>
    <v>Weekly</v>
    <v>45921</v>
    <v>46109</v>
    <v>0</v>
    <v>1</v>
    <v>639101664000000000,639107140740417353,0</v>
    <v>0</v>
    <v>a26fim</v>
    <v>XNYS:ZBH</v>
    <v>868</v>
  </rv>
  <rv s="18">
    <v>58</v>
    <v>a1wj9c</v>
    <v>Weekly</v>
    <v>45921</v>
    <v>46109</v>
    <v>0</v>
    <v>1</v>
    <v>639101664000000000,639107140606732915,0</v>
    <v>0</v>
    <v>a1wj9c</v>
    <v>XNYS:KKR</v>
    <v>869</v>
  </rv>
  <rv s="18">
    <v>58</v>
    <v>a1r32w</v>
    <v>Weekly</v>
    <v>45921</v>
    <v>46109</v>
    <v>0</v>
    <v>1</v>
    <v>639101664000000000,639107140728853997,0</v>
    <v>0</v>
    <v>a1r32w</v>
    <v>XNAS:WBD</v>
    <v>870</v>
  </rv>
  <rv s="18">
    <v>58</v>
    <v>bpifbh</v>
    <v>Daily</v>
    <v>46108</v>
    <v>46108</v>
    <v>0</v>
    <v>1</v>
    <v>639101664000000000,639106637121426872,0</v>
    <v>2</v>
    <v>bpifbh</v>
    <v>XNYS:DOW</v>
    <v>871</v>
  </rv>
  <rv s="18">
    <v>58</v>
    <v>a1zzmw</v>
    <v>Daily</v>
    <v>46108</v>
    <v>46108</v>
    <v>0</v>
    <v>1</v>
    <v>639101664000000000,639106637076472364,0</v>
    <v>2</v>
    <v>a1zzmw</v>
    <v>XNYS:PM</v>
    <v>872</v>
  </rv>
  <rv s="18">
    <v>58</v>
    <v>a1w8ec</v>
    <v>Daily</v>
    <v>46108</v>
    <v>46108</v>
    <v>0</v>
    <v>1</v>
    <v>639101664000000000,639106637218036140,0</v>
    <v>2</v>
    <v>a1w8ec</v>
    <v>XNYS:JNJ</v>
    <v>873</v>
  </rv>
  <rv s="18">
    <v>58</v>
    <v>a1wkbh</v>
    <v>Weekly</v>
    <v>45921</v>
    <v>46109</v>
    <v>0</v>
    <v>1</v>
    <v>639101664000000000,639107140654703845,0</v>
    <v>0</v>
    <v>a1wkbh</v>
    <v>XNYS:KMI</v>
    <v>874</v>
  </rv>
  <rv s="18">
    <v>58</v>
    <v>a1tctc</v>
    <v>Daily</v>
    <v>46108</v>
    <v>46108</v>
    <v>0</v>
    <v>1</v>
    <v>639101664000000000,639106637127534946,0</v>
    <v>2</v>
    <v>a1tctc</v>
    <v>XNYS:FRT</v>
    <v>875</v>
  </rv>
  <rv s="18">
    <v>58</v>
    <v>a1vwxm</v>
    <v>Weekly</v>
    <v>45921</v>
    <v>46109</v>
    <v>0</v>
    <v>1</v>
    <v>639101664000000000,639107140724380419,0</v>
    <v>0</v>
    <v>a1vwxm</v>
    <v>XNYS:IVZ</v>
    <v>876</v>
  </rv>
  <rv s="18">
    <v>58</v>
    <v>a1o4ec</v>
    <v>Daily</v>
    <v>46108</v>
    <v>46108</v>
    <v>0</v>
    <v>1</v>
    <v>639101664000000000,639106637288594415,0</v>
    <v>2</v>
    <v>a1o4ec</v>
    <v>XNYS:BA</v>
    <v>877</v>
  </rv>
  <rv s="18">
    <v>58</v>
    <v>caydcw</v>
    <v>Daily</v>
    <v>46108</v>
    <v>46108</v>
    <v>0</v>
    <v>1</v>
    <v>639101664000000000,639107140705819034,0</v>
    <v>2</v>
    <v>caydcw</v>
    <v>XNYS:VLTO</v>
    <v>878</v>
  </rv>
  <rv s="18">
    <v>58</v>
    <v>a246z2</v>
    <v>Daily</v>
    <v>46108</v>
    <v>46108</v>
    <v>0</v>
    <v>1</v>
    <v>639101664000000000,639106637221032975,0</v>
    <v>2</v>
    <v>a246z2</v>
    <v>XNYS:TGT</v>
    <v>879</v>
  </rv>
  <rv s="18">
    <v>58</v>
    <v>b19hc7</v>
    <v>Daily</v>
    <v>46108</v>
    <v>46108</v>
    <v>0</v>
    <v>1</v>
    <v>639101664000000000,639106637125889051,0</v>
    <v>2</v>
    <v>b19hc7</v>
    <v>XNYS:VRT</v>
    <v>880</v>
  </rv>
  <rv s="18">
    <v>58</v>
    <v>a22ydm</v>
    <v>Daily</v>
    <v>46108</v>
    <v>46108</v>
    <v>0</v>
    <v>1</v>
    <v>639101664000000000,639106637108690674,0</v>
    <v>2</v>
    <v>a22ydm</v>
    <v>XNYS:SIG</v>
    <v>881</v>
  </rv>
  <rv s="18">
    <v>58</v>
    <v>a1zy3m</v>
    <v>Weekly</v>
    <v>45921</v>
    <v>46109</v>
    <v>0</v>
    <v>1</v>
    <v>639101664000000000,639107140769521719,0</v>
    <v>0</v>
    <v>a1zy3m</v>
    <v>XNYS:PLD</v>
    <v>882</v>
  </rv>
  <rv s="18">
    <v>58</v>
    <v>a1mptc</v>
    <v>Daily</v>
    <v>46108</v>
    <v>46108</v>
    <v>0</v>
    <v>1</v>
    <v>639101664000000000,639106637195014478,0</v>
    <v>2</v>
    <v>a1mptc</v>
    <v>XNYS:COR</v>
    <v>883</v>
  </rv>
  <rv s="18">
    <v>58</v>
    <v>a1tvzr</v>
    <v>Weekly</v>
    <v>45921</v>
    <v>46109</v>
    <v>0</v>
    <v>1</v>
    <v>639101664000000000,639107140693256111,0</v>
    <v>0</v>
    <v>a1tvzr</v>
    <v>XNYS:GIS</v>
    <v>884</v>
  </rv>
  <rv s="18">
    <v>59</v>
    <v>c8iph7</v>
    <v>Daily</v>
    <v>46108</v>
    <v>46108</v>
    <v>0</v>
    <v>1</v>
    <v>639101664000000000,639106637199487633,0</v>
    <v>2</v>
    <v>c8iph7</v>
    <v>XLON:SATS</v>
    <v>885</v>
  </rv>
  <rv s="18">
    <v>58</v>
    <v>a25rnm</v>
    <v>Daily</v>
    <v>46108</v>
    <v>46108</v>
    <v>0</v>
    <v>1</v>
    <v>639101664000000000,639106637098089949,0</v>
    <v>2</v>
    <v>a25rnm</v>
    <v>XNAS:WDC</v>
    <v>886</v>
  </rv>
  <rv s="18">
    <v>58</v>
    <v>a1qe5r</v>
    <v>Daily</v>
    <v>46108</v>
    <v>46108</v>
    <v>0</v>
    <v>1</v>
    <v>639101664000000000,639106637240777255,0</v>
    <v>2</v>
    <v>a1qe5r</v>
    <v>XNAS:CSCO</v>
    <v>887</v>
  </rv>
  <rv s="18">
    <v>58</v>
    <v>a1o9gh</v>
    <v>Daily</v>
    <v>46108</v>
    <v>46108</v>
    <v>0</v>
    <v>1</v>
    <v>639101664000000000,639106637110490820,0</v>
    <v>2</v>
    <v>a1o9gh</v>
    <v>XNYS:BBY</v>
    <v>888</v>
  </rv>
  <rv s="18">
    <v>58</v>
    <v>a21d27</v>
    <v>Weekly</v>
    <v>45921</v>
    <v>46109</v>
    <v>0</v>
    <v>1</v>
    <v>639101664000000000,639107140744960000,0</v>
    <v>0</v>
    <v>a21d27</v>
    <v>XNYS:PSX</v>
    <v>889</v>
  </rv>
  <rv s="18">
    <v>58</v>
    <v>a1u7xm</v>
    <v>Weekly</v>
    <v>45921</v>
    <v>46109</v>
    <v>0</v>
    <v>1</v>
    <v>639101664000000000,639107140732479294,0</v>
    <v>0</v>
    <v>a1u7xm</v>
    <v>XNYS:GS</v>
    <v>890</v>
  </rv>
  <rv s="18">
    <v>58</v>
    <v>c8bc4c</v>
    <v>Daily</v>
    <v>46108</v>
    <v>46108</v>
    <v>0</v>
    <v>1</v>
    <v>639101664000000000,639106637120116712,0</v>
    <v>2</v>
    <v>c8bc4c</v>
    <v>XNAS:GEHC</v>
    <v>891</v>
  </rv>
  <rv s="18">
    <v>58</v>
    <v>a1rec7</v>
    <v>Daily</v>
    <v>46108</v>
    <v>46108</v>
    <v>0</v>
    <v>1</v>
    <v>639101664000000000,639106637096699481,0</v>
    <v>2</v>
    <v>a1rec7</v>
    <v>XNYS:DVA</v>
    <v>892</v>
  </rv>
  <rv s="18">
    <v>58</v>
    <v>a251gh</v>
    <v>Weekly</v>
    <v>45921</v>
    <v>46109</v>
    <v>0</v>
    <v>1</v>
    <v>639101664000000000,639107140601649578,0</v>
    <v>0</v>
    <v>a251gh</v>
    <v>XNYS:USB</v>
    <v>893</v>
  </rv>
  <rv s="18">
    <v>58</v>
    <v>a1mrar</v>
    <v>Daily</v>
    <v>46108</v>
    <v>46108</v>
    <v>0</v>
    <v>1</v>
    <v>639101664000000000,639106637175859010,0</v>
    <v>2</v>
    <v>a1mrar</v>
    <v>XNYS:ABT</v>
    <v>894</v>
  </rv>
  <rv s="18">
    <v>58</v>
    <v>a1myk2</v>
    <v>Weekly</v>
    <v>45921</v>
    <v>46109</v>
    <v>0</v>
    <v>1</v>
    <v>639101664000000000,639107140758659822,0</v>
    <v>0</v>
    <v>a1myk2</v>
    <v>XNYS:AES</v>
    <v>895</v>
  </rv>
  <rv s="18">
    <v>58</v>
    <v>a1u3p2</v>
    <v>Weekly</v>
    <v>45921</v>
    <v>46109</v>
    <v>0</v>
    <v>1</v>
    <v>639101664000000000,639107140610484034,0</v>
    <v>0</v>
    <v>a1u3p2</v>
    <v>XNAS:GOOG</v>
    <v>896</v>
  </rv>
  <rv s="18">
    <v>58</v>
    <v>bzu86h</v>
    <v>Weekly</v>
    <v>45921</v>
    <v>46109</v>
    <v>0</v>
    <v>1</v>
    <v>639101664000000000,639107140782796328,0</v>
    <v>0</v>
    <v>bzu86h</v>
    <v>XNAS:COIN</v>
    <v>897</v>
  </rv>
  <rv s="18">
    <v>58</v>
    <v>a26fim</v>
    <v>Daily</v>
    <v>46108</v>
    <v>46108</v>
    <v>0</v>
    <v>1</v>
    <v>639101664000000000,639106637255399493,0</v>
    <v>2</v>
    <v>a26fim</v>
    <v>XNYS:ZBH</v>
    <v>898</v>
  </rv>
  <rv s="18">
    <v>58</v>
    <v>a1vqnm</v>
    <v>Daily</v>
    <v>46108</v>
    <v>46108</v>
    <v>0</v>
    <v>1</v>
    <v>639101664000000000,639106637276549129,0</v>
    <v>2</v>
    <v>a1vqnm</v>
    <v>XNYS:TT</v>
    <v>899</v>
  </rv>
  <rv s="18">
    <v>58</v>
    <v>a1pejc</v>
    <v>Daily</v>
    <v>46108</v>
    <v>46108</v>
    <v>0</v>
    <v>1</v>
    <v>639101664000000000,639106637266124191,0</v>
    <v>2</v>
    <v>a1pejc</v>
    <v>XNAS:CDNS</v>
    <v>900</v>
  </rv>
  <rv s="18">
    <v>58</v>
    <v>a1o2lh</v>
    <v>Daily</v>
    <v>46108</v>
    <v>46108</v>
    <v>0</v>
    <v>1</v>
    <v>639101664000000000,639106637180282980,0</v>
    <v>2</v>
    <v>a1o2lh</v>
    <v>XNYS:AXP</v>
    <v>901</v>
  </rv>
  <rv s="18">
    <v>58</v>
    <v>a1p7zr</v>
    <v>Weekly</v>
    <v>45921</v>
    <v>46109</v>
    <v>0</v>
    <v>1</v>
    <v>639101664000000000,639107140718340913,0</v>
    <v>0</v>
    <v>a1p7zr</v>
    <v>XNYS:CAT</v>
    <v>902</v>
  </rv>
  <rv s="18">
    <v>58</v>
    <v>a1vp77</v>
    <v>Daily</v>
    <v>46108</v>
    <v>46108</v>
    <v>0</v>
    <v>1</v>
    <v>639101664000000000,639106637169891528,0</v>
    <v>2</v>
    <v>a1vp77</v>
    <v>XNAS:IPGP</v>
    <v>903</v>
  </rv>
  <rv s="18">
    <v>58</v>
    <v>a1rrh7</v>
    <v>Daily</v>
    <v>46108</v>
    <v>46108</v>
    <v>0</v>
    <v>1</v>
    <v>639101664000000000,639106637133497798,0</v>
    <v>2</v>
    <v>a1rrh7</v>
    <v>XNYS:EFX</v>
    <v>904</v>
  </rv>
  <rv s="18">
    <v>58</v>
    <v>a1zy3m</v>
    <v>Daily</v>
    <v>46108</v>
    <v>46108</v>
    <v>0</v>
    <v>1</v>
    <v>639101664000000000,639106637213289466,0</v>
    <v>2</v>
    <v>a1zy3m</v>
    <v>XNYS:PLD</v>
    <v>905</v>
  </rv>
  <rv s="18">
    <v>58</v>
    <v>a1yngh</v>
    <v>Weekly</v>
    <v>45921</v>
    <v>46109</v>
    <v>0</v>
    <v>1</v>
    <v>639101664000000000,639107140748865767,0</v>
    <v>0</v>
    <v>a1yngh</v>
    <v>XNYS:NOC</v>
    <v>906</v>
  </rv>
  <rv s="18">
    <v>58</v>
    <v>a24mnm</v>
    <v>Daily</v>
    <v>46108</v>
    <v>46108</v>
    <v>0</v>
    <v>1</v>
    <v>639101664000000000,639106637260023185,0</v>
    <v>2</v>
    <v>a24mnm</v>
    <v>XNAS:TTWO</v>
    <v>907</v>
  </rv>
  <rv s="18">
    <v>58</v>
    <v>a1waa2</v>
    <v>Daily</v>
    <v>46108</v>
    <v>46108</v>
    <v>0</v>
    <v>1</v>
    <v>639101664000000000,639106637149056969,0</v>
    <v>2</v>
    <v>a1waa2</v>
    <v>XNYS:JPM</v>
    <v>908</v>
  </rv>
  <rv s="18">
    <v>58</v>
    <v>aw2c52</v>
    <v>Weekly</v>
    <v>45921</v>
    <v>46109</v>
    <v>0</v>
    <v>1</v>
    <v>639101664000000000,639107140623714740,0</v>
    <v>0</v>
    <v>aw2c52</v>
    <v>XNYS:IQV</v>
    <v>909</v>
  </rv>
  <rv s="18">
    <v>58</v>
    <v>a24war</v>
    <v>Daily</v>
    <v>46108</v>
    <v>46108</v>
    <v>0</v>
    <v>1</v>
    <v>639101664000000000,639106637130512981,0</v>
    <v>2</v>
    <v>a24war</v>
    <v>XNAS:ULTA</v>
    <v>910</v>
  </rv>
  <rv s="18">
    <v>58</v>
    <v>a1mv7w</v>
    <v>Weekly</v>
    <v>45921</v>
    <v>46109</v>
    <v>0</v>
    <v>1</v>
    <v>639101664000000000,639107140731815151,0</v>
    <v>0</v>
    <v>a1mv7w</v>
    <v>XNAS:ADBE</v>
    <v>911</v>
  </rv>
  <rv s="18">
    <v>58</v>
    <v>a1nqw7</v>
    <v>Weekly</v>
    <v>45921</v>
    <v>46109</v>
    <v>0</v>
    <v>1</v>
    <v>639101664000000000,639107140689645081,0</v>
    <v>0</v>
    <v>a1nqw7</v>
    <v>XNYS:HWM</v>
    <v>912</v>
  </rv>
  <rv s="18">
    <v>58</v>
    <v>a24fmw</v>
    <v>Daily</v>
    <v>46108</v>
    <v>46108</v>
    <v>0</v>
    <v>1</v>
    <v>639101664000000000,639106637257049687,0</v>
    <v>2</v>
    <v>a24fmw</v>
    <v>XNYS:TPR</v>
    <v>913</v>
  </rv>
  <rv s="18">
    <v>58</v>
    <v>a1x7im</v>
    <v>Daily</v>
    <v>46108</v>
    <v>46108</v>
    <v>0</v>
    <v>1</v>
    <v>639101664000000000,639106637281984238,0</v>
    <v>2</v>
    <v>a1x7im</v>
    <v>XNYS:LVS</v>
    <v>914</v>
  </rv>
  <rv s="18">
    <v>58</v>
    <v>a1qeh7</v>
    <v>Weekly</v>
    <v>45921</v>
    <v>46109</v>
    <v>0</v>
    <v>1</v>
    <v>639101664000000000,639107140741293264,0</v>
    <v>0</v>
    <v>a1qeh7</v>
    <v>XNAS:CSGP</v>
    <v>915</v>
  </rv>
  <rv s="18">
    <v>58</v>
    <v>a23d6h</v>
    <v>Daily</v>
    <v>46108</v>
    <v>46108</v>
    <v>0</v>
    <v>1</v>
    <v>639101664000000000,639106637104106698,0</v>
    <v>2</v>
    <v>a23d6h</v>
    <v>XNYS:SPG</v>
    <v>916</v>
  </rv>
  <rv s="18">
    <v>58</v>
    <v>a1ww5r</v>
    <v>Daily</v>
    <v>46108</v>
    <v>46108</v>
    <v>0</v>
    <v>1</v>
    <v>639101664000000000,639106637149006980,0</v>
    <v>2</v>
    <v>a1ww5r</v>
    <v>XNYS:LH</v>
    <v>917</v>
  </rv>
  <rv s="18">
    <v>58</v>
    <v>a1wksm</v>
    <v>Weekly</v>
    <v>45921</v>
    <v>46109</v>
    <v>0</v>
    <v>1</v>
    <v>639101664000000000,639107140758621232,0</v>
    <v>0</v>
    <v>a1wksm</v>
    <v>XNYS:KMX</v>
    <v>918</v>
  </rv>
  <rv s="18">
    <v>58</v>
    <v>a23wlh</v>
    <v>Daily</v>
    <v>46108</v>
    <v>46108</v>
    <v>0</v>
    <v>1</v>
    <v>639101664000000000,639106637172511397,0</v>
    <v>2</v>
    <v>a23wlh</v>
    <v>XNYS:SYY</v>
    <v>919</v>
  </rv>
  <rv s="18">
    <v>58</v>
    <v>a1qgcw</v>
    <v>Weekly</v>
    <v>45921</v>
    <v>46109</v>
    <v>0</v>
    <v>1</v>
    <v>639101664000000000,639107140640146350,0</v>
    <v>0</v>
    <v>a1qgcw</v>
    <v>XNAS:CTAS</v>
    <v>920</v>
  </rv>
  <rv s="18">
    <v>58</v>
    <v>a1njmw</v>
    <v>Weekly</v>
    <v>45921</v>
    <v>46109</v>
    <v>0</v>
    <v>1</v>
    <v>639101664000000000,639107140748451852,0</v>
    <v>0</v>
    <v>a1njmw</v>
    <v>XNYS:ELV</v>
    <v>921</v>
  </rv>
  <rv s="18">
    <v>58</v>
    <v>a1pwqh</v>
    <v>Daily</v>
    <v>46108</v>
    <v>46108</v>
    <v>0</v>
    <v>1</v>
    <v>639101664000000000,639106637267140361,0</v>
    <v>2</v>
    <v>a1pwqh</v>
    <v>XNAS:CMCSA</v>
    <v>922</v>
  </rv>
  <rv s="18">
    <v>58</v>
    <v>a1qgcw</v>
    <v>Daily</v>
    <v>46108</v>
    <v>46108</v>
    <v>0</v>
    <v>1</v>
    <v>639101664000000000,639106637152106342,0</v>
    <v>2</v>
    <v>a1qgcw</v>
    <v>XNAS:CTAS</v>
    <v>923</v>
  </rv>
  <rv s="18">
    <v>58</v>
    <v>a1xzim</v>
    <v>Weekly</v>
    <v>45921</v>
    <v>46109</v>
    <v>0</v>
    <v>1</v>
    <v>639101664000000000,639107140732087871,0</v>
    <v>0</v>
    <v>a1xzim</v>
    <v>XNAS:MSFT</v>
    <v>924</v>
  </rv>
  <rv s="18">
    <v>58</v>
    <v>a1tpyc</v>
    <v>Weekly</v>
    <v>45921</v>
    <v>46109</v>
    <v>0</v>
    <v>1</v>
    <v>639101664000000000,639107140645957530,0</v>
    <v>0</v>
    <v>a1tpyc</v>
    <v>XNYS:IR</v>
    <v>925</v>
  </rv>
  <rv s="18">
    <v>58</v>
    <v>a1y2ec</v>
    <v>Weekly</v>
    <v>45921</v>
    <v>46109</v>
    <v>0</v>
    <v>1</v>
    <v>639101664000000000,639107140706622821,0</v>
    <v>0</v>
    <v>a1y2ec</v>
    <v>XNYS:MTD</v>
    <v>926</v>
  </rv>
  <rv s="18">
    <v>58</v>
    <v>a1v8ar</v>
    <v>Daily</v>
    <v>46108</v>
    <v>46108</v>
    <v>0</v>
    <v>1</v>
    <v>639101664000000000,639106637147506533,0</v>
    <v>2</v>
    <v>a1v8ar</v>
    <v>XNYS:ICE</v>
    <v>927</v>
  </rv>
  <rv s="18">
    <v>58</v>
    <v>a1npa2</v>
    <v>Daily</v>
    <v>46108</v>
    <v>46108</v>
    <v>0</v>
    <v>1</v>
    <v>639101664000000000,639106637088720193,0</v>
    <v>2</v>
    <v>a1npa2</v>
    <v>XNYS:ARES</v>
    <v>928</v>
  </rv>
  <rv s="18">
    <v>58</v>
    <v>bp8fzr</v>
    <v>Daily</v>
    <v>46108</v>
    <v>46108</v>
    <v>0</v>
    <v>1</v>
    <v>639101664000000000,639106637191551745,0</v>
    <v>2</v>
    <v>bp8fzr</v>
    <v>XNAS:FOX</v>
    <v>929</v>
  </rv>
  <rv s="18">
    <v>58</v>
    <v>a23rm7</v>
    <v>Daily</v>
    <v>46108</v>
    <v>46108</v>
    <v>0</v>
    <v>1</v>
    <v>639101664000000000,639106637170962241,0</v>
    <v>2</v>
    <v>a23rm7</v>
    <v>XNYS:STZ</v>
    <v>930</v>
  </rv>
  <rv s="18">
    <v>58</v>
    <v>ccmvww</v>
    <v>Daily</v>
    <v>46108</v>
    <v>46108</v>
    <v>0</v>
    <v>1</v>
    <v>639101664000000000,639107140692619925,0</v>
    <v>2</v>
    <v>ccmvww</v>
    <v>XNYS:GEV</v>
    <v>931</v>
  </rv>
  <rv s="18">
    <v>58</v>
    <v>a237gh</v>
    <v>Daily</v>
    <v>46108</v>
    <v>46108</v>
    <v>0</v>
    <v>1</v>
    <v>639101664000000000,639106637124515076,0</v>
    <v>2</v>
    <v>a237gh</v>
    <v>XNYS:SNA</v>
    <v>932</v>
  </rv>
  <rv s="18">
    <v>58</v>
    <v>a246z2</v>
    <v>Weekly</v>
    <v>45921</v>
    <v>46109</v>
    <v>0</v>
    <v>1</v>
    <v>639101664000000000,639107140774619344,0</v>
    <v>0</v>
    <v>a246z2</v>
    <v>XNYS:TGT</v>
    <v>933</v>
  </rv>
  <rv s="18">
    <v>58</v>
    <v>a1vc52</v>
    <v>Daily</v>
    <v>46108</v>
    <v>46108</v>
    <v>0</v>
    <v>1</v>
    <v>639101664000000000,639106637239434580,0</v>
    <v>2</v>
    <v>a1vc52</v>
    <v>XNYS:IEX</v>
    <v>934</v>
  </rv>
  <rv s="18">
    <v>58</v>
    <v>a1ppvh</v>
    <v>Daily</v>
    <v>46108</v>
    <v>46108</v>
    <v>0</v>
    <v>1</v>
    <v>639101664000000000,639106637098272676,0</v>
    <v>2</v>
    <v>a1ppvh</v>
    <v>XNYS:CIEN</v>
    <v>935</v>
  </rv>
  <rv s="18">
    <v>58</v>
    <v>azetdm</v>
    <v>Daily</v>
    <v>46108</v>
    <v>46108</v>
    <v>0</v>
    <v>1</v>
    <v>639101664000000000,639106637121390766,0</v>
    <v>2</v>
    <v>azetdm</v>
    <v>XNYS:CBRE</v>
    <v>936</v>
  </rv>
  <rv s="18">
    <v>58</v>
    <v>a24kar</v>
    <v>Daily</v>
    <v>46108</v>
    <v>46108</v>
    <v>0</v>
    <v>1</v>
    <v>639101664000000000,639106637099591049,0</v>
    <v>2</v>
    <v>a24kar</v>
    <v>XNAS:TSLA</v>
    <v>937</v>
  </rv>
  <rv s="18">
    <v>58</v>
    <v>a1odxm</v>
    <v>Daily</v>
    <v>46108</v>
    <v>46108</v>
    <v>0</v>
    <v>1</v>
    <v>639101664000000000,639106637238794558,0</v>
    <v>2</v>
    <v>a1odxm</v>
    <v>XNYS:BF.B</v>
    <v>202</v>
  </rv>
  <rv s="18">
    <v>58</v>
    <v>a1vcgh</v>
    <v>Daily</v>
    <v>46108</v>
    <v>46108</v>
    <v>0</v>
    <v>1</v>
    <v>639101664000000000,639106637180382267,0</v>
    <v>2</v>
    <v>a1vcgh</v>
    <v>XNYS:IFF</v>
    <v>938</v>
  </rv>
  <rv s="18">
    <v>58</v>
    <v>a1o4ec</v>
    <v>Weekly</v>
    <v>45921</v>
    <v>46109</v>
    <v>0</v>
    <v>1</v>
    <v>639101664000000000,639107140698730141,0</v>
    <v>0</v>
    <v>a1o4ec</v>
    <v>XNYS:BA</v>
    <v>939</v>
  </rv>
  <rv s="18">
    <v>58</v>
    <v>a25omw</v>
    <v>Weekly</v>
    <v>45921</v>
    <v>46109</v>
    <v>0</v>
    <v>1</v>
    <v>639101664000000000,639107140647865352,0</v>
    <v>0</v>
    <v>a25omw</v>
    <v>XNYS:WAB</v>
    <v>940</v>
  </rv>
  <rv s="18">
    <v>58</v>
    <v>a1wpxm</v>
    <v>Daily</v>
    <v>46108</v>
    <v>46108</v>
    <v>0</v>
    <v>1</v>
    <v>639101664000000000,639106637153560146,0</v>
    <v>2</v>
    <v>a1wpxm</v>
    <v>XNYS:L</v>
    <v>941</v>
  </rv>
  <rv s="18">
    <v>58</v>
    <v>a213kr</v>
    <v>Weekly</v>
    <v>45921</v>
    <v>46109</v>
    <v>0</v>
    <v>1</v>
    <v>639101664000000000,639107140689501225,0</v>
    <v>0</v>
    <v>a213kr</v>
    <v>XNAS:POOL</v>
    <v>942</v>
  </rv>
  <rv s="18">
    <v>58</v>
    <v>a1ruc7</v>
    <v>Daily</v>
    <v>46108</v>
    <v>46108</v>
    <v>0</v>
    <v>1</v>
    <v>639101664000000000,639106637074910112,0</v>
    <v>2</v>
    <v>a1ruc7</v>
    <v>XNYS:EL</v>
    <v>943</v>
  </rv>
  <rv s="18">
    <v>58</v>
    <v>a1s57w</v>
    <v>Daily</v>
    <v>46108</v>
    <v>46108</v>
    <v>0</v>
    <v>1</v>
    <v>639101664000000000,639106637099772456,0</v>
    <v>2</v>
    <v>a1s57w</v>
    <v>XNYS:EQT</v>
    <v>944</v>
  </rv>
  <rv s="18">
    <v>58</v>
    <v>az6zf2</v>
    <v>Weekly</v>
    <v>45921</v>
    <v>46109</v>
    <v>0</v>
    <v>1</v>
    <v>639101664000000000,639107140722161496,0</v>
    <v>0</v>
    <v>az6zf2</v>
    <v>XNYS:WELL</v>
    <v>945</v>
  </rv>
  <rv s="18">
    <v>58</v>
    <v>a1wifr</v>
    <v>Weekly</v>
    <v>45921</v>
    <v>46109</v>
    <v>0</v>
    <v>1</v>
    <v>639101664000000000,639107140604548906,0</v>
    <v>0</v>
    <v>a1wifr</v>
    <v>XNYS:KIM</v>
    <v>946</v>
  </rv>
  <rv s="18">
    <v>58</v>
    <v>bu3f2w</v>
    <v>Weekly</v>
    <v>45921</v>
    <v>46109</v>
    <v>0</v>
    <v>1</v>
    <v>639101664000000000,639107140653364163,0</v>
    <v>0</v>
    <v>bu3f2w</v>
    <v>XNYS:OTIS</v>
    <v>947</v>
  </rv>
  <rv s="18">
    <v>58</v>
    <v>a1vp77</v>
    <v>Weekly</v>
    <v>45921</v>
    <v>46109</v>
    <v>0</v>
    <v>1</v>
    <v>639101664000000000,639107140623761310,0</v>
    <v>0</v>
    <v>a1vp77</v>
    <v>XNAS:IPGP</v>
    <v>948</v>
  </rv>
  <rv s="18">
    <v>58</v>
    <v>a1tdvh</v>
    <v>Daily</v>
    <v>46108</v>
    <v>46108</v>
    <v>0</v>
    <v>1</v>
    <v>639101664000000000,639106637219786492,0</v>
    <v>2</v>
    <v>a1tdvh</v>
    <v>XNAS:FSLR</v>
    <v>949</v>
  </rv>
  <rv s="18">
    <v>58</v>
    <v>a1p18m</v>
    <v>Daily</v>
    <v>46108</v>
    <v>46108</v>
    <v>0</v>
    <v>1</v>
    <v>639101664000000000,639106637237280327,0</v>
    <v>2</v>
    <v>a1p18m</v>
    <v>XNYS:BWA</v>
    <v>950</v>
  </rv>
  <rv s="18">
    <v>58</v>
    <v>a1nda2</v>
    <v>Daily</v>
    <v>46108</v>
    <v>46108</v>
    <v>0</v>
    <v>1</v>
    <v>639101664000000000,639106637105826004,0</v>
    <v>2</v>
    <v>a1nda2</v>
    <v>XNAS:AMAT</v>
    <v>951</v>
  </rv>
  <rv s="18">
    <v>58</v>
    <v>a1zutc</v>
    <v>Daily</v>
    <v>46108</v>
    <v>46108</v>
    <v>0</v>
    <v>1</v>
    <v>639101664000000000,639106637101522172,0</v>
    <v>2</v>
    <v>a1zutc</v>
    <v>XNYS:PHM</v>
    <v>952</v>
  </rv>
  <rv s="18">
    <v>58</v>
    <v>a1z6nm</v>
    <v>Daily</v>
    <v>46108</v>
    <v>46108</v>
    <v>0</v>
    <v>1</v>
    <v>639101664000000000,639106637258387027,0</v>
    <v>2</v>
    <v>a1z6nm</v>
    <v>XNYS:OKE</v>
    <v>953</v>
  </rv>
  <rv s="18">
    <v>58</v>
    <v>a237gh</v>
    <v>Weekly</v>
    <v>45921</v>
    <v>46109</v>
    <v>0</v>
    <v>1</v>
    <v>639101664000000000,639107140718194736,0</v>
    <v>0</v>
    <v>a237gh</v>
    <v>XNYS:SNA</v>
    <v>954</v>
  </rv>
  <rv s="18">
    <v>58</v>
    <v>a22k9c</v>
    <v>Daily</v>
    <v>46108</v>
    <v>46108</v>
    <v>0</v>
    <v>1</v>
    <v>639101664000000000,639106637085654506,0</v>
    <v>2</v>
    <v>a22k9c</v>
    <v>XNAS:SBUX</v>
    <v>955</v>
  </rv>
  <rv s="18">
    <v>58</v>
    <v>a1w1ur</v>
    <v>Weekly</v>
    <v>45921</v>
    <v>46109</v>
    <v>0</v>
    <v>1</v>
    <v>639101664000000000,639107140630318271,0</v>
    <v>0</v>
    <v>a1w1ur</v>
    <v>XNYS:JBL</v>
    <v>956</v>
  </rv>
  <rv s="18">
    <v>58</v>
    <v>a1mpqh</v>
    <v>Weekly</v>
    <v>45921</v>
    <v>46109</v>
    <v>0</v>
    <v>1</v>
    <v>639101664000000000,639107140665432781,0</v>
    <v>0</v>
    <v>a1mpqh</v>
    <v>XNYS:ABBV</v>
    <v>957</v>
  </rv>
  <rv s="18">
    <v>58</v>
    <v>a23vdm</v>
    <v>Daily</v>
    <v>46108</v>
    <v>46108</v>
    <v>0</v>
    <v>1</v>
    <v>639101664000000000,639106637242340795,0</v>
    <v>2</v>
    <v>a23vdm</v>
    <v>XNYS:SYK</v>
    <v>958</v>
  </rv>
  <rv s="18">
    <v>58</v>
    <v>a1nl77</v>
    <v>Daily</v>
    <v>46108</v>
    <v>46108</v>
    <v>0</v>
    <v>1</v>
    <v>639101664000000000,639106637263231075,0</v>
    <v>2</v>
    <v>a1nl77</v>
    <v>XNYS:APD</v>
    <v>959</v>
  </rv>
  <rv s="18">
    <v>58</v>
    <v>a1np4c</v>
    <v>Weekly</v>
    <v>45921</v>
    <v>46109</v>
    <v>0</v>
    <v>1</v>
    <v>639101664000000000,639107140713122545,0</v>
    <v>0</v>
    <v>a1np4c</v>
    <v>XNYS:ARE</v>
    <v>960</v>
  </rv>
  <rv s="18">
    <v>58</v>
    <v>a1qbxm</v>
    <v>Weekly</v>
    <v>45921</v>
    <v>46109</v>
    <v>0</v>
    <v>1</v>
    <v>639101664000000000,639107140742713263,0</v>
    <v>0</v>
    <v>a1qbxm</v>
    <v>XNYS:CRL</v>
    <v>961</v>
  </rv>
  <rv s="18">
    <v>58</v>
    <v>a1sqcw</v>
    <v>Daily</v>
    <v>46108</v>
    <v>46108</v>
    <v>0</v>
    <v>1</v>
    <v>639101664000000000,639106637151876972,0</v>
    <v>2</v>
    <v>a1sqcw</v>
    <v>XNYS:FDS</v>
    <v>962</v>
  </rv>
  <rv s="18">
    <v>58</v>
    <v>a245u2</v>
    <v>Weekly</v>
    <v>45921</v>
    <v>46109</v>
    <v>0</v>
    <v>1</v>
    <v>639101664000000000,639107140643512712,0</v>
    <v>0</v>
    <v>a245u2</v>
    <v>XNYS:TFX</v>
    <v>963</v>
  </rv>
  <rv s="18">
    <v>58</v>
    <v>c1sd3m</v>
    <v>Daily</v>
    <v>46108</v>
    <v>46108</v>
    <v>0</v>
    <v>1</v>
    <v>639101664000000000,639106637287209382,0</v>
    <v>2</v>
    <v>c1sd3m</v>
    <v>XNAS:APP</v>
    <v>964</v>
  </rv>
  <rv s="18">
    <v>58</v>
    <v>a1pp5r</v>
    <v>Daily</v>
    <v>46108</v>
    <v>46108</v>
    <v>0</v>
    <v>1</v>
    <v>639101664000000000,639106637087157771,0</v>
    <v>2</v>
    <v>a1pp5r</v>
    <v>XNYS:CI</v>
    <v>965</v>
  </rv>
  <rv s="18">
    <v>58</v>
    <v>a26fww</v>
    <v>Daily</v>
    <v>46108</v>
    <v>46108</v>
    <v>0</v>
    <v>1</v>
    <v>639101664000000000,639106637133458950,0</v>
    <v>2</v>
    <v>a26fww</v>
    <v>XNAS:ZBRA</v>
    <v>966</v>
  </rv>
  <rv s="18">
    <v>58</v>
    <v>a25par</v>
    <v>Weekly</v>
    <v>45921</v>
    <v>46109</v>
    <v>0</v>
    <v>1</v>
    <v>639101664000000000,639107140663357811,0</v>
    <v>0</v>
    <v>a25par</v>
    <v>XNYS:WAT</v>
    <v>967</v>
  </rv>
  <rv s="18">
    <v>58</v>
    <v>a1tpyc</v>
    <v>Daily</v>
    <v>46108</v>
    <v>46108</v>
    <v>0</v>
    <v>1</v>
    <v>639101664000000000,639106637081795483,0</v>
    <v>2</v>
    <v>a1tpyc</v>
    <v>XNYS:IR</v>
    <v>968</v>
  </rv>
  <rv s="18">
    <v>58</v>
    <v>a1ql9c</v>
    <v>Weekly</v>
    <v>45921</v>
    <v>46109</v>
    <v>0</v>
    <v>1</v>
    <v>639101664000000000,639107140604739752,0</v>
    <v>0</v>
    <v>a1ql9c</v>
    <v>XNYS:CVNA</v>
    <v>969</v>
  </rv>
  <rv s="18">
    <v>59</v>
    <v>aobrkr</v>
    <v>Daily</v>
    <v>46108</v>
    <v>46108</v>
    <v>0</v>
    <v>1</v>
    <v>639101664000000000,639106637243795126,0</v>
    <v>2</v>
    <v>aobrkr</v>
    <v>XLON:MRO</v>
    <v>970</v>
  </rv>
  <rv s="18">
    <v>59</v>
    <v>c8iph7</v>
    <v>Weekly</v>
    <v>45921</v>
    <v>46109</v>
    <v>0</v>
    <v>1</v>
    <v>639101664000000000,639107140669227277,0</v>
    <v>192</v>
    <v>c8iph7</v>
    <v>XLON:SATS</v>
    <v>971</v>
  </rv>
  <rv s="18">
    <v>58</v>
    <v>a1nz8m</v>
    <v>Daily</v>
    <v>46108</v>
    <v>46108</v>
    <v>0</v>
    <v>1</v>
    <v>639101664000000000,639106637080188277,0</v>
    <v>2</v>
    <v>a1nz8m</v>
    <v>XNAS:AVGO</v>
    <v>972</v>
  </rv>
  <rv s="18">
    <v>58</v>
    <v>a24xlh</v>
    <v>Daily</v>
    <v>46108</v>
    <v>46108</v>
    <v>0</v>
    <v>1</v>
    <v>639101664000000000,639106637223002240,0</v>
    <v>2</v>
    <v>a24xlh</v>
    <v>XNYS:UNH</v>
    <v>973</v>
  </rv>
  <rv s="18">
    <v>58</v>
    <v>a1pf4c</v>
    <v>Weekly</v>
    <v>45921</v>
    <v>46109</v>
    <v>0</v>
    <v>1</v>
    <v>639101664000000000,639107140682051255,0</v>
    <v>0</v>
    <v>a1pf4c</v>
    <v>XNAS:CDW</v>
    <v>974</v>
  </rv>
  <rv s="18">
    <v>58</v>
    <v>a2d5gh</v>
    <v>Daily</v>
    <v>46108</v>
    <v>46108</v>
    <v>0</v>
    <v>1</v>
    <v>639101664000000000,639106637223452328,0</v>
    <v>2</v>
    <v>a2d5gh</v>
    <v>XNYS:CRH</v>
    <v>975</v>
  </rv>
  <rv s="18">
    <v>58</v>
    <v>a24qnm</v>
    <v>Weekly</v>
    <v>45921</v>
    <v>46109</v>
    <v>0</v>
    <v>1</v>
    <v>639101664000000000,639107140642053621,0</v>
    <v>0</v>
    <v>a24qnm</v>
    <v>XNAS:UAL</v>
    <v>976</v>
  </rv>
  <rv s="18">
    <v>58</v>
    <v>a1x4f2</v>
    <v>Weekly</v>
    <v>45921</v>
    <v>46109</v>
    <v>0</v>
    <v>1</v>
    <v>639101664000000000,639107140700243013,0</v>
    <v>0</v>
    <v>a1x4f2</v>
    <v>XNAS:LRCX</v>
    <v>977</v>
  </rv>
  <rv s="18">
    <v>58</v>
    <v>a23a5r</v>
    <v>Daily</v>
    <v>46108</v>
    <v>46108</v>
    <v>0</v>
    <v>1</v>
    <v>639101664000000000,639106637278111586,0</v>
    <v>2</v>
    <v>a23a5r</v>
    <v>XNYS:SO</v>
    <v>978</v>
  </rv>
  <rv s="18">
    <v>58</v>
    <v>a1xdec</v>
    <v>Weekly</v>
    <v>45921</v>
    <v>46109</v>
    <v>0</v>
    <v>1</v>
    <v>639101664000000000,639107140692902436,0</v>
    <v>0</v>
    <v>a1xdec</v>
    <v>XNYS:MCD</v>
    <v>979</v>
  </rv>
  <rv s="18">
    <v>58</v>
    <v>a2d5gh</v>
    <v>Weekly</v>
    <v>45921</v>
    <v>46109</v>
    <v>0</v>
    <v>1</v>
    <v>639101664000000000,639107140669132470,0</v>
    <v>0</v>
    <v>a2d5gh</v>
    <v>XNYS:CRH</v>
    <v>980</v>
  </rv>
  <rv s="18">
    <v>58</v>
    <v>a1sxp2</v>
    <v>Daily</v>
    <v>46108</v>
    <v>46108</v>
    <v>0</v>
    <v>1</v>
    <v>639101664000000000,639106637275107842,0</v>
    <v>2</v>
    <v>a1sxp2</v>
    <v>XNYS:FIX</v>
    <v>981</v>
  </rv>
</rvData>
</file>

<file path=xl/richData/rdrichvaluestructure.xml><?xml version="1.0" encoding="utf-8"?>
<rvStructures xmlns="http://schemas.microsoft.com/office/spreadsheetml/2017/richdata" count="19">
  <s t="_hyperlink">
    <k n="Address" t="s"/>
    <k n="Text" t="s"/>
  </s>
  <s t="_linkedentitycore">
    <k n="_CanonicalPropertyNames" t="spb"/>
    <k n="_Display" t="spb"/>
    <k n="_DisplayString" t="s"/>
    <k n="_Flags" t="spb"/>
    <k n="_Format" t="spb"/>
    <k n="_Icon" t="s"/>
    <k n="_SubLabel" t="spb"/>
    <k n="%EntityCulture" t="s"/>
    <k n="%EntityId" t="s"/>
    <k n="%EntityServiceId"/>
    <k n="%IsRefreshable" t="b"/>
    <k n="%ProviderInfo" t="s"/>
    <k n="52-Wochen-Hoch"/>
    <k n="52-Wochen-Tief"/>
    <k n="Änderung"/>
    <k n="Änderung (%)"/>
    <k n="Ausstehende Aktien"/>
    <k n="Beschreibung" t="s"/>
    <k n="Beta"/>
    <k n="Börsenwert"/>
    <k n="Exchange" t="s"/>
    <k n="Exchange-Abkürzung" t="s"/>
    <k n="ExchangeID" t="s"/>
    <k n="Hauptsitz" t="s"/>
    <k n="Hoch"/>
    <k n="Industrie" t="s"/>
    <k n="Instrumententyp" t="s"/>
    <k n="KGV"/>
    <k n="LearnMoreOnLink" t="r"/>
    <k n="Letzte Handelszeit"/>
    <k n="Mitarbeitende"/>
    <k n="Name" t="s"/>
    <k n="Niedrig"/>
    <k n="Offizieller Name" t="s"/>
    <k n="Öffnen"/>
    <k n="Preis"/>
    <k n="Schlusskurs des Vortags"/>
    <k n="Ticker-Symbol" t="s"/>
    <k n="UniqueName" t="s"/>
    <k n="Unternehmensgründungsjahr"/>
    <k n="Volumen"/>
    <k n="Volumendurchschnitt"/>
    <k n="Währung" t="s"/>
  </s>
  <s t="_linkedentity">
    <k n="%cvi" t="r"/>
  </s>
  <s t="_formattednumber">
    <k n="_Format" t="spb"/>
  </s>
  <s t="_linkedentitycore">
    <k n="_CanonicalPropertyNames" t="spb"/>
    <k n="_Display" t="spb"/>
    <k n="_DisplayString" t="s"/>
    <k n="_Flags" t="spb"/>
    <k n="_Format" t="spb"/>
    <k n="_Icon" t="s"/>
    <k n="_SubLabel" t="spb"/>
    <k n="%EntityCulture" t="s"/>
    <k n="%EntityId" t="s"/>
    <k n="%EntityServiceId"/>
    <k n="%IsRefreshable" t="b"/>
    <k n="%ProviderInfo" t="s"/>
    <k n="52-Wochen-Hoch"/>
    <k n="52-Wochen-Tief"/>
    <k n="Änderung"/>
    <k n="Änderung (%)"/>
    <k n="Ausstehende Aktien"/>
    <k n="Beschreibung" t="s"/>
    <k n="Beta"/>
    <k n="Börsenwert"/>
    <k n="Exchange" t="s"/>
    <k n="Exchange-Abkürzung" t="s"/>
    <k n="ExchangeID" t="s"/>
    <k n="Hauptsitz" t="s"/>
    <k n="Hoch"/>
    <k n="Industrie" t="s"/>
    <k n="Instrumententyp" t="s"/>
    <k n="KGV"/>
    <k n="Letzte Handelszeit"/>
    <k n="Mitarbeitende"/>
    <k n="Name" t="s"/>
    <k n="Niedrig"/>
    <k n="Offizieller Name" t="s"/>
    <k n="Öffnen"/>
    <k n="Preis"/>
    <k n="Schlusskurs des Vortags"/>
    <k n="Ticker-Symbol" t="s"/>
    <k n="UniqueName" t="s"/>
    <k n="Unternehmensgründungsjahr"/>
    <k n="Volumen"/>
    <k n="Volumendurchschnitt"/>
    <k n="Währung" t="s"/>
  </s>
  <s t="_linkedentitycore">
    <k n="_CanonicalPropertyNames" t="spb"/>
    <k n="_Display" t="spb"/>
    <k n="_DisplayString" t="s"/>
    <k n="_Flags" t="spb"/>
    <k n="_Format" t="spb"/>
    <k n="_Icon" t="s"/>
    <k n="_SubLabel" t="spb"/>
    <k n="%EntityCulture" t="s"/>
    <k n="%EntityId" t="s"/>
    <k n="%EntityServiceId"/>
    <k n="%IsRefreshable" t="b"/>
    <k n="%ProviderInfo" t="s"/>
    <k n="52-Wochen-Hoch"/>
    <k n="52-Wochen-Tief"/>
    <k n="Änderung"/>
    <k n="Änderung (%)"/>
    <k n="Ausstehende Aktien"/>
    <k n="Beschreibung" t="s"/>
    <k n="Beta"/>
    <k n="Börsenwert"/>
    <k n="Exchange" t="s"/>
    <k n="Exchange-Abkürzung" t="s"/>
    <k n="ExchangeID" t="s"/>
    <k n="Hauptsitz" t="s"/>
    <k n="Hoch"/>
    <k n="Industrie" t="s"/>
    <k n="Instrumententyp" t="s"/>
    <k n="LearnMoreOnLink" t="r"/>
    <k n="Letzte Handelszeit"/>
    <k n="Mitarbeitende"/>
    <k n="Name" t="s"/>
    <k n="Niedrig"/>
    <k n="Offizieller Name" t="s"/>
    <k n="Öffnen"/>
    <k n="Preis"/>
    <k n="Schlusskurs des Vortags"/>
    <k n="Ticker-Symbol" t="s"/>
    <k n="UniqueName" t="s"/>
    <k n="Unternehmensgründungsjahr"/>
    <k n="Volumen"/>
    <k n="Volumendurchschnitt"/>
    <k n="Währung" t="s"/>
  </s>
  <s t="_sourceattribution">
    <k n="License" t="r"/>
    <k n="Source" t="r"/>
  </s>
  <s t="_imageurl">
    <k n="_Provider" t="spb"/>
    <k n="Address" t="s"/>
    <k n="Attribution" t="r"/>
    <k n="ComputedImage" t="b"/>
    <k n="More Images Address" t="s"/>
    <k n="Text" t="s"/>
  </s>
  <s t="_linkedentitycore">
    <k n="_CanonicalPropertyNames" t="spb"/>
    <k n="_Display" t="spb"/>
    <k n="_DisplayString" t="s"/>
    <k n="_Flags" t="spb"/>
    <k n="_Format" t="spb"/>
    <k n="_Icon" t="s"/>
    <k n="_SubLabel" t="spb"/>
    <k n="%EntityCulture" t="s"/>
    <k n="%EntityId" t="s"/>
    <k n="%EntityServiceId"/>
    <k n="%IsRefreshable" t="b"/>
    <k n="%ProviderInfo" t="s"/>
    <k n="52-Wochen-Hoch"/>
    <k n="52-Wochen-Tief"/>
    <k n="Änderung"/>
    <k n="Änderung (%)"/>
    <k n="Ausstehende Aktien"/>
    <k n="Beschreibung" t="s"/>
    <k n="Beta"/>
    <k n="Bild" t="r"/>
    <k n="Börsenwert"/>
    <k n="Exchange" t="s"/>
    <k n="Exchange-Abkürzung" t="s"/>
    <k n="ExchangeID" t="s"/>
    <k n="Hauptsitz" t="s"/>
    <k n="Hoch"/>
    <k n="Industrie" t="s"/>
    <k n="Instrumententyp" t="s"/>
    <k n="KGV"/>
    <k n="LearnMoreOnLink" t="r"/>
    <k n="Letzte Handelszeit"/>
    <k n="Mitarbeitende"/>
    <k n="Name" t="s"/>
    <k n="Niedrig"/>
    <k n="Offizieller Name" t="s"/>
    <k n="Öffnen"/>
    <k n="Preis"/>
    <k n="Schlusskurs des Vortags"/>
    <k n="Ticker-Symbol" t="s"/>
    <k n="UniqueName" t="s"/>
    <k n="Unternehmensgründungsjahr"/>
    <k n="Volumen"/>
    <k n="Volumendurchschnitt"/>
    <k n="Währung" t="s"/>
  </s>
  <s t="_linkedentitycore">
    <k n="_CanonicalPropertyNames" t="spb"/>
    <k n="_Display" t="spb"/>
    <k n="_DisplayString" t="s"/>
    <k n="_Flags" t="spb"/>
    <k n="_Format" t="spb"/>
    <k n="_Icon" t="s"/>
    <k n="_SubLabel" t="spb"/>
    <k n="%EntityCulture" t="s"/>
    <k n="%EntityId" t="s"/>
    <k n="%EntityServiceId"/>
    <k n="%IsRefreshable" t="b"/>
    <k n="%ProviderInfo" t="s"/>
    <k n="Änderung"/>
    <k n="Änderung (%)"/>
    <k n="Ausstehende Aktien"/>
    <k n="Beschreibung" t="s"/>
    <k n="Beta"/>
    <k n="Börsenwert"/>
    <k n="Exchange" t="s"/>
    <k n="Exchange-Abkürzung" t="s"/>
    <k n="ExchangeID" t="s"/>
    <k n="Hauptsitz" t="s"/>
    <k n="Hoch"/>
    <k n="Industrie" t="s"/>
    <k n="Instrumententyp" t="s"/>
    <k n="KGV"/>
    <k n="LearnMoreOnLink" t="r"/>
    <k n="Letzte Handelszeit"/>
    <k n="Mitarbeitende"/>
    <k n="Name" t="s"/>
    <k n="Niedrig"/>
    <k n="Offizieller Name" t="s"/>
    <k n="Öffnen"/>
    <k n="Preis"/>
    <k n="Schlusskurs des Vortags"/>
    <k n="Ticker-Symbol" t="s"/>
    <k n="UniqueName" t="s"/>
    <k n="Unternehmensgründungsjahr"/>
    <k n="Volumen"/>
    <k n="Volumendurchschnitt"/>
    <k n="Währung" t="s"/>
  </s>
  <s t="_linkedentitycore">
    <k n="_CanonicalPropertyNames" t="spb"/>
    <k n="_Display" t="spb"/>
    <k n="_DisplayString" t="s"/>
    <k n="_Flags" t="spb"/>
    <k n="_Format" t="spb"/>
    <k n="_Icon" t="s"/>
    <k n="_SubLabel" t="spb"/>
    <k n="%EntityCulture" t="s"/>
    <k n="%EntityId" t="s"/>
    <k n="%EntityServiceId"/>
    <k n="%IsRefreshable" t="b"/>
    <k n="%ProviderInfo" t="s"/>
    <k n="52-Wochen-Hoch"/>
    <k n="52-Wochen-Tief"/>
    <k n="Änderung"/>
    <k n="Änderung (%)"/>
    <k n="Ausstehende Aktien"/>
    <k n="Beschreibung" t="s"/>
    <k n="Beta"/>
    <k n="Börsenwert"/>
    <k n="Exchange" t="s"/>
    <k n="Exchange-Abkürzung" t="s"/>
    <k n="ExchangeID" t="s"/>
    <k n="Hauptsitz" t="s"/>
    <k n="Hoch"/>
    <k n="Industrie" t="s"/>
    <k n="Instrumententyp" t="s"/>
    <k n="KGV"/>
    <k n="LearnMoreOnLink" t="r"/>
    <k n="Letzte Handelszeit"/>
    <k n="Name" t="s"/>
    <k n="Niedrig"/>
    <k n="Offizieller Name" t="s"/>
    <k n="Öffnen"/>
    <k n="Preis"/>
    <k n="Schlusskurs des Vortags"/>
    <k n="Ticker-Symbol" t="s"/>
    <k n="UniqueName" t="s"/>
    <k n="Unternehmensgründungsjahr"/>
    <k n="Volumen"/>
    <k n="Volumendurchschnitt"/>
    <k n="Währung" t="s"/>
  </s>
  <s t="_linkedentitycore">
    <k n="_CanonicalPropertyNames" t="spb"/>
    <k n="_Display" t="spb"/>
    <k n="_DisplayString" t="s"/>
    <k n="_Flags" t="spb"/>
    <k n="_Format" t="spb"/>
    <k n="_Icon" t="s"/>
    <k n="_SubLabel" t="spb"/>
    <k n="%EntityCulture" t="s"/>
    <k n="%EntityId" t="s"/>
    <k n="%EntityServiceId"/>
    <k n="%IsRefreshable" t="b"/>
    <k n="%ProviderInfo" t="s"/>
    <k n="52-Wochen-Hoch"/>
    <k n="52-Wochen-Tief"/>
    <k n="Änderung"/>
    <k n="Änderung (%)"/>
    <k n="Ausstehende Aktien"/>
    <k n="Beschreibung" t="s"/>
    <k n="Beta"/>
    <k n="Börsenwert"/>
    <k n="Exchange" t="s"/>
    <k n="Exchange-Abkürzung" t="s"/>
    <k n="ExchangeID" t="s"/>
    <k n="Hauptsitz" t="s"/>
    <k n="Hoch"/>
    <k n="Industrie" t="s"/>
    <k n="Instrumententyp" t="s"/>
    <k n="KGV"/>
    <k n="LearnMoreOnLink" t="r"/>
    <k n="Letzte Handelszeit"/>
    <k n="Mitarbeitende"/>
    <k n="Name" t="s"/>
    <k n="Niedrig"/>
    <k n="Offizieller Name" t="s"/>
    <k n="Öffnen"/>
    <k n="Preis"/>
    <k n="Preis (nachbörslich)"/>
    <k n="Schlusskurs des Vortags"/>
    <k n="Ticker-Symbol" t="s"/>
    <k n="UniqueName" t="s"/>
    <k n="Unternehmensgründungsjahr"/>
    <k n="Veränderung (nachbörslich)"/>
    <k n="Veränderung % (nachbörslich)"/>
    <k n="Volumen"/>
    <k n="Volumendurchschnitt"/>
    <k n="Währung" t="s"/>
  </s>
  <s t="_linkedentitycore">
    <k n="_CanonicalPropertyNames" t="spb"/>
    <k n="_Display" t="spb"/>
    <k n="_DisplayString" t="s"/>
    <k n="_Flags" t="spb"/>
    <k n="_Format" t="spb"/>
    <k n="_Icon" t="s"/>
    <k n="_SubLabel" t="spb"/>
    <k n="%EntityCulture" t="s"/>
    <k n="%EntityId" t="s"/>
    <k n="%EntityServiceId"/>
    <k n="%IsRefreshable" t="b"/>
    <k n="%ProviderInfo" t="s"/>
    <k n="52-Wochen-Hoch"/>
    <k n="52-Wochen-Tief"/>
    <k n="Änderung"/>
    <k n="Änderung (%)"/>
    <k n="Ausstehende Aktien"/>
    <k n="Beschreibung" t="s"/>
    <k n="Beta"/>
    <k n="Börsenwert"/>
    <k n="Exchange" t="s"/>
    <k n="Exchange-Abkürzung" t="s"/>
    <k n="ExchangeID" t="s"/>
    <k n="Hauptsitz" t="s"/>
    <k n="Hoch"/>
    <k n="Industrie" t="s"/>
    <k n="Instrumententyp" t="s"/>
    <k n="KGV"/>
    <k n="LearnMoreOnLink" t="r"/>
    <k n="Letzte Handelszeit"/>
    <k n="Mitarbeitende"/>
    <k n="Name" t="s"/>
    <k n="Niedrig"/>
    <k n="Offizieller Name" t="s"/>
    <k n="Öffnen"/>
    <k n="Preis"/>
    <k n="Schlusskurs des Vortags"/>
    <k n="Ticker-Symbol" t="s"/>
    <k n="UniqueName" t="s"/>
    <k n="Volumen"/>
    <k n="Volumendurchschnitt"/>
    <k n="Währung" t="s"/>
  </s>
  <s t="_linkedentitycore">
    <k n="_CanonicalPropertyNames" t="spb"/>
    <k n="_Display" t="spb"/>
    <k n="_DisplayString" t="s"/>
    <k n="_Flags" t="spb"/>
    <k n="_Format" t="spb"/>
    <k n="_Icon" t="s"/>
    <k n="_SubLabel" t="spb"/>
    <k n="%EntityCulture" t="s"/>
    <k n="%EntityId" t="s"/>
    <k n="%EntityServiceId"/>
    <k n="%IsRefreshable" t="b"/>
    <k n="%ProviderInfo" t="s"/>
    <k n="52-Wochen-Hoch"/>
    <k n="52-Wochen-Tief"/>
    <k n="Änderung"/>
    <k n="Änderung (%)"/>
    <k n="Ausstehende Aktien"/>
    <k n="Beschreibung" t="s"/>
    <k n="Beta"/>
    <k n="Bild" t="r"/>
    <k n="Börsenwert"/>
    <k n="Exchange" t="s"/>
    <k n="Exchange-Abkürzung" t="s"/>
    <k n="ExchangeID" t="s"/>
    <k n="Hauptsitz" t="s"/>
    <k n="Hoch"/>
    <k n="Industrie" t="s"/>
    <k n="Instrumententyp" t="s"/>
    <k n="KGV"/>
    <k n="LearnMoreOnLink" t="r"/>
    <k n="Letzte Handelszeit"/>
    <k n="Mitarbeitende"/>
    <k n="Name" t="s"/>
    <k n="Niedrig"/>
    <k n="Offizieller Name" t="s"/>
    <k n="Öffnen"/>
    <k n="Preis"/>
    <k n="Preis (nachbörslich)"/>
    <k n="Schlusskurs des Vortags"/>
    <k n="Ticker-Symbol" t="s"/>
    <k n="UniqueName" t="s"/>
    <k n="Unternehmensgründungsjahr"/>
    <k n="Veränderung (nachbörslich)"/>
    <k n="Veränderung % (nachbörslich)"/>
    <k n="Volumen"/>
    <k n="Volumendurchschnitt"/>
    <k n="Währung" t="s"/>
  </s>
  <s t="_linkedentitycore">
    <k n="_CanonicalPropertyNames" t="spb"/>
    <k n="_Display" t="spb"/>
    <k n="_DisplayString" t="s"/>
    <k n="_Flags" t="spb"/>
    <k n="_Format" t="spb"/>
    <k n="_Icon" t="s"/>
    <k n="_SubLabel" t="spb"/>
    <k n="%EntityCulture" t="s"/>
    <k n="%EntityId" t="s"/>
    <k n="%EntityServiceId"/>
    <k n="%IsRefreshable" t="b"/>
    <k n="%ProviderInfo" t="s"/>
    <k n="52-Wochen-Hoch"/>
    <k n="52-Wochen-Tief"/>
    <k n="Änderung"/>
    <k n="Änderung (%)"/>
    <k n="Ausstehende Aktien"/>
    <k n="Beschreibung" t="s"/>
    <k n="Beta"/>
    <k n="Börsenwert"/>
    <k n="Exchange" t="s"/>
    <k n="Exchange-Abkürzung" t="s"/>
    <k n="ExchangeID" t="s"/>
    <k n="Hauptsitz" t="s"/>
    <k n="Hoch"/>
    <k n="Industrie" t="s"/>
    <k n="Instrumententyp" t="s"/>
    <k n="LearnMoreOnLink" t="r"/>
    <k n="Letzte Handelszeit"/>
    <k n="Mitarbeitende"/>
    <k n="Name" t="s"/>
    <k n="Niedrig"/>
    <k n="Offizieller Name" t="s"/>
    <k n="Öffnen"/>
    <k n="Preis"/>
    <k n="Preis (nachbörslich)"/>
    <k n="Schlusskurs des Vortags"/>
    <k n="Ticker-Symbol" t="s"/>
    <k n="UniqueName" t="s"/>
    <k n="Unternehmensgründungsjahr"/>
    <k n="Veränderung (nachbörslich)"/>
    <k n="Veränderung % (nachbörslich)"/>
    <k n="Volumen"/>
    <k n="Volumendurchschnitt"/>
    <k n="Währung" t="s"/>
  </s>
  <s t="_linkedentitycore">
    <k n="_CanonicalPropertyNames" t="spb"/>
    <k n="_Display" t="spb"/>
    <k n="_DisplayString" t="s"/>
    <k n="_Flags" t="spb"/>
    <k n="_Format" t="spb"/>
    <k n="_Icon" t="s"/>
    <k n="_SubLabel" t="spb"/>
    <k n="%EntityCulture" t="s"/>
    <k n="%EntityId" t="s"/>
    <k n="%EntityServiceId"/>
    <k n="%IsRefreshable" t="b"/>
    <k n="%ProviderInfo" t="s"/>
    <k n="52-Wochen-Hoch"/>
    <k n="52-Wochen-Tief"/>
    <k n="Änderung"/>
    <k n="Änderung (%)"/>
    <k n="Ausstehende Aktien"/>
    <k n="Beschreibung" t="s"/>
    <k n="Beta"/>
    <k n="Bild" t="r"/>
    <k n="Börsenwert"/>
    <k n="Exchange" t="s"/>
    <k n="Exchange-Abkürzung" t="s"/>
    <k n="ExchangeID" t="s"/>
    <k n="Hauptsitz" t="s"/>
    <k n="Hoch"/>
    <k n="Industrie" t="s"/>
    <k n="Instrumententyp" t="s"/>
    <k n="LearnMoreOnLink" t="r"/>
    <k n="Letzte Handelszeit"/>
    <k n="Mitarbeitende"/>
    <k n="Name" t="s"/>
    <k n="Niedrig"/>
    <k n="Offizieller Name" t="s"/>
    <k n="Öffnen"/>
    <k n="Preis"/>
    <k n="Schlusskurs des Vortags"/>
    <k n="Ticker-Symbol" t="s"/>
    <k n="UniqueName" t="s"/>
    <k n="Unternehmensgründungsjahr"/>
    <k n="Volumen"/>
    <k n="Volumendurchschnitt"/>
    <k n="Währung" t="s"/>
  </s>
  <s t="_linkedentitycore">
    <k n="_CanonicalPropertyNames" t="spb"/>
    <k n="_Display" t="spb"/>
    <k n="_DisplayString" t="s"/>
    <k n="_Flags" t="spb"/>
    <k n="_Format" t="spb"/>
    <k n="_Icon" t="s"/>
    <k n="_SubLabel" t="spb"/>
    <k n="%EntityCulture" t="s"/>
    <k n="%EntityId" t="s"/>
    <k n="%EntityServiceId"/>
    <k n="%IsRefreshable" t="b"/>
    <k n="%ProviderInfo" t="s"/>
    <k n="52-Wochen-Hoch"/>
    <k n="52-Wochen-Tief"/>
    <k n="Änderung"/>
    <k n="Änderung (%)"/>
    <k n="Ausstehende Aktien"/>
    <k n="Beschreibung" t="s"/>
    <k n="Beta"/>
    <k n="Börsenwert"/>
    <k n="Exchange" t="s"/>
    <k n="Exchange-Abkürzung" t="s"/>
    <k n="ExchangeID" t="s"/>
    <k n="Hauptsitz" t="s"/>
    <k n="Hoch"/>
    <k n="Industrie" t="s"/>
    <k n="Instrumententyp" t="s"/>
    <k n="LearnMoreOnLink" t="r"/>
    <k n="Letzte Handelszeit"/>
    <k n="Name" t="s"/>
    <k n="Niedrig"/>
    <k n="Offizieller Name" t="s"/>
    <k n="Öffnen"/>
    <k n="Preis"/>
    <k n="Schlusskurs des Vortags"/>
    <k n="Ticker-Symbol" t="s"/>
    <k n="UniqueName" t="s"/>
    <k n="Unternehmensgründungsjahr"/>
    <k n="Volumen"/>
    <k n="Volumendurchschnitt"/>
    <k n="Währung" t="s"/>
  </s>
  <s t="_linkedentitycore">
    <k n="_CanonicalPropertyNames" t="spb"/>
    <k n="_Display" t="spb"/>
    <k n="_DisplayString" t="s"/>
    <k n="_Flags" t="spb"/>
    <k n="_Format" t="spb"/>
    <k n="_Icon" t="s"/>
    <k n="_SubLabel" t="spb"/>
    <k n="%EntityCulture" t="s"/>
    <k n="%EntityId" t="s"/>
    <k n="%EntityServiceId"/>
    <k n="%IsRefreshable" t="b"/>
    <k n="%ProviderInfo" t="s"/>
    <k n="52-Wochen-Hoch"/>
    <k n="52-Wochen-Tief"/>
    <k n="Änderung"/>
    <k n="Änderung (%)"/>
    <k n="Ausstehende Aktien"/>
    <k n="Beschreibung" t="s"/>
    <k n="Börsenwert"/>
    <k n="Exchange" t="s"/>
    <k n="Exchange-Abkürzung" t="s"/>
    <k n="ExchangeID" t="s"/>
    <k n="Hauptsitz" t="s"/>
    <k n="Industrie" t="s"/>
    <k n="Instrumententyp" t="s"/>
    <k n="Letzte Handelszeit"/>
    <k n="Mitarbeitende"/>
    <k n="Name" t="s"/>
    <k n="Offizieller Name" t="s"/>
    <k n="Preis"/>
    <k n="Schlusskurs des Vortags"/>
    <k n="Ticker-Symbol" t="s"/>
    <k n="UniqueName" t="s"/>
    <k n="Unternehmensgründungsjahr"/>
    <k n="Volumen"/>
    <k n="Volumendurchschnitt"/>
    <k n="Währung" t="s"/>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Arrays count="13">
    <a count="43">
      <v t="s">%EntityServiceId</v>
      <v t="s">_Format</v>
      <v t="s">%IsRefreshable</v>
      <v t="s">_CanonicalPropertyNames</v>
      <v t="s">%EntityCulture</v>
      <v t="s">%EntityId</v>
      <v t="s">_Icon</v>
      <v t="s">_Display</v>
      <v t="s">Name</v>
      <v t="s">_SubLabel</v>
      <v t="s">Preis</v>
      <v t="s">Exchange</v>
      <v t="s">Offizieller Name</v>
      <v t="s">Letzte Handelszeit</v>
      <v t="s">Ticker-Symbol</v>
      <v t="s">Exchange-Abkürzung</v>
      <v t="s">Änderung</v>
      <v t="s">Änderung (%)</v>
      <v t="s">Währung</v>
      <v t="s">Schlusskurs des Vortags</v>
      <v t="s">Öffnen</v>
      <v t="s">Hoch</v>
      <v t="s">Niedrig</v>
      <v t="s">52-Wochen-Hoch</v>
      <v t="s">52-Wochen-Tief</v>
      <v t="s">Volumen</v>
      <v t="s">Volumendurchschnitt</v>
      <v t="s">Börsenwert</v>
      <v t="s">Beta</v>
      <v t="s">KGV</v>
      <v t="s">Ausstehende Aktien</v>
      <v t="s">Beschreibung</v>
      <v t="s">Mitarbeitende</v>
      <v t="s">Hauptsitz</v>
      <v t="s">Industrie</v>
      <v t="s">Instrumententyp</v>
      <v t="s">Unternehmensgründungsjahr</v>
      <v t="s">_Flags</v>
      <v t="s">UniqueName</v>
      <v t="s">_DisplayString</v>
      <v t="s">LearnMoreOnLink</v>
      <v t="s">ExchangeID</v>
      <v t="s">%ProviderInfo</v>
    </a>
    <a count="42">
      <v t="s">%EntityServiceId</v>
      <v t="s">_Format</v>
      <v t="s">%IsRefreshable</v>
      <v t="s">_CanonicalPropertyNames</v>
      <v t="s">%EntityCulture</v>
      <v t="s">%EntityId</v>
      <v t="s">_Icon</v>
      <v t="s">_Display</v>
      <v t="s">Name</v>
      <v t="s">_SubLabel</v>
      <v t="s">Preis</v>
      <v t="s">Exchange</v>
      <v t="s">Offizieller Name</v>
      <v t="s">Letzte Handelszeit</v>
      <v t="s">Ticker-Symbol</v>
      <v t="s">Exchange-Abkürzung</v>
      <v t="s">Änderung</v>
      <v t="s">Änderung (%)</v>
      <v t="s">Währung</v>
      <v t="s">Schlusskurs des Vortags</v>
      <v t="s">Öffnen</v>
      <v t="s">Hoch</v>
      <v t="s">Niedrig</v>
      <v t="s">52-Wochen-Hoch</v>
      <v t="s">52-Wochen-Tief</v>
      <v t="s">Volumen</v>
      <v t="s">Volumendurchschnitt</v>
      <v t="s">Börsenwert</v>
      <v t="s">Beta</v>
      <v t="s">KGV</v>
      <v t="s">Ausstehende Aktien</v>
      <v t="s">Beschreibung</v>
      <v t="s">Mitarbeitende</v>
      <v t="s">Hauptsitz</v>
      <v t="s">Industrie</v>
      <v t="s">Instrumententyp</v>
      <v t="s">Unternehmensgründungsjahr</v>
      <v t="s">_Flags</v>
      <v t="s">UniqueName</v>
      <v t="s">_DisplayString</v>
      <v t="s">ExchangeID</v>
      <v t="s">%ProviderInfo</v>
    </a>
    <a count="42">
      <v t="s">%EntityServiceId</v>
      <v t="s">_Format</v>
      <v t="s">%IsRefreshable</v>
      <v t="s">_CanonicalPropertyNames</v>
      <v t="s">%EntityCulture</v>
      <v t="s">%EntityId</v>
      <v t="s">_Icon</v>
      <v t="s">_Display</v>
      <v t="s">Name</v>
      <v t="s">_SubLabel</v>
      <v t="s">Preis</v>
      <v t="s">Exchange</v>
      <v t="s">Offizieller Name</v>
      <v t="s">Letzte Handelszeit</v>
      <v t="s">Ticker-Symbol</v>
      <v t="s">Exchange-Abkürzung</v>
      <v t="s">Änderung</v>
      <v t="s">Änderung (%)</v>
      <v t="s">Währung</v>
      <v t="s">Schlusskurs des Vortags</v>
      <v t="s">Öffnen</v>
      <v t="s">Hoch</v>
      <v t="s">Niedrig</v>
      <v t="s">52-Wochen-Hoch</v>
      <v t="s">52-Wochen-Tief</v>
      <v t="s">Volumen</v>
      <v t="s">Volumendurchschnitt</v>
      <v t="s">Börsenwert</v>
      <v t="s">Beta</v>
      <v t="s">Ausstehende Aktien</v>
      <v t="s">Beschreibung</v>
      <v t="s">Mitarbeitende</v>
      <v t="s">Hauptsitz</v>
      <v t="s">Industrie</v>
      <v t="s">Instrumententyp</v>
      <v t="s">Unternehmensgründungsjahr</v>
      <v t="s">_Flags</v>
      <v t="s">UniqueName</v>
      <v t="s">_DisplayString</v>
      <v t="s">LearnMoreOnLink</v>
      <v t="s">ExchangeID</v>
      <v t="s">%ProviderInfo</v>
    </a>
    <a count="44">
      <v t="s">%EntityServiceId</v>
      <v t="s">_Format</v>
      <v t="s">%IsRefreshable</v>
      <v t="s">_CanonicalPropertyNames</v>
      <v t="s">%EntityCulture</v>
      <v t="s">%EntityId</v>
      <v t="s">_Icon</v>
      <v t="s">_Display</v>
      <v t="s">Name</v>
      <v t="s">_SubLabel</v>
      <v t="s">Preis</v>
      <v t="s">Exchange</v>
      <v t="s">Offizieller Name</v>
      <v t="s">Letzte Handelszeit</v>
      <v t="s">Ticker-Symbol</v>
      <v t="s">Exchange-Abkürzung</v>
      <v t="s">Änderung</v>
      <v t="s">Änderung (%)</v>
      <v t="s">Währung</v>
      <v t="s">Schlusskurs des Vortags</v>
      <v t="s">Öffnen</v>
      <v t="s">Hoch</v>
      <v t="s">Niedrig</v>
      <v t="s">52-Wochen-Hoch</v>
      <v t="s">52-Wochen-Tief</v>
      <v t="s">Volumen</v>
      <v t="s">Volumendurchschnitt</v>
      <v t="s">Börsenwert</v>
      <v t="s">Beta</v>
      <v t="s">KGV</v>
      <v t="s">Ausstehende Aktien</v>
      <v t="s">Beschreibung</v>
      <v t="s">Mitarbeitende</v>
      <v t="s">Hauptsitz</v>
      <v t="s">Industrie</v>
      <v t="s">Instrumententyp</v>
      <v t="s">Unternehmensgründungsjahr</v>
      <v t="s">_Flags</v>
      <v t="s">UniqueName</v>
      <v t="s">_DisplayString</v>
      <v t="s">LearnMoreOnLink</v>
      <v t="s">Bild</v>
      <v t="s">ExchangeID</v>
      <v t="s">%ProviderInfo</v>
    </a>
    <a count="41">
      <v t="s">%EntityServiceId</v>
      <v t="s">_Format</v>
      <v t="s">%IsRefreshable</v>
      <v t="s">_CanonicalPropertyNames</v>
      <v t="s">%EntityCulture</v>
      <v t="s">%EntityId</v>
      <v t="s">_Icon</v>
      <v t="s">_Display</v>
      <v t="s">Name</v>
      <v t="s">_SubLabel</v>
      <v t="s">Preis</v>
      <v t="s">Exchange</v>
      <v t="s">Offizieller Name</v>
      <v t="s">Letzte Handelszeit</v>
      <v t="s">Ticker-Symbol</v>
      <v t="s">Exchange-Abkürzung</v>
      <v t="s">Änderung</v>
      <v t="s">Änderung (%)</v>
      <v t="s">Währung</v>
      <v t="s">Schlusskurs des Vortags</v>
      <v t="s">Öffnen</v>
      <v t="s">Hoch</v>
      <v t="s">Niedrig</v>
      <v t="s">Volumen</v>
      <v t="s">Volumendurchschnitt</v>
      <v t="s">Börsenwert</v>
      <v t="s">Beta</v>
      <v t="s">KGV</v>
      <v t="s">Ausstehende Aktien</v>
      <v t="s">Beschreibung</v>
      <v t="s">Mitarbeitende</v>
      <v t="s">Hauptsitz</v>
      <v t="s">Industrie</v>
      <v t="s">Instrumententyp</v>
      <v t="s">Unternehmensgründungsjahr</v>
      <v t="s">_Flags</v>
      <v t="s">UniqueName</v>
      <v t="s">_DisplayString</v>
      <v t="s">LearnMoreOnLink</v>
      <v t="s">ExchangeID</v>
      <v t="s">%ProviderInfo</v>
    </a>
    <a count="42">
      <v t="s">%EntityServiceId</v>
      <v t="s">_Format</v>
      <v t="s">%IsRefreshable</v>
      <v t="s">_CanonicalPropertyNames</v>
      <v t="s">%EntityCulture</v>
      <v t="s">%EntityId</v>
      <v t="s">_Icon</v>
      <v t="s">_Display</v>
      <v t="s">Name</v>
      <v t="s">_SubLabel</v>
      <v t="s">Preis</v>
      <v t="s">Exchange</v>
      <v t="s">Offizieller Name</v>
      <v t="s">Letzte Handelszeit</v>
      <v t="s">Ticker-Symbol</v>
      <v t="s">Exchange-Abkürzung</v>
      <v t="s">Änderung</v>
      <v t="s">Änderung (%)</v>
      <v t="s">Währung</v>
      <v t="s">Schlusskurs des Vortags</v>
      <v t="s">Öffnen</v>
      <v t="s">Hoch</v>
      <v t="s">Niedrig</v>
      <v t="s">52-Wochen-Hoch</v>
      <v t="s">52-Wochen-Tief</v>
      <v t="s">Volumen</v>
      <v t="s">Volumendurchschnitt</v>
      <v t="s">Börsenwert</v>
      <v t="s">Beta</v>
      <v t="s">KGV</v>
      <v t="s">Ausstehende Aktien</v>
      <v t="s">Beschreibung</v>
      <v t="s">Hauptsitz</v>
      <v t="s">Industrie</v>
      <v t="s">Instrumententyp</v>
      <v t="s">Unternehmensgründungsjahr</v>
      <v t="s">_Flags</v>
      <v t="s">UniqueName</v>
      <v t="s">_DisplayString</v>
      <v t="s">LearnMoreOnLink</v>
      <v t="s">ExchangeID</v>
      <v t="s">%ProviderInfo</v>
    </a>
    <a count="46">
      <v t="s">%EntityServiceId</v>
      <v t="s">_Format</v>
      <v t="s">%IsRefreshable</v>
      <v t="s">_CanonicalPropertyNames</v>
      <v t="s">%EntityCulture</v>
      <v t="s">%EntityId</v>
      <v t="s">_Icon</v>
      <v t="s">_Display</v>
      <v t="s">Name</v>
      <v t="s">_SubLabel</v>
      <v t="s">Preis</v>
      <v t="s">Preis (nachbörslich)</v>
      <v t="s">Exchange</v>
      <v t="s">Offizieller Name</v>
      <v t="s">Letzte Handelszeit</v>
      <v t="s">Ticker-Symbol</v>
      <v t="s">Exchange-Abkürzung</v>
      <v t="s">Änderung</v>
      <v t="s">Veränderung (nachbörslich)</v>
      <v t="s">Änderung (%)</v>
      <v t="s">Veränderung % (nachbörslich)</v>
      <v t="s">Währung</v>
      <v t="s">Schlusskurs des Vortags</v>
      <v t="s">Öffnen</v>
      <v t="s">Hoch</v>
      <v t="s">Niedrig</v>
      <v t="s">52-Wochen-Hoch</v>
      <v t="s">52-Wochen-Tief</v>
      <v t="s">Volumen</v>
      <v t="s">Volumendurchschnitt</v>
      <v t="s">Börsenwert</v>
      <v t="s">Beta</v>
      <v t="s">KGV</v>
      <v t="s">Ausstehende Aktien</v>
      <v t="s">Beschreibung</v>
      <v t="s">Mitarbeitende</v>
      <v t="s">Hauptsitz</v>
      <v t="s">Industrie</v>
      <v t="s">Instrumententyp</v>
      <v t="s">Unternehmensgründungsjahr</v>
      <v t="s">_Flags</v>
      <v t="s">UniqueName</v>
      <v t="s">_DisplayString</v>
      <v t="s">LearnMoreOnLink</v>
      <v t="s">ExchangeID</v>
      <v t="s">%ProviderInfo</v>
    </a>
    <a count="42">
      <v t="s">%EntityServiceId</v>
      <v t="s">_Format</v>
      <v t="s">%IsRefreshable</v>
      <v t="s">_CanonicalPropertyNames</v>
      <v t="s">%EntityCulture</v>
      <v t="s">%EntityId</v>
      <v t="s">_Icon</v>
      <v t="s">_Display</v>
      <v t="s">Name</v>
      <v t="s">_SubLabel</v>
      <v t="s">Preis</v>
      <v t="s">Exchange</v>
      <v t="s">Offizieller Name</v>
      <v t="s">Letzte Handelszeit</v>
      <v t="s">Ticker-Symbol</v>
      <v t="s">Exchange-Abkürzung</v>
      <v t="s">Änderung</v>
      <v t="s">Änderung (%)</v>
      <v t="s">Währung</v>
      <v t="s">Schlusskurs des Vortags</v>
      <v t="s">Öffnen</v>
      <v t="s">Hoch</v>
      <v t="s">Niedrig</v>
      <v t="s">52-Wochen-Hoch</v>
      <v t="s">52-Wochen-Tief</v>
      <v t="s">Volumen</v>
      <v t="s">Volumendurchschnitt</v>
      <v t="s">Börsenwert</v>
      <v t="s">Beta</v>
      <v t="s">KGV</v>
      <v t="s">Ausstehende Aktien</v>
      <v t="s">Beschreibung</v>
      <v t="s">Mitarbeitende</v>
      <v t="s">Hauptsitz</v>
      <v t="s">Industrie</v>
      <v t="s">Instrumententyp</v>
      <v t="s">_Flags</v>
      <v t="s">UniqueName</v>
      <v t="s">_DisplayString</v>
      <v t="s">LearnMoreOnLink</v>
      <v t="s">ExchangeID</v>
      <v t="s">%ProviderInfo</v>
    </a>
    <a count="47">
      <v t="s">%EntityServiceId</v>
      <v t="s">_Format</v>
      <v t="s">%IsRefreshable</v>
      <v t="s">_CanonicalPropertyNames</v>
      <v t="s">%EntityCulture</v>
      <v t="s">%EntityId</v>
      <v t="s">_Icon</v>
      <v t="s">_Display</v>
      <v t="s">Name</v>
      <v t="s">_SubLabel</v>
      <v t="s">Preis</v>
      <v t="s">Preis (nachbörslich)</v>
      <v t="s">Exchange</v>
      <v t="s">Offizieller Name</v>
      <v t="s">Letzte Handelszeit</v>
      <v t="s">Ticker-Symbol</v>
      <v t="s">Exchange-Abkürzung</v>
      <v t="s">Änderung</v>
      <v t="s">Veränderung (nachbörslich)</v>
      <v t="s">Änderung (%)</v>
      <v t="s">Veränderung % (nachbörslich)</v>
      <v t="s">Währung</v>
      <v t="s">Schlusskurs des Vortags</v>
      <v t="s">Öffnen</v>
      <v t="s">Hoch</v>
      <v t="s">Niedrig</v>
      <v t="s">52-Wochen-Hoch</v>
      <v t="s">52-Wochen-Tief</v>
      <v t="s">Volumen</v>
      <v t="s">Volumendurchschnitt</v>
      <v t="s">Börsenwert</v>
      <v t="s">Beta</v>
      <v t="s">KGV</v>
      <v t="s">Ausstehende Aktien</v>
      <v t="s">Beschreibung</v>
      <v t="s">Mitarbeitende</v>
      <v t="s">Hauptsitz</v>
      <v t="s">Industrie</v>
      <v t="s">Instrumententyp</v>
      <v t="s">Unternehmensgründungsjahr</v>
      <v t="s">_Flags</v>
      <v t="s">UniqueName</v>
      <v t="s">_DisplayString</v>
      <v t="s">LearnMoreOnLink</v>
      <v t="s">Bild</v>
      <v t="s">ExchangeID</v>
      <v t="s">%ProviderInfo</v>
    </a>
    <a count="45">
      <v t="s">%EntityServiceId</v>
      <v t="s">_Format</v>
      <v t="s">%IsRefreshable</v>
      <v t="s">_CanonicalPropertyNames</v>
      <v t="s">%EntityCulture</v>
      <v t="s">%EntityId</v>
      <v t="s">_Icon</v>
      <v t="s">_Display</v>
      <v t="s">Name</v>
      <v t="s">_SubLabel</v>
      <v t="s">Preis</v>
      <v t="s">Preis (nachbörslich)</v>
      <v t="s">Exchange</v>
      <v t="s">Offizieller Name</v>
      <v t="s">Letzte Handelszeit</v>
      <v t="s">Ticker-Symbol</v>
      <v t="s">Exchange-Abkürzung</v>
      <v t="s">Änderung</v>
      <v t="s">Veränderung (nachbörslich)</v>
      <v t="s">Änderung (%)</v>
      <v t="s">Veränderung % (nachbörslich)</v>
      <v t="s">Währung</v>
      <v t="s">Schlusskurs des Vortags</v>
      <v t="s">Öffnen</v>
      <v t="s">Hoch</v>
      <v t="s">Niedrig</v>
      <v t="s">52-Wochen-Hoch</v>
      <v t="s">52-Wochen-Tief</v>
      <v t="s">Volumen</v>
      <v t="s">Volumendurchschnitt</v>
      <v t="s">Börsenwert</v>
      <v t="s">Beta</v>
      <v t="s">Ausstehende Aktien</v>
      <v t="s">Beschreibung</v>
      <v t="s">Mitarbeitende</v>
      <v t="s">Hauptsitz</v>
      <v t="s">Industrie</v>
      <v t="s">Instrumententyp</v>
      <v t="s">Unternehmensgründungsjahr</v>
      <v t="s">_Flags</v>
      <v t="s">UniqueName</v>
      <v t="s">_DisplayString</v>
      <v t="s">LearnMoreOnLink</v>
      <v t="s">ExchangeID</v>
      <v t="s">%ProviderInfo</v>
    </a>
    <a count="43">
      <v t="s">%EntityServiceId</v>
      <v t="s">_Format</v>
      <v t="s">%IsRefreshable</v>
      <v t="s">_CanonicalPropertyNames</v>
      <v t="s">%EntityCulture</v>
      <v t="s">%EntityId</v>
      <v t="s">_Icon</v>
      <v t="s">_Display</v>
      <v t="s">Name</v>
      <v t="s">_SubLabel</v>
      <v t="s">Preis</v>
      <v t="s">Exchange</v>
      <v t="s">Offizieller Name</v>
      <v t="s">Letzte Handelszeit</v>
      <v t="s">Ticker-Symbol</v>
      <v t="s">Exchange-Abkürzung</v>
      <v t="s">Änderung</v>
      <v t="s">Änderung (%)</v>
      <v t="s">Währung</v>
      <v t="s">Schlusskurs des Vortags</v>
      <v t="s">Öffnen</v>
      <v t="s">Hoch</v>
      <v t="s">Niedrig</v>
      <v t="s">52-Wochen-Hoch</v>
      <v t="s">52-Wochen-Tief</v>
      <v t="s">Volumen</v>
      <v t="s">Volumendurchschnitt</v>
      <v t="s">Börsenwert</v>
      <v t="s">Beta</v>
      <v t="s">Ausstehende Aktien</v>
      <v t="s">Beschreibung</v>
      <v t="s">Mitarbeitende</v>
      <v t="s">Hauptsitz</v>
      <v t="s">Industrie</v>
      <v t="s">Instrumententyp</v>
      <v t="s">Unternehmensgründungsjahr</v>
      <v t="s">_Flags</v>
      <v t="s">UniqueName</v>
      <v t="s">_DisplayString</v>
      <v t="s">LearnMoreOnLink</v>
      <v t="s">Bild</v>
      <v t="s">ExchangeID</v>
      <v t="s">%ProviderInfo</v>
    </a>
    <a count="41">
      <v t="s">%EntityServiceId</v>
      <v t="s">_Format</v>
      <v t="s">%IsRefreshable</v>
      <v t="s">_CanonicalPropertyNames</v>
      <v t="s">%EntityCulture</v>
      <v t="s">%EntityId</v>
      <v t="s">_Icon</v>
      <v t="s">_Display</v>
      <v t="s">Name</v>
      <v t="s">_SubLabel</v>
      <v t="s">Preis</v>
      <v t="s">Exchange</v>
      <v t="s">Offizieller Name</v>
      <v t="s">Letzte Handelszeit</v>
      <v t="s">Ticker-Symbol</v>
      <v t="s">Exchange-Abkürzung</v>
      <v t="s">Änderung</v>
      <v t="s">Änderung (%)</v>
      <v t="s">Währung</v>
      <v t="s">Schlusskurs des Vortags</v>
      <v t="s">Öffnen</v>
      <v t="s">Hoch</v>
      <v t="s">Niedrig</v>
      <v t="s">52-Wochen-Hoch</v>
      <v t="s">52-Wochen-Tief</v>
      <v t="s">Volumen</v>
      <v t="s">Volumendurchschnitt</v>
      <v t="s">Börsenwert</v>
      <v t="s">Beta</v>
      <v t="s">Ausstehende Aktien</v>
      <v t="s">Beschreibung</v>
      <v t="s">Hauptsitz</v>
      <v t="s">Industrie</v>
      <v t="s">Instrumententyp</v>
      <v t="s">Unternehmensgründungsjahr</v>
      <v t="s">_Flags</v>
      <v t="s">UniqueName</v>
      <v t="s">_DisplayString</v>
      <v t="s">LearnMoreOnLink</v>
      <v t="s">ExchangeID</v>
      <v t="s">%ProviderInfo</v>
    </a>
    <a count="37">
      <v t="s">%EntityServiceId</v>
      <v t="s">_Format</v>
      <v t="s">%IsRefreshable</v>
      <v t="s">_CanonicalPropertyNames</v>
      <v t="s">%EntityCulture</v>
      <v t="s">%EntityId</v>
      <v t="s">_Icon</v>
      <v t="s">_Display</v>
      <v t="s">Name</v>
      <v t="s">_SubLabel</v>
      <v t="s">Preis</v>
      <v t="s">Exchange</v>
      <v t="s">Offizieller Name</v>
      <v t="s">Letzte Handelszeit</v>
      <v t="s">Ticker-Symbol</v>
      <v t="s">Exchange-Abkürzung</v>
      <v t="s">Änderung</v>
      <v t="s">Änderung (%)</v>
      <v t="s">Währung</v>
      <v t="s">Schlusskurs des Vortags</v>
      <v t="s">52-Wochen-Hoch</v>
      <v t="s">52-Wochen-Tief</v>
      <v t="s">Volumen</v>
      <v t="s">Volumendurchschnitt</v>
      <v t="s">Börsenwert</v>
      <v t="s">Ausstehende Aktien</v>
      <v t="s">Beschreibung</v>
      <v t="s">Mitarbeitende</v>
      <v t="s">Hauptsitz</v>
      <v t="s">Industrie</v>
      <v t="s">Instrumententyp</v>
      <v t="s">Unternehmensgründungsjahr</v>
      <v t="s">_Flags</v>
      <v t="s">UniqueName</v>
      <v t="s">_DisplayString</v>
      <v t="s">ExchangeID</v>
      <v t="s">%ProviderInfo</v>
    </a>
  </spbArrays>
  <spbData count="63">
    <spb s="0">
      <v>P/E</v>
      <v>Beta</v>
      <v>High</v>
      <v>Name</v>
      <v>Price</v>
      <v>Open</v>
      <v>Low</v>
      <v>Volume</v>
      <v>Currency</v>
      <v>Exchange</v>
      <v>Change</v>
      <v>Headquarters</v>
      <v>Industry</v>
      <v>Market cap</v>
      <v>ExchangeID</v>
      <v>UniqueName</v>
      <v>Description</v>
      <v>Change (%)</v>
      <v>%ProviderInfo</v>
      <v>Employees</v>
      <v>Ticker symbol</v>
      <v>52 week high</v>
      <v>52 week low</v>
      <v>Instrument type</v>
      <v>LearnMoreOnLink</v>
      <v>Official name</v>
      <v>Shares outstanding</v>
      <v>Exchange abbreviation</v>
      <v>Last trade time</v>
      <v>Volume average</v>
      <v>Previous close</v>
      <v>Year incorporated</v>
    </spb>
    <spb s="1">
      <v>0</v>
      <v>Name</v>
      <v>LearnMoreOnLink</v>
    </spb>
    <spb s="2">
      <v>0</v>
      <v>0</v>
      <v>0</v>
    </spb>
    <spb s="3">
      <v>2</v>
      <v>2</v>
      <v>2</v>
      <v>2</v>
    </spb>
    <spb s="4">
      <v>1</v>
      <v>1</v>
      <v>2</v>
      <v>3</v>
      <v>2</v>
      <v>2</v>
      <v>4</v>
      <v>2</v>
      <v>2</v>
      <v>5</v>
      <v>4</v>
      <v>6</v>
      <v>2</v>
      <v>2</v>
      <v>7</v>
      <v>4</v>
      <v>8</v>
      <v>4</v>
      <v>2</v>
      <v>9</v>
    </spb>
    <spb s="5">
      <v>Echtzeit  Nasdaq Letzter Verkauf</v>
      <v xml:space="preserve">seit der vorherigen Schließung </v>
      <v>Quelle: Nasdaq Letzter Verkauf</v>
      <v xml:space="preserve">seit der vorherigen Schließung </v>
      <v>GMT</v>
    </spb>
    <spb s="6">
      <v>2</v>
    </spb>
    <spb s="7">
      <v>P/E</v>
      <v>Beta</v>
      <v>High</v>
      <v>Name</v>
      <v>Price</v>
      <v>Open</v>
      <v>Low</v>
      <v>Volume</v>
      <v>Currency</v>
      <v>Exchange</v>
      <v>Change</v>
      <v>Headquarters</v>
      <v>Industry</v>
      <v>Market cap</v>
      <v>ExchangeID</v>
      <v>UniqueName</v>
      <v>Description</v>
      <v>Change (%)</v>
      <v>%ProviderInfo</v>
      <v>Employees</v>
      <v>Ticker symbol</v>
      <v>52 week high</v>
      <v>52 week low</v>
      <v>Instrument type</v>
      <v>Official name</v>
      <v>Shares outstanding</v>
      <v>Exchange abbreviation</v>
      <v>Last trade time</v>
      <v>Volume average</v>
      <v>Previous close</v>
      <v>Year incorporated</v>
    </spb>
    <spb s="8">
      <v>1</v>
      <v>Name</v>
    </spb>
    <spb s="9">
      <v>2</v>
      <v>2</v>
      <v>2</v>
    </spb>
    <spb s="10">
      <v>Beta</v>
      <v>High</v>
      <v>Name</v>
      <v>Price</v>
      <v>Open</v>
      <v>Low</v>
      <v>Volume</v>
      <v>Currency</v>
      <v>Exchange</v>
      <v>Change</v>
      <v>Headquarters</v>
      <v>Industry</v>
      <v>Market cap</v>
      <v>ExchangeID</v>
      <v>UniqueName</v>
      <v>Description</v>
      <v>Change (%)</v>
      <v>%ProviderInfo</v>
      <v>Employees</v>
      <v>Ticker symbol</v>
      <v>52 week high</v>
      <v>52 week low</v>
      <v>Instrument type</v>
      <v>LearnMoreOnLink</v>
      <v>Official name</v>
      <v>Shares outstanding</v>
      <v>Exchange abbreviation</v>
      <v>Last trade time</v>
      <v>Volume average</v>
      <v>Previous close</v>
      <v>Year incorporated</v>
    </spb>
    <spb s="1">
      <v>2</v>
      <v>Name</v>
      <v>LearnMoreOnLink</v>
    </spb>
    <spb s="11">
      <v>1</v>
      <v>2</v>
      <v>3</v>
      <v>2</v>
      <v>2</v>
      <v>4</v>
      <v>2</v>
      <v>2</v>
      <v>5</v>
      <v>4</v>
      <v>6</v>
      <v>2</v>
      <v>2</v>
      <v>7</v>
      <v>4</v>
      <v>8</v>
      <v>4</v>
      <v>2</v>
      <v>9</v>
    </spb>
    <spb s="12">
      <v>P/E</v>
      <v>Beta</v>
      <v>Image</v>
      <v>High</v>
      <v>Name</v>
      <v>Price</v>
      <v>Open</v>
      <v>Low</v>
      <v>Volume</v>
      <v>Currency</v>
      <v>Exchange</v>
      <v>Change</v>
      <v>Headquarters</v>
      <v>Industry</v>
      <v>Market cap</v>
      <v>ExchangeID</v>
      <v>UniqueName</v>
      <v>Description</v>
      <v>Change (%)</v>
      <v>%ProviderInfo</v>
      <v>Employees</v>
      <v>Ticker symbol</v>
      <v>52 week high</v>
      <v>52 week low</v>
      <v>Instrument type</v>
      <v>LearnMoreOnLink</v>
      <v>Official name</v>
      <v>Shares outstanding</v>
      <v>Exchange abbreviation</v>
      <v>Last trade time</v>
      <v>Volume average</v>
      <v>Previous close</v>
      <v>Year incorporated</v>
    </spb>
    <spb s="1">
      <v>3</v>
      <v>Name</v>
      <v>LearnMoreOnLink</v>
    </spb>
    <spb s="13">
      <v>0</v>
      <v>0</v>
    </spb>
    <spb s="14">
      <v>15</v>
      <v>2</v>
      <v>2</v>
      <v>2</v>
      <v>2</v>
    </spb>
    <spb s="15">
      <v>1</v>
      <v>1</v>
      <v>10</v>
      <v>2</v>
      <v>3</v>
      <v>2</v>
      <v>2</v>
      <v>4</v>
      <v>2</v>
      <v>2</v>
      <v>5</v>
      <v>4</v>
      <v>6</v>
      <v>2</v>
      <v>2</v>
      <v>7</v>
      <v>4</v>
      <v>8</v>
      <v>4</v>
      <v>2</v>
      <v>9</v>
    </spb>
    <spb s="16">
      <v>Unterstützt von Refinitiv</v>
    </spb>
    <spb s="5">
      <v>15 Minuten verzögert</v>
      <v xml:space="preserve">seit der vorherigen Schließung </v>
      <v>Quelle: Nasdaq</v>
      <v xml:space="preserve">seit der vorherigen Schließung </v>
      <v>GMT</v>
    </spb>
    <spb s="17">
      <v>P/E</v>
      <v>Beta</v>
      <v>High</v>
      <v>Name</v>
      <v>Price</v>
      <v>Open</v>
      <v>Low</v>
      <v>Volume</v>
      <v>Currency</v>
      <v>Exchange</v>
      <v>Change</v>
      <v>Headquarters</v>
      <v>Industry</v>
      <v>Market cap</v>
      <v>ExchangeID</v>
      <v>UniqueName</v>
      <v>Description</v>
      <v>Change (%)</v>
      <v>%ProviderInfo</v>
      <v>Employees</v>
      <v>Ticker symbol</v>
      <v>Instrument type</v>
      <v>LearnMoreOnLink</v>
      <v>Official name</v>
      <v>Shares outstanding</v>
      <v>Exchange abbreviation</v>
      <v>Last trade time</v>
      <v>Volume average</v>
      <v>Previous close</v>
      <v>Year incorporated</v>
    </spb>
    <spb s="1">
      <v>4</v>
      <v>Name</v>
      <v>LearnMoreOnLink</v>
    </spb>
    <spb s="18">
      <v>1</v>
      <v>1</v>
      <v>11</v>
      <v>3</v>
      <v>11</v>
      <v>11</v>
      <v>4</v>
      <v>11</v>
      <v>11</v>
      <v>5</v>
      <v>4</v>
      <v>6</v>
      <v>7</v>
      <v>4</v>
      <v>12</v>
      <v>4</v>
      <v>11</v>
      <v>9</v>
    </spb>
    <spb s="19">
      <v>15 Minuten verzögert</v>
      <v xml:space="preserve">seit der vorherigen Schließung </v>
      <v xml:space="preserve">seit der vorherigen Schließung </v>
      <v>GMT</v>
    </spb>
    <spb s="6">
      <v>11</v>
    </spb>
    <spb s="19">
      <v>BATS BZX Echtzeit  Letzter Preis</v>
      <v xml:space="preserve">seit der vorherigen Schließung </v>
      <v xml:space="preserve">seit der vorherigen Schließung </v>
      <v>GMT</v>
    </spb>
    <spb s="4">
      <v>1</v>
      <v>1</v>
      <v>13</v>
      <v>3</v>
      <v>13</v>
      <v>13</v>
      <v>4</v>
      <v>13</v>
      <v>13</v>
      <v>14</v>
      <v>4</v>
      <v>6</v>
      <v>13</v>
      <v>13</v>
      <v>7</v>
      <v>4</v>
      <v>8</v>
      <v>4</v>
      <v>13</v>
      <v>9</v>
    </spb>
    <spb s="19">
      <v>20 Minuten verzögert</v>
      <v xml:space="preserve">seit der vorherigen Schließung </v>
      <v xml:space="preserve">seit der vorherigen Schließung </v>
      <v>GMT</v>
    </spb>
    <spb s="6">
      <v>13</v>
    </spb>
    <spb s="20">
      <v>P/E</v>
      <v>Beta</v>
      <v>High</v>
      <v>Name</v>
      <v>Price</v>
      <v>Open</v>
      <v>Low</v>
      <v>Volume</v>
      <v>Currency</v>
      <v>Exchange</v>
      <v>Change</v>
      <v>Headquarters</v>
      <v>Industry</v>
      <v>Market cap</v>
      <v>ExchangeID</v>
      <v>UniqueName</v>
      <v>Description</v>
      <v>Change (%)</v>
      <v>%ProviderInfo</v>
      <v>Ticker symbol</v>
      <v>52 week high</v>
      <v>52 week low</v>
      <v>Instrument type</v>
      <v>LearnMoreOnLink</v>
      <v>Official name</v>
      <v>Shares outstanding</v>
      <v>Exchange abbreviation</v>
      <v>Last trade time</v>
      <v>Volume average</v>
      <v>Previous close</v>
      <v>Year incorporated</v>
    </spb>
    <spb s="1">
      <v>5</v>
      <v>Name</v>
      <v>LearnMoreOnLink</v>
    </spb>
    <spb s="21">
      <v>1</v>
      <v>1</v>
      <v>15</v>
      <v>3</v>
      <v>15</v>
      <v>15</v>
      <v>4</v>
      <v>15</v>
      <v>15</v>
      <v>16</v>
      <v>6</v>
      <v>15</v>
      <v>15</v>
      <v>7</v>
      <v>4</v>
      <v>8</v>
      <v>4</v>
      <v>15</v>
      <v>9</v>
    </spb>
    <spb s="6">
      <v>15</v>
    </spb>
    <spb s="22">
      <v>P/E</v>
      <v>Beta</v>
      <v>High</v>
      <v>Name</v>
      <v>Price</v>
      <v>Open</v>
      <v>Low</v>
      <v>Volume</v>
      <v>Currency</v>
      <v>Exchange</v>
      <v>Change</v>
      <v>Headquarters</v>
      <v>Industry</v>
      <v>Market cap</v>
      <v>ExchangeID</v>
      <v>UniqueName</v>
      <v>Description</v>
      <v>Change (%)</v>
      <v>%ProviderInfo</v>
      <v>Employees</v>
      <v>Ticker symbol</v>
      <v>52 week high</v>
      <v>52 week low</v>
      <v>Instrument type</v>
      <v>LearnMoreOnLink</v>
      <v>Official name</v>
      <v>Shares outstanding</v>
      <v>Exchange abbreviation</v>
      <v>Last trade time</v>
      <v>Volume average</v>
      <v>Price (Extended hours)</v>
      <v>Previous close</v>
      <v>Year incorporated</v>
      <v>Change (Extended hours)</v>
      <v>Change % (Extended hours)</v>
    </spb>
    <spb s="1">
      <v>6</v>
      <v>Name</v>
      <v>LearnMoreOnLink</v>
    </spb>
    <spb s="23">
      <v>1</v>
      <v>1</v>
      <v>2</v>
      <v>3</v>
      <v>2</v>
      <v>2</v>
      <v>4</v>
      <v>2</v>
      <v>2</v>
      <v>5</v>
      <v>4</v>
      <v>6</v>
      <v>2</v>
      <v>2</v>
      <v>7</v>
      <v>4</v>
      <v>8</v>
      <v>4</v>
      <v>2</v>
      <v>2</v>
      <v>9</v>
      <v>2</v>
      <v>6</v>
    </spb>
    <spb s="24">
      <v xml:space="preserve">beim Schließen </v>
      <v xml:space="preserve">seit der vorherigen Schließung </v>
      <v>Quelle: Nasdaq</v>
      <v xml:space="preserve">seit der vorherigen Schließung </v>
      <v>GMT</v>
      <v>15 Minuten verzögert</v>
      <v xml:space="preserve">seit der Schließung </v>
      <v xml:space="preserve">seit der Schließung </v>
    </spb>
    <spb s="25">
      <v>P/E</v>
      <v>Beta</v>
      <v>High</v>
      <v>Name</v>
      <v>Price</v>
      <v>Open</v>
      <v>Low</v>
      <v>Volume</v>
      <v>Currency</v>
      <v>Exchange</v>
      <v>Change</v>
      <v>Headquarters</v>
      <v>Industry</v>
      <v>Market cap</v>
      <v>ExchangeID</v>
      <v>UniqueName</v>
      <v>Description</v>
      <v>Change (%)</v>
      <v>%ProviderInfo</v>
      <v>Employees</v>
      <v>Ticker symbol</v>
      <v>52 week high</v>
      <v>52 week low</v>
      <v>Instrument type</v>
      <v>LearnMoreOnLink</v>
      <v>Official name</v>
      <v>Shares outstanding</v>
      <v>Exchange abbreviation</v>
      <v>Last trade time</v>
      <v>Volume average</v>
      <v>Previous close</v>
    </spb>
    <spb s="1">
      <v>7</v>
      <v>Name</v>
      <v>LearnMoreOnLink</v>
    </spb>
    <spb s="26">
      <v>1</v>
      <v>1</v>
      <v>2</v>
      <v>3</v>
      <v>2</v>
      <v>2</v>
      <v>4</v>
      <v>2</v>
      <v>2</v>
      <v>5</v>
      <v>4</v>
      <v>6</v>
      <v>2</v>
      <v>2</v>
      <v>7</v>
      <v>4</v>
      <v>8</v>
      <v>4</v>
      <v>2</v>
    </spb>
    <spb s="27">
      <v>P/E</v>
      <v>Beta</v>
      <v>Image</v>
      <v>High</v>
      <v>Name</v>
      <v>Price</v>
      <v>Open</v>
      <v>Low</v>
      <v>Volume</v>
      <v>Currency</v>
      <v>Exchange</v>
      <v>Change</v>
      <v>Headquarters</v>
      <v>Industry</v>
      <v>Market cap</v>
      <v>ExchangeID</v>
      <v>UniqueName</v>
      <v>Description</v>
      <v>Change (%)</v>
      <v>%ProviderInfo</v>
      <v>Employees</v>
      <v>Ticker symbol</v>
      <v>52 week high</v>
      <v>52 week low</v>
      <v>Instrument type</v>
      <v>LearnMoreOnLink</v>
      <v>Official name</v>
      <v>Shares outstanding</v>
      <v>Exchange abbreviation</v>
      <v>Last trade time</v>
      <v>Volume average</v>
      <v>Price (Extended hours)</v>
      <v>Previous close</v>
      <v>Year incorporated</v>
      <v>Change (Extended hours)</v>
      <v>Change % (Extended hours)</v>
    </spb>
    <spb s="1">
      <v>8</v>
      <v>Name</v>
      <v>LearnMoreOnLink</v>
    </spb>
    <spb s="28">
      <v>1</v>
      <v>1</v>
      <v>10</v>
      <v>2</v>
      <v>3</v>
      <v>2</v>
      <v>2</v>
      <v>4</v>
      <v>2</v>
      <v>2</v>
      <v>5</v>
      <v>4</v>
      <v>6</v>
      <v>2</v>
      <v>2</v>
      <v>7</v>
      <v>4</v>
      <v>8</v>
      <v>4</v>
      <v>2</v>
      <v>2</v>
      <v>9</v>
      <v>2</v>
      <v>6</v>
    </spb>
    <spb s="29">
      <v>Beta</v>
      <v>High</v>
      <v>Name</v>
      <v>Price</v>
      <v>Open</v>
      <v>Low</v>
      <v>Volume</v>
      <v>Currency</v>
      <v>Exchange</v>
      <v>Change</v>
      <v>Headquarters</v>
      <v>Industry</v>
      <v>Market cap</v>
      <v>ExchangeID</v>
      <v>UniqueName</v>
      <v>Description</v>
      <v>Change (%)</v>
      <v>%ProviderInfo</v>
      <v>Employees</v>
      <v>Ticker symbol</v>
      <v>52 week high</v>
      <v>52 week low</v>
      <v>Instrument type</v>
      <v>LearnMoreOnLink</v>
      <v>Official name</v>
      <v>Shares outstanding</v>
      <v>Exchange abbreviation</v>
      <v>Last trade time</v>
      <v>Volume average</v>
      <v>Price (Extended hours)</v>
      <v>Previous close</v>
      <v>Year incorporated</v>
      <v>Change (Extended hours)</v>
      <v>Change % (Extended hours)</v>
    </spb>
    <spb s="1">
      <v>9</v>
      <v>Name</v>
      <v>LearnMoreOnLink</v>
    </spb>
    <spb s="30">
      <v>1</v>
      <v>2</v>
      <v>3</v>
      <v>2</v>
      <v>2</v>
      <v>4</v>
      <v>2</v>
      <v>2</v>
      <v>5</v>
      <v>4</v>
      <v>6</v>
      <v>2</v>
      <v>2</v>
      <v>7</v>
      <v>4</v>
      <v>8</v>
      <v>4</v>
      <v>2</v>
      <v>2</v>
      <v>9</v>
      <v>2</v>
      <v>6</v>
    </spb>
    <spb s="31">
      <v>Beta</v>
      <v>Image</v>
      <v>High</v>
      <v>Name</v>
      <v>Price</v>
      <v>Open</v>
      <v>Low</v>
      <v>Volume</v>
      <v>Currency</v>
      <v>Exchange</v>
      <v>Change</v>
      <v>Headquarters</v>
      <v>Industry</v>
      <v>Market cap</v>
      <v>ExchangeID</v>
      <v>UniqueName</v>
      <v>Description</v>
      <v>Change (%)</v>
      <v>%ProviderInfo</v>
      <v>Employees</v>
      <v>Ticker symbol</v>
      <v>52 week high</v>
      <v>52 week low</v>
      <v>Instrument type</v>
      <v>LearnMoreOnLink</v>
      <v>Official name</v>
      <v>Shares outstanding</v>
      <v>Exchange abbreviation</v>
      <v>Last trade time</v>
      <v>Volume average</v>
      <v>Previous close</v>
      <v>Year incorporated</v>
    </spb>
    <spb s="1">
      <v>10</v>
      <v>Name</v>
      <v>LearnMoreOnLink</v>
    </spb>
    <spb s="32">
      <v>1</v>
      <v>10</v>
      <v>2</v>
      <v>3</v>
      <v>2</v>
      <v>2</v>
      <v>4</v>
      <v>2</v>
      <v>2</v>
      <v>5</v>
      <v>4</v>
      <v>6</v>
      <v>2</v>
      <v>2</v>
      <v>7</v>
      <v>4</v>
      <v>8</v>
      <v>4</v>
      <v>2</v>
      <v>9</v>
    </spb>
    <spb s="4">
      <v>1</v>
      <v>1</v>
      <v>17</v>
      <v>3</v>
      <v>17</v>
      <v>17</v>
      <v>4</v>
      <v>17</v>
      <v>17</v>
      <v>18</v>
      <v>4</v>
      <v>6</v>
      <v>17</v>
      <v>17</v>
      <v>7</v>
      <v>4</v>
      <v>8</v>
      <v>4</v>
      <v>17</v>
      <v>9</v>
    </spb>
    <spb s="5">
      <v>15 Minuten verzögert</v>
      <v xml:space="preserve">seit der vorherigen Schließung </v>
      <v>LSE</v>
      <v xml:space="preserve">seit der vorherigen Schließung </v>
      <v>GMT</v>
    </spb>
    <spb s="6">
      <v>17</v>
    </spb>
    <spb s="33">
      <v>Beta</v>
      <v>High</v>
      <v>Name</v>
      <v>Price</v>
      <v>Open</v>
      <v>Low</v>
      <v>Volume</v>
      <v>Currency</v>
      <v>Exchange</v>
      <v>Change</v>
      <v>Headquarters</v>
      <v>Industry</v>
      <v>Market cap</v>
      <v>ExchangeID</v>
      <v>UniqueName</v>
      <v>Description</v>
      <v>Change (%)</v>
      <v>%ProviderInfo</v>
      <v>Ticker symbol</v>
      <v>52 week high</v>
      <v>52 week low</v>
      <v>Instrument type</v>
      <v>LearnMoreOnLink</v>
      <v>Official name</v>
      <v>Shares outstanding</v>
      <v>Exchange abbreviation</v>
      <v>Last trade time</v>
      <v>Volume average</v>
      <v>Previous close</v>
      <v>Year incorporated</v>
    </spb>
    <spb s="1">
      <v>11</v>
      <v>Name</v>
      <v>LearnMoreOnLink</v>
    </spb>
    <spb s="34">
      <v>1</v>
      <v>13</v>
      <v>3</v>
      <v>13</v>
      <v>13</v>
      <v>4</v>
      <v>13</v>
      <v>13</v>
      <v>14</v>
      <v>6</v>
      <v>13</v>
      <v>13</v>
      <v>7</v>
      <v>4</v>
      <v>8</v>
      <v>4</v>
      <v>13</v>
      <v>9</v>
    </spb>
    <spb s="35">
      <v>Name</v>
      <v>Price</v>
      <v>Volume</v>
      <v>Currency</v>
      <v>Exchange</v>
      <v>Change</v>
      <v>Headquarters</v>
      <v>Industry</v>
      <v>Market cap</v>
      <v>ExchangeID</v>
      <v>UniqueName</v>
      <v>Description</v>
      <v>Change (%)</v>
      <v>%ProviderInfo</v>
      <v>Employees</v>
      <v>Ticker symbol</v>
      <v>52 week high</v>
      <v>52 week low</v>
      <v>Instrument type</v>
      <v>Official name</v>
      <v>Shares outstanding</v>
      <v>Exchange abbreviation</v>
      <v>Last trade time</v>
      <v>Volume average</v>
      <v>Previous close</v>
      <v>Year incorporated</v>
    </spb>
    <spb s="8">
      <v>12</v>
      <v>Name</v>
    </spb>
    <spb s="36">
      <v>3</v>
      <v>17</v>
      <v>4</v>
      <v>17</v>
      <v>18</v>
      <v>4</v>
      <v>6</v>
      <v>17</v>
      <v>17</v>
      <v>7</v>
      <v>4</v>
      <v>8</v>
      <v>4</v>
      <v>17</v>
      <v>9</v>
    </spb>
    <spb s="37">
      <v>12</v>
      <v>2</v>
    </spb>
    <spb s="37">
      <v>12</v>
      <v>17</v>
    </spb>
    <spb s="37">
      <v>12</v>
      <v>13</v>
    </spb>
    <spb s="37">
      <v>12</v>
      <v>15</v>
    </spb>
    <spb s="37">
      <v>12</v>
      <v>11</v>
    </spb>
  </spbData>
</supportingPropertyBags>
</file>

<file path=xl/richData/rdsupportingpropertybagstructure.xml><?xml version="1.0" encoding="utf-8"?>
<spbStructures xmlns="http://schemas.microsoft.com/office/spreadsheetml/2017/richdata2" count="38">
  <s>
    <k n="KGV" t="s"/>
    <k n="Beta" t="s"/>
    <k n="Hoch" t="s"/>
    <k n="Name" t="s"/>
    <k n="Preis" t="s"/>
    <k n="Öffnen" t="s"/>
    <k n="Niedrig" t="s"/>
    <k n="Volumen" t="s"/>
    <k n="Währung" t="s"/>
    <k n="Exchange" t="s"/>
    <k n="Änderung" t="s"/>
    <k n="Hauptsitz" t="s"/>
    <k n="Industrie" t="s"/>
    <k n="Börsenwert" t="s"/>
    <k n="ExchangeID" t="s"/>
    <k n="UniqueName" t="s"/>
    <k n="Beschreibung" t="s"/>
    <k n="Änderung (%)" t="s"/>
    <k n="%ProviderInfo" t="s"/>
    <k n="Mitarbeitende" t="s"/>
    <k n="Ticker-Symbol" t="s"/>
    <k n="52-Wochen-Hoch" t="s"/>
    <k n="52-Wochen-Tief" t="s"/>
    <k n="Instrumententyp" t="s"/>
    <k n="LearnMoreOnLink" t="s"/>
    <k n="Offizieller Name" t="s"/>
    <k n="Ausstehende Aktien" t="s"/>
    <k n="Exchange-Abkürzung" t="s"/>
    <k n="Letzte Handelszeit" t="s"/>
    <k n="Volumendurchschnitt" t="s"/>
    <k n="Schlusskurs des Vortags" t="s"/>
    <k n="Unternehmensgründungsjahr" t="s"/>
  </s>
  <s>
    <k n="^Order" t="spba"/>
    <k n="TitleProperty" t="s"/>
    <k n="SubTitleProperty" t="s"/>
  </s>
  <s>
    <k n="ShowInCardView" t="b"/>
    <k n="ShowInDotNotation" t="b"/>
    <k n="ShowInAutoComplete" t="b"/>
  </s>
  <s>
    <k n="ExchangeID" t="spb"/>
    <k n="UniqueName" t="spb"/>
    <k n="`%ProviderInfo" t="spb"/>
    <k n="LearnMoreOnLink" t="spb"/>
  </s>
  <s>
    <k n="KGV" t="i"/>
    <k n="Beta" t="i"/>
    <k n="Hoch" t="i"/>
    <k n="Name" t="i"/>
    <k n="Preis" t="i"/>
    <k n="Niedrig" t="i"/>
    <k n="Volumen" t="i"/>
    <k n="`Öffnen" t="i"/>
    <k n="`Änderung" t="i"/>
    <k n="Börsenwert" t="i"/>
    <k n="Mitarbeitende" t="i"/>
    <k n="`Änderung (%)" t="i"/>
    <k n="52-Wochen-Hoch" t="i"/>
    <k n="52-Wochen-Tief" t="i"/>
    <k n="`%EntityServiceId" t="i"/>
    <k n="Ausstehende Aktien" t="i"/>
    <k n="Letzte Handelszeit" t="i"/>
    <k n="Volumendurchschnitt" t="i"/>
    <k n="Schlusskurs des Vortags" t="i"/>
    <k n="Unternehmensgründungsjahr" t="i"/>
  </s>
  <s>
    <k n="Preis" t="s"/>
    <k n="`Änderung" t="s"/>
    <k n="ExchangeID" t="s"/>
    <k n="`Änderung (%)" t="s"/>
    <k n="Letzte Handelszeit" t="s"/>
  </s>
  <s>
    <k n="_Self" t="i"/>
  </s>
  <s>
    <k n="KGV" t="s"/>
    <k n="Beta" t="s"/>
    <k n="Hoch" t="s"/>
    <k n="Name" t="s"/>
    <k n="Preis" t="s"/>
    <k n="Öffnen" t="s"/>
    <k n="Niedrig" t="s"/>
    <k n="Volumen" t="s"/>
    <k n="Währung" t="s"/>
    <k n="Exchange" t="s"/>
    <k n="Änderung" t="s"/>
    <k n="Hauptsitz" t="s"/>
    <k n="Industrie" t="s"/>
    <k n="Börsenwert" t="s"/>
    <k n="ExchangeID" t="s"/>
    <k n="UniqueName" t="s"/>
    <k n="Beschreibung" t="s"/>
    <k n="Änderung (%)" t="s"/>
    <k n="%ProviderInfo" t="s"/>
    <k n="Mitarbeitende" t="s"/>
    <k n="Ticker-Symbol" t="s"/>
    <k n="52-Wochen-Hoch" t="s"/>
    <k n="52-Wochen-Tief" t="s"/>
    <k n="Instrumententyp" t="s"/>
    <k n="Offizieller Name" t="s"/>
    <k n="Ausstehende Aktien" t="s"/>
    <k n="Exchange-Abkürzung" t="s"/>
    <k n="Letzte Handelszeit" t="s"/>
    <k n="Volumendurchschnitt" t="s"/>
    <k n="Schlusskurs des Vortags" t="s"/>
    <k n="Unternehmensgründungsjahr" t="s"/>
  </s>
  <s>
    <k n="^Order" t="spba"/>
    <k n="TitleProperty" t="s"/>
  </s>
  <s>
    <k n="ExchangeID" t="spb"/>
    <k n="UniqueName" t="spb"/>
    <k n="`%ProviderInfo" t="spb"/>
  </s>
  <s>
    <k n="Beta" t="s"/>
    <k n="Hoch" t="s"/>
    <k n="Name" t="s"/>
    <k n="Preis" t="s"/>
    <k n="Öffnen" t="s"/>
    <k n="Niedrig" t="s"/>
    <k n="Volumen" t="s"/>
    <k n="Währung" t="s"/>
    <k n="Exchange" t="s"/>
    <k n="Änderung" t="s"/>
    <k n="Hauptsitz" t="s"/>
    <k n="Industrie" t="s"/>
    <k n="Börsenwert" t="s"/>
    <k n="ExchangeID" t="s"/>
    <k n="UniqueName" t="s"/>
    <k n="Beschreibung" t="s"/>
    <k n="Änderung (%)" t="s"/>
    <k n="%ProviderInfo" t="s"/>
    <k n="Mitarbeitende" t="s"/>
    <k n="Ticker-Symbol" t="s"/>
    <k n="52-Wochen-Hoch" t="s"/>
    <k n="52-Wochen-Tief" t="s"/>
    <k n="Instrumententyp" t="s"/>
    <k n="LearnMoreOnLink" t="s"/>
    <k n="Offizieller Name" t="s"/>
    <k n="Ausstehende Aktien" t="s"/>
    <k n="Exchange-Abkürzung" t="s"/>
    <k n="Letzte Handelszeit" t="s"/>
    <k n="Volumendurchschnitt" t="s"/>
    <k n="Schlusskurs des Vortags" t="s"/>
    <k n="Unternehmensgründungsjahr" t="s"/>
  </s>
  <s>
    <k n="Beta" t="i"/>
    <k n="Hoch" t="i"/>
    <k n="Name" t="i"/>
    <k n="Preis" t="i"/>
    <k n="Niedrig" t="i"/>
    <k n="Volumen" t="i"/>
    <k n="`Öffnen" t="i"/>
    <k n="`Änderung" t="i"/>
    <k n="Börsenwert" t="i"/>
    <k n="Mitarbeitende" t="i"/>
    <k n="`Änderung (%)" t="i"/>
    <k n="52-Wochen-Hoch" t="i"/>
    <k n="52-Wochen-Tief" t="i"/>
    <k n="`%EntityServiceId" t="i"/>
    <k n="Ausstehende Aktien" t="i"/>
    <k n="Letzte Handelszeit" t="i"/>
    <k n="Volumendurchschnitt" t="i"/>
    <k n="Schlusskurs des Vortags" t="i"/>
    <k n="Unternehmensgründungsjahr" t="i"/>
  </s>
  <s>
    <k n="KGV" t="s"/>
    <k n="Beta" t="s"/>
    <k n="Bild" t="s"/>
    <k n="Hoch" t="s"/>
    <k n="Name" t="s"/>
    <k n="Preis" t="s"/>
    <k n="Öffnen" t="s"/>
    <k n="Niedrig" t="s"/>
    <k n="Volumen" t="s"/>
    <k n="Währung" t="s"/>
    <k n="Exchange" t="s"/>
    <k n="Änderung" t="s"/>
    <k n="Hauptsitz" t="s"/>
    <k n="Industrie" t="s"/>
    <k n="Börsenwert" t="s"/>
    <k n="ExchangeID" t="s"/>
    <k n="UniqueName" t="s"/>
    <k n="Beschreibung" t="s"/>
    <k n="Änderung (%)" t="s"/>
    <k n="%ProviderInfo" t="s"/>
    <k n="Mitarbeitende" t="s"/>
    <k n="Ticker-Symbol" t="s"/>
    <k n="52-Wochen-Hoch" t="s"/>
    <k n="52-Wochen-Tief" t="s"/>
    <k n="Instrumententyp" t="s"/>
    <k n="LearnMoreOnLink" t="s"/>
    <k n="Offizieller Name" t="s"/>
    <k n="Ausstehende Aktien" t="s"/>
    <k n="Exchange-Abkürzung" t="s"/>
    <k n="Letzte Handelszeit" t="s"/>
    <k n="Volumendurchschnitt" t="s"/>
    <k n="Schlusskurs des Vortags" t="s"/>
    <k n="Unternehmensgründungsjahr" t="s"/>
  </s>
  <s>
    <k n="ShowInDotNotation" t="b"/>
    <k n="ShowInAutoComplete" t="b"/>
  </s>
  <s>
    <k n="Bild" t="spb"/>
    <k n="ExchangeID" t="spb"/>
    <k n="UniqueName" t="spb"/>
    <k n="`%ProviderInfo" t="spb"/>
    <k n="LearnMoreOnLink" t="spb"/>
  </s>
  <s>
    <k n="KGV" t="i"/>
    <k n="Beta" t="i"/>
    <k n="Bild" t="i"/>
    <k n="Hoch" t="i"/>
    <k n="Name" t="i"/>
    <k n="Preis" t="i"/>
    <k n="Niedrig" t="i"/>
    <k n="Volumen" t="i"/>
    <k n="`Öffnen" t="i"/>
    <k n="`Änderung" t="i"/>
    <k n="Börsenwert" t="i"/>
    <k n="Mitarbeitende" t="i"/>
    <k n="`Änderung (%)" t="i"/>
    <k n="52-Wochen-Hoch" t="i"/>
    <k n="52-Wochen-Tief" t="i"/>
    <k n="`%EntityServiceId" t="i"/>
    <k n="Ausstehende Aktien" t="i"/>
    <k n="Letzte Handelszeit" t="i"/>
    <k n="Volumendurchschnitt" t="i"/>
    <k n="Schlusskurs des Vortags" t="i"/>
    <k n="Unternehmensgründungsjahr" t="i"/>
  </s>
  <s>
    <k n="name" t="s"/>
  </s>
  <s>
    <k n="KGV" t="s"/>
    <k n="Beta" t="s"/>
    <k n="Hoch" t="s"/>
    <k n="Name" t="s"/>
    <k n="Preis" t="s"/>
    <k n="Öffnen" t="s"/>
    <k n="Niedrig" t="s"/>
    <k n="Volumen" t="s"/>
    <k n="Währung" t="s"/>
    <k n="Exchange" t="s"/>
    <k n="Änderung" t="s"/>
    <k n="Hauptsitz" t="s"/>
    <k n="Industrie" t="s"/>
    <k n="Börsenwert" t="s"/>
    <k n="ExchangeID" t="s"/>
    <k n="UniqueName" t="s"/>
    <k n="Beschreibung" t="s"/>
    <k n="Änderung (%)" t="s"/>
    <k n="%ProviderInfo" t="s"/>
    <k n="Mitarbeitende" t="s"/>
    <k n="Ticker-Symbol" t="s"/>
    <k n="Instrumententyp" t="s"/>
    <k n="LearnMoreOnLink" t="s"/>
    <k n="Offizieller Name" t="s"/>
    <k n="Ausstehende Aktien" t="s"/>
    <k n="Exchange-Abkürzung" t="s"/>
    <k n="Letzte Handelszeit" t="s"/>
    <k n="Volumendurchschnitt" t="s"/>
    <k n="Schlusskurs des Vortags" t="s"/>
    <k n="Unternehmensgründungsjahr" t="s"/>
  </s>
  <s>
    <k n="KGV" t="i"/>
    <k n="Beta" t="i"/>
    <k n="Hoch" t="i"/>
    <k n="Name" t="i"/>
    <k n="Preis" t="i"/>
    <k n="Niedrig" t="i"/>
    <k n="Volumen" t="i"/>
    <k n="`Öffnen" t="i"/>
    <k n="`Änderung" t="i"/>
    <k n="Börsenwert" t="i"/>
    <k n="Mitarbeitende" t="i"/>
    <k n="`Änderung (%)" t="i"/>
    <k n="`%EntityServiceId" t="i"/>
    <k n="Ausstehende Aktien" t="i"/>
    <k n="Letzte Handelszeit" t="i"/>
    <k n="Volumendurchschnitt" t="i"/>
    <k n="Schlusskurs des Vortags" t="i"/>
    <k n="Unternehmensgründungsjahr" t="i"/>
  </s>
  <s>
    <k n="Preis" t="s"/>
    <k n="`Änderung" t="s"/>
    <k n="`Änderung (%)" t="s"/>
    <k n="Letzte Handelszeit" t="s"/>
  </s>
  <s>
    <k n="KGV" t="s"/>
    <k n="Beta" t="s"/>
    <k n="Hoch" t="s"/>
    <k n="Name" t="s"/>
    <k n="Preis" t="s"/>
    <k n="Öffnen" t="s"/>
    <k n="Niedrig" t="s"/>
    <k n="Volumen" t="s"/>
    <k n="Währung" t="s"/>
    <k n="Exchange" t="s"/>
    <k n="Änderung" t="s"/>
    <k n="Hauptsitz" t="s"/>
    <k n="Industrie" t="s"/>
    <k n="Börsenwert" t="s"/>
    <k n="ExchangeID" t="s"/>
    <k n="UniqueName" t="s"/>
    <k n="Beschreibung" t="s"/>
    <k n="Änderung (%)" t="s"/>
    <k n="%ProviderInfo" t="s"/>
    <k n="Ticker-Symbol" t="s"/>
    <k n="52-Wochen-Hoch" t="s"/>
    <k n="52-Wochen-Tief" t="s"/>
    <k n="Instrumententyp" t="s"/>
    <k n="LearnMoreOnLink" t="s"/>
    <k n="Offizieller Name" t="s"/>
    <k n="Ausstehende Aktien" t="s"/>
    <k n="Exchange-Abkürzung" t="s"/>
    <k n="Letzte Handelszeit" t="s"/>
    <k n="Volumendurchschnitt" t="s"/>
    <k n="Schlusskurs des Vortags" t="s"/>
    <k n="Unternehmensgründungsjahr" t="s"/>
  </s>
  <s>
    <k n="KGV" t="i"/>
    <k n="Beta" t="i"/>
    <k n="Hoch" t="i"/>
    <k n="Name" t="i"/>
    <k n="Preis" t="i"/>
    <k n="Niedrig" t="i"/>
    <k n="Volumen" t="i"/>
    <k n="`Öffnen" t="i"/>
    <k n="`Änderung" t="i"/>
    <k n="Börsenwert" t="i"/>
    <k n="`Änderung (%)" t="i"/>
    <k n="52-Wochen-Hoch" t="i"/>
    <k n="52-Wochen-Tief" t="i"/>
    <k n="`%EntityServiceId" t="i"/>
    <k n="Ausstehende Aktien" t="i"/>
    <k n="Letzte Handelszeit" t="i"/>
    <k n="Volumendurchschnitt" t="i"/>
    <k n="Schlusskurs des Vortags" t="i"/>
    <k n="Unternehmensgründungsjahr" t="i"/>
  </s>
  <s>
    <k n="KGV" t="s"/>
    <k n="Beta" t="s"/>
    <k n="Hoch" t="s"/>
    <k n="Name" t="s"/>
    <k n="Preis" t="s"/>
    <k n="Öffnen" t="s"/>
    <k n="Niedrig" t="s"/>
    <k n="Volumen" t="s"/>
    <k n="Währung" t="s"/>
    <k n="Exchange" t="s"/>
    <k n="Änderung" t="s"/>
    <k n="Hauptsitz" t="s"/>
    <k n="Industrie" t="s"/>
    <k n="Börsenwert" t="s"/>
    <k n="ExchangeID" t="s"/>
    <k n="UniqueName" t="s"/>
    <k n="Beschreibung" t="s"/>
    <k n="Änderung (%)" t="s"/>
    <k n="%ProviderInfo" t="s"/>
    <k n="Mitarbeitende" t="s"/>
    <k n="Ticker-Symbol" t="s"/>
    <k n="52-Wochen-Hoch" t="s"/>
    <k n="52-Wochen-Tief" t="s"/>
    <k n="Instrumententyp" t="s"/>
    <k n="LearnMoreOnLink" t="s"/>
    <k n="Offizieller Name" t="s"/>
    <k n="Ausstehende Aktien" t="s"/>
    <k n="Exchange-Abkürzung" t="s"/>
    <k n="Letzte Handelszeit" t="s"/>
    <k n="Volumendurchschnitt" t="s"/>
    <k n="Preis (nachbörslich)" t="s"/>
    <k n="Schlusskurs des Vortags" t="s"/>
    <k n="Unternehmensgründungsjahr" t="s"/>
    <k n="Veränderung (nachbörslich)" t="s"/>
    <k n="Veränderung % (nachbörslich)" t="s"/>
  </s>
  <s>
    <k n="KGV" t="i"/>
    <k n="Beta" t="i"/>
    <k n="Hoch" t="i"/>
    <k n="Name" t="i"/>
    <k n="Preis" t="i"/>
    <k n="Niedrig" t="i"/>
    <k n="Volumen" t="i"/>
    <k n="`Öffnen" t="i"/>
    <k n="`Änderung" t="i"/>
    <k n="Börsenwert" t="i"/>
    <k n="Mitarbeitende" t="i"/>
    <k n="`Änderung (%)" t="i"/>
    <k n="52-Wochen-Hoch" t="i"/>
    <k n="52-Wochen-Tief" t="i"/>
    <k n="`%EntityServiceId" t="i"/>
    <k n="Ausstehende Aktien" t="i"/>
    <k n="Letzte Handelszeit" t="i"/>
    <k n="Volumendurchschnitt" t="i"/>
    <k n="Preis (nachbörslich)" t="i"/>
    <k n="Schlusskurs des Vortags" t="i"/>
    <k n="Unternehmensgründungsjahr" t="i"/>
    <k n="Veränderung (nachbörslich)" t="i"/>
    <k n="Veränderung % (nachbörslich)" t="i"/>
  </s>
  <s>
    <k n="Preis" t="s"/>
    <k n="`Änderung" t="s"/>
    <k n="ExchangeID" t="s"/>
    <k n="`Änderung (%)" t="s"/>
    <k n="Letzte Handelszeit" t="s"/>
    <k n="Preis (nachbörslich)" t="s"/>
    <k n="Veränderung (nachbörslich)" t="s"/>
    <k n="Veränderung % (nachbörslich)" t="s"/>
  </s>
  <s>
    <k n="KGV" t="s"/>
    <k n="Beta" t="s"/>
    <k n="Hoch" t="s"/>
    <k n="Name" t="s"/>
    <k n="Preis" t="s"/>
    <k n="Öffnen" t="s"/>
    <k n="Niedrig" t="s"/>
    <k n="Volumen" t="s"/>
    <k n="Währung" t="s"/>
    <k n="Exchange" t="s"/>
    <k n="Änderung" t="s"/>
    <k n="Hauptsitz" t="s"/>
    <k n="Industrie" t="s"/>
    <k n="Börsenwert" t="s"/>
    <k n="ExchangeID" t="s"/>
    <k n="UniqueName" t="s"/>
    <k n="Beschreibung" t="s"/>
    <k n="Änderung (%)" t="s"/>
    <k n="%ProviderInfo" t="s"/>
    <k n="Mitarbeitende" t="s"/>
    <k n="Ticker-Symbol" t="s"/>
    <k n="52-Wochen-Hoch" t="s"/>
    <k n="52-Wochen-Tief" t="s"/>
    <k n="Instrumententyp" t="s"/>
    <k n="LearnMoreOnLink" t="s"/>
    <k n="Offizieller Name" t="s"/>
    <k n="Ausstehende Aktien" t="s"/>
    <k n="Exchange-Abkürzung" t="s"/>
    <k n="Letzte Handelszeit" t="s"/>
    <k n="Volumendurchschnitt" t="s"/>
    <k n="Schlusskurs des Vortags" t="s"/>
  </s>
  <s>
    <k n="KGV" t="i"/>
    <k n="Beta" t="i"/>
    <k n="Hoch" t="i"/>
    <k n="Name" t="i"/>
    <k n="Preis" t="i"/>
    <k n="Niedrig" t="i"/>
    <k n="Volumen" t="i"/>
    <k n="`Öffnen" t="i"/>
    <k n="`Änderung" t="i"/>
    <k n="Börsenwert" t="i"/>
    <k n="Mitarbeitende" t="i"/>
    <k n="`Änderung (%)" t="i"/>
    <k n="52-Wochen-Hoch" t="i"/>
    <k n="52-Wochen-Tief" t="i"/>
    <k n="`%EntityServiceId" t="i"/>
    <k n="Ausstehende Aktien" t="i"/>
    <k n="Letzte Handelszeit" t="i"/>
    <k n="Volumendurchschnitt" t="i"/>
    <k n="Schlusskurs des Vortags" t="i"/>
  </s>
  <s>
    <k n="KGV" t="s"/>
    <k n="Beta" t="s"/>
    <k n="Bild" t="s"/>
    <k n="Hoch" t="s"/>
    <k n="Name" t="s"/>
    <k n="Preis" t="s"/>
    <k n="Öffnen" t="s"/>
    <k n="Niedrig" t="s"/>
    <k n="Volumen" t="s"/>
    <k n="Währung" t="s"/>
    <k n="Exchange" t="s"/>
    <k n="Änderung" t="s"/>
    <k n="Hauptsitz" t="s"/>
    <k n="Industrie" t="s"/>
    <k n="Börsenwert" t="s"/>
    <k n="ExchangeID" t="s"/>
    <k n="UniqueName" t="s"/>
    <k n="Beschreibung" t="s"/>
    <k n="Änderung (%)" t="s"/>
    <k n="%ProviderInfo" t="s"/>
    <k n="Mitarbeitende" t="s"/>
    <k n="Ticker-Symbol" t="s"/>
    <k n="52-Wochen-Hoch" t="s"/>
    <k n="52-Wochen-Tief" t="s"/>
    <k n="Instrumententyp" t="s"/>
    <k n="LearnMoreOnLink" t="s"/>
    <k n="Offizieller Name" t="s"/>
    <k n="Ausstehende Aktien" t="s"/>
    <k n="Exchange-Abkürzung" t="s"/>
    <k n="Letzte Handelszeit" t="s"/>
    <k n="Volumendurchschnitt" t="s"/>
    <k n="Preis (nachbörslich)" t="s"/>
    <k n="Schlusskurs des Vortags" t="s"/>
    <k n="Unternehmensgründungsjahr" t="s"/>
    <k n="Veränderung (nachbörslich)" t="s"/>
    <k n="Veränderung % (nachbörslich)" t="s"/>
  </s>
  <s>
    <k n="KGV" t="i"/>
    <k n="Beta" t="i"/>
    <k n="Bild" t="i"/>
    <k n="Hoch" t="i"/>
    <k n="Name" t="i"/>
    <k n="Preis" t="i"/>
    <k n="Niedrig" t="i"/>
    <k n="Volumen" t="i"/>
    <k n="`Öffnen" t="i"/>
    <k n="`Änderung" t="i"/>
    <k n="Börsenwert" t="i"/>
    <k n="Mitarbeitende" t="i"/>
    <k n="`Änderung (%)" t="i"/>
    <k n="52-Wochen-Hoch" t="i"/>
    <k n="52-Wochen-Tief" t="i"/>
    <k n="`%EntityServiceId" t="i"/>
    <k n="Ausstehende Aktien" t="i"/>
    <k n="Letzte Handelszeit" t="i"/>
    <k n="Volumendurchschnitt" t="i"/>
    <k n="Preis (nachbörslich)" t="i"/>
    <k n="Schlusskurs des Vortags" t="i"/>
    <k n="Unternehmensgründungsjahr" t="i"/>
    <k n="Veränderung (nachbörslich)" t="i"/>
    <k n="Veränderung % (nachbörslich)" t="i"/>
  </s>
  <s>
    <k n="Beta" t="s"/>
    <k n="Hoch" t="s"/>
    <k n="Name" t="s"/>
    <k n="Preis" t="s"/>
    <k n="Öffnen" t="s"/>
    <k n="Niedrig" t="s"/>
    <k n="Volumen" t="s"/>
    <k n="Währung" t="s"/>
    <k n="Exchange" t="s"/>
    <k n="Änderung" t="s"/>
    <k n="Hauptsitz" t="s"/>
    <k n="Industrie" t="s"/>
    <k n="Börsenwert" t="s"/>
    <k n="ExchangeID" t="s"/>
    <k n="UniqueName" t="s"/>
    <k n="Beschreibung" t="s"/>
    <k n="Änderung (%)" t="s"/>
    <k n="%ProviderInfo" t="s"/>
    <k n="Mitarbeitende" t="s"/>
    <k n="Ticker-Symbol" t="s"/>
    <k n="52-Wochen-Hoch" t="s"/>
    <k n="52-Wochen-Tief" t="s"/>
    <k n="Instrumententyp" t="s"/>
    <k n="LearnMoreOnLink" t="s"/>
    <k n="Offizieller Name" t="s"/>
    <k n="Ausstehende Aktien" t="s"/>
    <k n="Exchange-Abkürzung" t="s"/>
    <k n="Letzte Handelszeit" t="s"/>
    <k n="Volumendurchschnitt" t="s"/>
    <k n="Preis (nachbörslich)" t="s"/>
    <k n="Schlusskurs des Vortags" t="s"/>
    <k n="Unternehmensgründungsjahr" t="s"/>
    <k n="Veränderung (nachbörslich)" t="s"/>
    <k n="Veränderung % (nachbörslich)" t="s"/>
  </s>
  <s>
    <k n="Beta" t="i"/>
    <k n="Hoch" t="i"/>
    <k n="Name" t="i"/>
    <k n="Preis" t="i"/>
    <k n="Niedrig" t="i"/>
    <k n="Volumen" t="i"/>
    <k n="`Öffnen" t="i"/>
    <k n="`Änderung" t="i"/>
    <k n="Börsenwert" t="i"/>
    <k n="Mitarbeitende" t="i"/>
    <k n="`Änderung (%)" t="i"/>
    <k n="52-Wochen-Hoch" t="i"/>
    <k n="52-Wochen-Tief" t="i"/>
    <k n="`%EntityServiceId" t="i"/>
    <k n="Ausstehende Aktien" t="i"/>
    <k n="Letzte Handelszeit" t="i"/>
    <k n="Volumendurchschnitt" t="i"/>
    <k n="Preis (nachbörslich)" t="i"/>
    <k n="Schlusskurs des Vortags" t="i"/>
    <k n="Unternehmensgründungsjahr" t="i"/>
    <k n="Veränderung (nachbörslich)" t="i"/>
    <k n="Veränderung % (nachbörslich)" t="i"/>
  </s>
  <s>
    <k n="Beta" t="s"/>
    <k n="Bild" t="s"/>
    <k n="Hoch" t="s"/>
    <k n="Name" t="s"/>
    <k n="Preis" t="s"/>
    <k n="Öffnen" t="s"/>
    <k n="Niedrig" t="s"/>
    <k n="Volumen" t="s"/>
    <k n="Währung" t="s"/>
    <k n="Exchange" t="s"/>
    <k n="Änderung" t="s"/>
    <k n="Hauptsitz" t="s"/>
    <k n="Industrie" t="s"/>
    <k n="Börsenwert" t="s"/>
    <k n="ExchangeID" t="s"/>
    <k n="UniqueName" t="s"/>
    <k n="Beschreibung" t="s"/>
    <k n="Änderung (%)" t="s"/>
    <k n="%ProviderInfo" t="s"/>
    <k n="Mitarbeitende" t="s"/>
    <k n="Ticker-Symbol" t="s"/>
    <k n="52-Wochen-Hoch" t="s"/>
    <k n="52-Wochen-Tief" t="s"/>
    <k n="Instrumententyp" t="s"/>
    <k n="LearnMoreOnLink" t="s"/>
    <k n="Offizieller Name" t="s"/>
    <k n="Ausstehende Aktien" t="s"/>
    <k n="Exchange-Abkürzung" t="s"/>
    <k n="Letzte Handelszeit" t="s"/>
    <k n="Volumendurchschnitt" t="s"/>
    <k n="Schlusskurs des Vortags" t="s"/>
    <k n="Unternehmensgründungsjahr" t="s"/>
  </s>
  <s>
    <k n="Beta" t="i"/>
    <k n="Bild" t="i"/>
    <k n="Hoch" t="i"/>
    <k n="Name" t="i"/>
    <k n="Preis" t="i"/>
    <k n="Niedrig" t="i"/>
    <k n="Volumen" t="i"/>
    <k n="`Öffnen" t="i"/>
    <k n="`Änderung" t="i"/>
    <k n="Börsenwert" t="i"/>
    <k n="Mitarbeitende" t="i"/>
    <k n="`Änderung (%)" t="i"/>
    <k n="52-Wochen-Hoch" t="i"/>
    <k n="52-Wochen-Tief" t="i"/>
    <k n="`%EntityServiceId" t="i"/>
    <k n="Ausstehende Aktien" t="i"/>
    <k n="Letzte Handelszeit" t="i"/>
    <k n="Volumendurchschnitt" t="i"/>
    <k n="Schlusskurs des Vortags" t="i"/>
    <k n="Unternehmensgründungsjahr" t="i"/>
  </s>
  <s>
    <k n="Beta" t="s"/>
    <k n="Hoch" t="s"/>
    <k n="Name" t="s"/>
    <k n="Preis" t="s"/>
    <k n="Öffnen" t="s"/>
    <k n="Niedrig" t="s"/>
    <k n="Volumen" t="s"/>
    <k n="Währung" t="s"/>
    <k n="Exchange" t="s"/>
    <k n="Änderung" t="s"/>
    <k n="Hauptsitz" t="s"/>
    <k n="Industrie" t="s"/>
    <k n="Börsenwert" t="s"/>
    <k n="ExchangeID" t="s"/>
    <k n="UniqueName" t="s"/>
    <k n="Beschreibung" t="s"/>
    <k n="Änderung (%)" t="s"/>
    <k n="%ProviderInfo" t="s"/>
    <k n="Ticker-Symbol" t="s"/>
    <k n="52-Wochen-Hoch" t="s"/>
    <k n="52-Wochen-Tief" t="s"/>
    <k n="Instrumententyp" t="s"/>
    <k n="LearnMoreOnLink" t="s"/>
    <k n="Offizieller Name" t="s"/>
    <k n="Ausstehende Aktien" t="s"/>
    <k n="Exchange-Abkürzung" t="s"/>
    <k n="Letzte Handelszeit" t="s"/>
    <k n="Volumendurchschnitt" t="s"/>
    <k n="Schlusskurs des Vortags" t="s"/>
    <k n="Unternehmensgründungsjahr" t="s"/>
  </s>
  <s>
    <k n="Beta" t="i"/>
    <k n="Hoch" t="i"/>
    <k n="Name" t="i"/>
    <k n="Preis" t="i"/>
    <k n="Niedrig" t="i"/>
    <k n="Volumen" t="i"/>
    <k n="`Öffnen" t="i"/>
    <k n="`Änderung" t="i"/>
    <k n="Börsenwert" t="i"/>
    <k n="`Änderung (%)" t="i"/>
    <k n="52-Wochen-Hoch" t="i"/>
    <k n="52-Wochen-Tief" t="i"/>
    <k n="`%EntityServiceId" t="i"/>
    <k n="Ausstehende Aktien" t="i"/>
    <k n="Letzte Handelszeit" t="i"/>
    <k n="Volumendurchschnitt" t="i"/>
    <k n="Schlusskurs des Vortags" t="i"/>
    <k n="Unternehmensgründungsjahr" t="i"/>
  </s>
  <s>
    <k n="Name" t="s"/>
    <k n="Preis" t="s"/>
    <k n="Volumen" t="s"/>
    <k n="Währung" t="s"/>
    <k n="Exchange" t="s"/>
    <k n="Änderung" t="s"/>
    <k n="Hauptsitz" t="s"/>
    <k n="Industrie" t="s"/>
    <k n="Börsenwert" t="s"/>
    <k n="ExchangeID" t="s"/>
    <k n="UniqueName" t="s"/>
    <k n="Beschreibung" t="s"/>
    <k n="Änderung (%)" t="s"/>
    <k n="%ProviderInfo" t="s"/>
    <k n="Mitarbeitende" t="s"/>
    <k n="Ticker-Symbol" t="s"/>
    <k n="52-Wochen-Hoch" t="s"/>
    <k n="52-Wochen-Tief" t="s"/>
    <k n="Instrumententyp" t="s"/>
    <k n="Offizieller Name" t="s"/>
    <k n="Ausstehende Aktien" t="s"/>
    <k n="Exchange-Abkürzung" t="s"/>
    <k n="Letzte Handelszeit" t="s"/>
    <k n="Volumendurchschnitt" t="s"/>
    <k n="Schlusskurs des Vortags" t="s"/>
    <k n="Unternehmensgründungsjahr" t="s"/>
  </s>
  <s>
    <k n="Name" t="i"/>
    <k n="Preis" t="i"/>
    <k n="Volumen" t="i"/>
    <k n="`Änderung" t="i"/>
    <k n="Börsenwert" t="i"/>
    <k n="Mitarbeitende" t="i"/>
    <k n="`Änderung (%)" t="i"/>
    <k n="52-Wochen-Hoch" t="i"/>
    <k n="52-Wochen-Tief" t="i"/>
    <k n="`%EntityServiceId" t="i"/>
    <k n="Ausstehende Aktien" t="i"/>
    <k n="Letzte Handelszeit" t="i"/>
    <k n="Volumendurchschnitt" t="i"/>
    <k n="Schlusskurs des Vortags" t="i"/>
    <k n="Unternehmensgründungsjahr"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9">
    <x:dxf>
      <x:numFmt numFmtId="2" formatCode="0.00"/>
    </x:dxf>
    <x:dxf>
      <x:numFmt numFmtId="0" formatCode="General"/>
    </x:dxf>
    <x:dxf>
      <x:numFmt numFmtId="27" formatCode="dd/mm/yy\ hh:mm"/>
    </x:dxf>
    <x:dxf>
      <x:numFmt numFmtId="14" formatCode="0.00%"/>
    </x:dxf>
    <x:dxf>
      <x:numFmt numFmtId="3" formatCode="#,##0"/>
    </x:dxf>
    <x:dxf>
      <x:numFmt numFmtId="4" formatCode="#,##0.00"/>
    </x:dxf>
    <x:dxf>
      <x:numFmt numFmtId="1" formatCode="0"/>
    </x:dxf>
    <x:dxf>
      <x:numFmt numFmtId="19" formatCode="dd/mm/yy"/>
    </x:dxf>
    <x:dxf>
      <x:numFmt numFmtId="35" formatCode="_-* #,##0.00_-;\-* #,##0.00_-;_-* &quot;-&quot;??_-;_-@_-"/>
    </x:dxf>
  </dxfs>
  <richProperties>
    <rPr n="NumberFormat" t="s"/>
    <rPr n="IsTitleField" t="b"/>
    <rPr n="IsHeroField" t="b"/>
  </richProperties>
  <richStyles>
    <rSty dxfid="5">
      <rpv i="0">#,##0.00</rpv>
    </rSty>
    <rSty dxfid="1">
      <rpv i="0">_([$$-en-US]* #,##0.00_);_([$$-en-US]* (#,##0.00);_([$$-en-US]* "-"??_);_(@_)</rpv>
    </rSty>
    <rSty>
      <rpv i="1">1</rpv>
    </rSty>
    <rSty dxfid="4">
      <rpv i="0">#,##0</rpv>
    </rSty>
    <rSty dxfid="1">
      <rpv i="0">_([$$-en-US]* #,##0_);_([$$-en-US]* (#,##0);_([$$-en-US]* "-"_);_(@_)</rpv>
    </rSty>
    <rSty dxfid="3"/>
    <rSty dxfid="0">
      <rpv i="0">0.00</rpv>
    </rSty>
    <rSty dxfid="2"/>
    <rSty dxfid="6">
      <rpv i="0">0</rpv>
    </rSty>
    <rSty>
      <rpv i="2">1</rpv>
    </rSty>
    <rSty dxfid="1">
      <rpv i="0">_([$€-x-euro2] * #,##0.00_);_([$€-x-euro2] * (#,##0.00);_([$€-x-euro2] * "-"??_);_(@_)</rpv>
    </rSty>
    <rSty dxfid="7"/>
    <rSty dxfid="1">
      <rpv i="0">_([$$-en-AU]* #,##0.00_);_([$$-en-AU]* (#,##0.00);_([$$-en-AU]* "-"??_);_(@_)</rpv>
    </rSty>
    <rSty dxfid="1">
      <rpv i="0">_([$$-en-AU]* #,##0_);_([$$-en-AU]* (#,##0);_([$$-en-AU]* "-"_);_(@_)</rpv>
    </rSty>
    <rSty dxfid="1">
      <rpv i="0">_([$$-en-CA]* #,##0.00_);_([$$-en-CA]* (#,##0.00);_([$$-en-CA]* "-"??_);_(@_)</rpv>
    </rSty>
    <rSty dxfid="1">
      <rpv i="0">_([$$-en-CA]* #,##0_);_([$$-en-CA]* (#,##0);_([$$-en-CA]* "-"_);_(@_)</rpv>
    </rSty>
    <rSty dxfid="8">
      <rpv i="0">_(* #,##0.00_);_(* (#,##0.00);_(* "-"??_);_(@_)</rpv>
    </rSty>
    <rSty dxfid="1">
      <rpv i="0">_([$£-en-GB]* #,##0_);_([$£-en-GB]* (#,##0);_([$£-en-GB]* "-"_);_(@_)</rpv>
    </rSty>
  </richStyles>
</richStyleSheet>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8081F-2878-004C-9C19-42A51A56A266}">
  <dimension ref="A1:S491"/>
  <sheetViews>
    <sheetView tabSelected="1" workbookViewId="0">
      <selection activeCell="C2" sqref="C2:C491"/>
    </sheetView>
  </sheetViews>
  <sheetFormatPr baseColWidth="10" defaultRowHeight="16" x14ac:dyDescent="0.2"/>
  <cols>
    <col min="1" max="1" width="4.1640625" bestFit="1" customWidth="1"/>
    <col min="2" max="2" width="2.6640625" customWidth="1"/>
    <col min="3" max="3" width="81.1640625" bestFit="1" customWidth="1"/>
    <col min="4" max="4" width="15.33203125" customWidth="1"/>
    <col min="5" max="5" width="16.6640625" bestFit="1" customWidth="1"/>
    <col min="6" max="6" width="6.83203125" bestFit="1" customWidth="1"/>
    <col min="7" max="7" width="39.6640625" bestFit="1" customWidth="1"/>
    <col min="10" max="10" width="11.5" bestFit="1" customWidth="1"/>
    <col min="11" max="11" width="11.1640625" bestFit="1" customWidth="1"/>
    <col min="16" max="16" width="2" customWidth="1"/>
  </cols>
  <sheetData>
    <row r="1" spans="1:19" s="3" customFormat="1" x14ac:dyDescent="0.2">
      <c r="C1" s="3" t="s">
        <v>0</v>
      </c>
      <c r="D1" s="3" t="s">
        <v>1</v>
      </c>
      <c r="E1" s="3" t="s">
        <v>2</v>
      </c>
      <c r="F1" s="3" t="s">
        <v>3</v>
      </c>
      <c r="G1" s="3" t="s">
        <v>4</v>
      </c>
      <c r="I1" s="3" t="s">
        <v>15</v>
      </c>
      <c r="J1" s="17">
        <v>46108</v>
      </c>
    </row>
    <row r="2" spans="1:19" x14ac:dyDescent="0.2">
      <c r="A2" s="4">
        <v>1</v>
      </c>
      <c r="C2" t="e" vm="1">
        <v>#VALUE!</v>
      </c>
      <c r="D2" s="1" cm="1" vm="2">
        <f t="array" aca="1" ref="D2" ca="1">_xlfn.STOCKHISTORY(C2,$J$1,$J$1,0,0,1)</f>
        <v>702.73</v>
      </c>
      <c r="E2" s="1">
        <f t="shared" ref="E2:E65" ca="1" si="0">AVERAGE(_xlfn.STOCKHISTORY(C2,$J$1-182,$J$1,1,0,1))</f>
        <v>383.59296296296293</v>
      </c>
      <c r="F2" s="2">
        <f t="shared" ref="F2:F65" ca="1" si="1">D2/E2</f>
        <v>1.8319679135194427</v>
      </c>
      <c r="G2" t="str" cm="1">
        <f t="array" aca="1" ref="G2" ca="1">_FV(C2,"Industrie")</f>
        <v>Communications &amp; Networking</v>
      </c>
    </row>
    <row r="3" spans="1:19" x14ac:dyDescent="0.2">
      <c r="A3" s="4">
        <v>2</v>
      </c>
      <c r="C3" s="23" t="e" vm="3">
        <v>#VALUE!</v>
      </c>
      <c r="D3" s="1" cm="1" vm="4">
        <f t="array" aca="1" ref="D3" ca="1">_xlfn.STOCKHISTORY(C3,$J$1,$J$1,0,0,1)</f>
        <v>615.83000000000004</v>
      </c>
      <c r="E3" s="1">
        <f t="shared" ca="1" si="0"/>
        <v>364.7507407407407</v>
      </c>
      <c r="F3" s="2">
        <f t="shared" ca="1" si="1"/>
        <v>1.6883584629584691</v>
      </c>
      <c r="G3" t="str" cm="1">
        <f t="array" aca="1" ref="G3" ca="1">_FV(C3,"Industrie")</f>
        <v>Computers, Phones &amp; Household Electronics</v>
      </c>
      <c r="K3" s="9"/>
      <c r="L3" s="9"/>
      <c r="M3" s="9"/>
      <c r="N3" s="9"/>
      <c r="O3" s="9"/>
    </row>
    <row r="4" spans="1:19" x14ac:dyDescent="0.2">
      <c r="A4" s="4">
        <v>3</v>
      </c>
      <c r="C4" t="e" vm="5">
        <v>#VALUE!</v>
      </c>
      <c r="D4" s="1" cm="1" vm="6">
        <f t="array" aca="1" ref="D4" ca="1">_xlfn.STOCKHISTORY(C4,$J$1,$J$1,0,0,1)</f>
        <v>401.61</v>
      </c>
      <c r="E4" s="1">
        <f t="shared" ca="1" si="0"/>
        <v>241.91777777777776</v>
      </c>
      <c r="F4" s="2">
        <f t="shared" ca="1" si="1"/>
        <v>1.6601094954208502</v>
      </c>
      <c r="G4" t="str" cm="1">
        <f t="array" aca="1" ref="G4" ca="1">_FV(C4,"Industrie")</f>
        <v>Communications &amp; Networking</v>
      </c>
      <c r="I4" s="12" t="s">
        <v>5</v>
      </c>
      <c r="J4" s="13"/>
      <c r="K4" s="14"/>
      <c r="L4" s="15"/>
      <c r="M4" s="15"/>
      <c r="N4" s="15"/>
      <c r="O4" s="15"/>
      <c r="P4" s="12"/>
      <c r="Q4" s="12"/>
      <c r="S4" s="9" t="s">
        <v>25</v>
      </c>
    </row>
    <row r="5" spans="1:19" x14ac:dyDescent="0.2">
      <c r="A5" s="4">
        <v>4</v>
      </c>
      <c r="C5" s="23" t="e" vm="7">
        <v>#VALUE!</v>
      </c>
      <c r="D5" s="1" cm="1" vm="8">
        <f t="array" aca="1" ref="D5" ca="1">_xlfn.STOCKHISTORY(C5,$J$1,$J$1,0,0,1)</f>
        <v>44.39</v>
      </c>
      <c r="E5" s="1">
        <f t="shared" ca="1" si="0"/>
        <v>27.15</v>
      </c>
      <c r="F5" s="2">
        <f t="shared" ca="1" si="1"/>
        <v>1.6349907918968694</v>
      </c>
      <c r="G5" t="str" cm="1">
        <f t="array" aca="1" ref="G5" ca="1">_FV(C5,"Industrie")</f>
        <v>Oil &amp; Gas</v>
      </c>
    </row>
    <row r="6" spans="1:19" x14ac:dyDescent="0.2">
      <c r="A6" s="4">
        <v>5</v>
      </c>
      <c r="C6" s="23" t="e" vm="9">
        <v>#VALUE!</v>
      </c>
      <c r="D6" s="1" cm="1" vm="10">
        <f t="array" aca="1" ref="D6" ca="1">_xlfn.STOCKHISTORY(C6,$J$1,$J$1,0,0,1)</f>
        <v>80.45</v>
      </c>
      <c r="E6" s="1">
        <f t="shared" ca="1" si="0"/>
        <v>52.011111111111113</v>
      </c>
      <c r="F6" s="2">
        <f t="shared" ca="1" si="1"/>
        <v>1.5467848750267037</v>
      </c>
      <c r="G6" t="str" cm="1">
        <f t="array" aca="1" ref="G6" ca="1">_FV(C6,"Industrie")</f>
        <v>Chemicals</v>
      </c>
      <c r="J6" s="7" t="s">
        <v>0</v>
      </c>
      <c r="K6" s="9" t="s">
        <v>6</v>
      </c>
      <c r="L6" s="9" t="s">
        <v>8</v>
      </c>
      <c r="M6" s="9" t="s">
        <v>7</v>
      </c>
      <c r="N6" s="9" t="s">
        <v>9</v>
      </c>
      <c r="O6" s="9" t="s">
        <v>13</v>
      </c>
      <c r="Q6" s="9" t="s">
        <v>14</v>
      </c>
      <c r="S6" s="9" t="s">
        <v>24</v>
      </c>
    </row>
    <row r="7" spans="1:19" x14ac:dyDescent="0.2">
      <c r="A7" s="4">
        <v>6</v>
      </c>
      <c r="C7" t="e" vm="11">
        <v>#VALUE!</v>
      </c>
      <c r="D7" s="1" cm="1" vm="12">
        <f t="array" aca="1" ref="D7" ca="1">_xlfn.STOCKHISTORY(C7,$J$1,$J$1,0,0,1)</f>
        <v>40.82</v>
      </c>
      <c r="E7" s="1">
        <f t="shared" ca="1" si="0"/>
        <v>27.021851851851853</v>
      </c>
      <c r="F7" s="2">
        <f t="shared" ca="1" si="1"/>
        <v>1.5106292575282008</v>
      </c>
      <c r="G7" t="str" cm="1">
        <f t="array" aca="1" ref="G7" ca="1">_FV(C7,"Industrie")</f>
        <v>Chemicals</v>
      </c>
      <c r="I7" s="8">
        <v>45992</v>
      </c>
      <c r="J7" s="18" t="s">
        <v>10</v>
      </c>
      <c r="K7" s="10">
        <v>142.32</v>
      </c>
      <c r="L7" s="10">
        <v>111.64</v>
      </c>
      <c r="M7" s="10">
        <v>207.69</v>
      </c>
      <c r="N7" s="10">
        <v>273.58999999999997</v>
      </c>
      <c r="O7" s="10">
        <v>60.44</v>
      </c>
    </row>
    <row r="8" spans="1:19" x14ac:dyDescent="0.2">
      <c r="A8" s="4">
        <v>7</v>
      </c>
      <c r="C8" t="e" vm="13">
        <v>#VALUE!</v>
      </c>
      <c r="D8" s="1" cm="1" vm="14">
        <f t="array" aca="1" ref="D8" ca="1">_xlfn.STOCKHISTORY(C8,$J$1,$J$1,0,0,1)</f>
        <v>136.44999999999999</v>
      </c>
      <c r="E8" s="1">
        <f t="shared" ca="1" si="0"/>
        <v>92.080370370370375</v>
      </c>
      <c r="F8" s="2">
        <f t="shared" ca="1" si="1"/>
        <v>1.4818576364448126</v>
      </c>
      <c r="G8" t="str" cm="1">
        <f t="array" aca="1" ref="G8" ca="1">_FV(C8,"Industrie")</f>
        <v>Chemicals</v>
      </c>
      <c r="J8" t="s">
        <v>11</v>
      </c>
      <c r="K8" s="11">
        <v>70</v>
      </c>
      <c r="L8" s="11">
        <v>90</v>
      </c>
      <c r="M8" s="11">
        <v>48</v>
      </c>
      <c r="N8" s="11">
        <v>37</v>
      </c>
      <c r="O8" s="11">
        <v>165</v>
      </c>
    </row>
    <row r="9" spans="1:19" x14ac:dyDescent="0.2">
      <c r="A9" s="4">
        <v>8</v>
      </c>
      <c r="C9" t="e" vm="15">
        <v>#VALUE!</v>
      </c>
      <c r="D9" s="1" cm="1" vm="16">
        <f t="array" aca="1" ref="D9" ca="1">_xlfn.STOCKHISTORY(C9,$J$1,$J$1,0,0,1)</f>
        <v>65.319999999999993</v>
      </c>
      <c r="E9" s="1">
        <f t="shared" ca="1" si="0"/>
        <v>46.01666666666668</v>
      </c>
      <c r="F9" s="2">
        <f t="shared" ca="1" si="1"/>
        <v>1.4194856935892788</v>
      </c>
      <c r="G9" t="str" cm="1">
        <f t="array" aca="1" ref="G9" ca="1">_FV(C9,"Industrie")</f>
        <v>Oil &amp; Gas</v>
      </c>
      <c r="J9" t="s">
        <v>12</v>
      </c>
      <c r="K9" s="6">
        <f>-K7*K8</f>
        <v>-9962.4</v>
      </c>
      <c r="L9" s="6">
        <f>-L7*L8</f>
        <v>-10047.6</v>
      </c>
      <c r="M9" s="6">
        <f>-M7*M8</f>
        <v>-9969.119999999999</v>
      </c>
      <c r="N9" s="6">
        <f>-N7*N8</f>
        <v>-10122.83</v>
      </c>
      <c r="O9" s="6">
        <f>-O7*O8</f>
        <v>-9972.6</v>
      </c>
      <c r="Q9" s="16">
        <f>-SUM(K9:O9)</f>
        <v>50074.549999999996</v>
      </c>
      <c r="S9" s="11">
        <v>6826</v>
      </c>
    </row>
    <row r="10" spans="1:19" x14ac:dyDescent="0.2">
      <c r="A10" s="4">
        <v>9</v>
      </c>
      <c r="C10" t="e" vm="17">
        <v>#VALUE!</v>
      </c>
      <c r="D10" s="1" cm="1" vm="18">
        <f t="array" aca="1" ref="D10" ca="1">_xlfn.STOCKHISTORY(C10,$J$1,$J$1,0,0,1)</f>
        <v>511.75</v>
      </c>
      <c r="E10" s="1">
        <f t="shared" ca="1" si="0"/>
        <v>364.78888518518517</v>
      </c>
      <c r="F10" s="2">
        <f t="shared" ca="1" si="1"/>
        <v>1.4028662077799052</v>
      </c>
      <c r="G10" t="str" cm="1">
        <f t="array" aca="1" ref="G10" ca="1">_FV(C10,"Industrie")</f>
        <v>Oil &amp; Gas</v>
      </c>
      <c r="K10" s="10"/>
    </row>
    <row r="11" spans="1:19" x14ac:dyDescent="0.2">
      <c r="A11" s="4">
        <v>10</v>
      </c>
      <c r="C11" s="5" t="e" vm="19">
        <v>#VALUE!</v>
      </c>
      <c r="D11" s="1" cm="1" vm="20">
        <f t="array" aca="1" ref="D11" ca="1">_xlfn.STOCKHISTORY(C11,$J$1,$J$1,0,0,1)</f>
        <v>275.33999999999997</v>
      </c>
      <c r="E11" s="1">
        <f t="shared" ca="1" si="0"/>
        <v>200.08351851851853</v>
      </c>
      <c r="F11" s="2">
        <f t="shared" ca="1" si="1"/>
        <v>1.3761253402514317</v>
      </c>
      <c r="G11" t="str" cm="1">
        <f t="array" aca="1" ref="G11" ca="1">_FV(C11,"Industrie")</f>
        <v>Computers, Phones &amp; Household Electronics</v>
      </c>
      <c r="J11" s="7" t="s">
        <v>0</v>
      </c>
      <c r="O11" s="9" t="s">
        <v>13</v>
      </c>
    </row>
    <row r="12" spans="1:19" x14ac:dyDescent="0.2">
      <c r="A12" s="4">
        <v>11</v>
      </c>
      <c r="C12" s="23" t="e" vm="21">
        <v>#VALUE!</v>
      </c>
      <c r="D12" s="1" cm="1" vm="22">
        <f t="array" aca="1" ref="D12" ca="1">_xlfn.STOCKHISTORY(C12,$J$1,$J$1,0,0,1)</f>
        <v>49.56</v>
      </c>
      <c r="E12" s="1">
        <f t="shared" ca="1" si="0"/>
        <v>36.050370370370374</v>
      </c>
      <c r="F12" s="2">
        <f t="shared" ca="1" si="1"/>
        <v>1.3747431577217062</v>
      </c>
      <c r="G12" t="str" cm="1">
        <f t="array" aca="1" ref="G12" ca="1">_FV(C12,"Industrie")</f>
        <v>Pharmaceuticals</v>
      </c>
      <c r="I12" s="8">
        <v>46034</v>
      </c>
      <c r="J12" s="19" t="s">
        <v>16</v>
      </c>
      <c r="O12" s="10">
        <v>49.57</v>
      </c>
    </row>
    <row r="13" spans="1:19" x14ac:dyDescent="0.2">
      <c r="A13" s="4">
        <v>12</v>
      </c>
      <c r="C13" t="e" vm="23">
        <v>#VALUE!</v>
      </c>
      <c r="D13" s="1" cm="1" vm="24">
        <f t="array" aca="1" ref="D13" ca="1">_xlfn.STOCKHISTORY(C13,$J$1,$J$1,0,0,1)</f>
        <v>63.41</v>
      </c>
      <c r="E13" s="1">
        <f t="shared" ca="1" si="0"/>
        <v>46.184074074074076</v>
      </c>
      <c r="F13" s="2">
        <f t="shared" ca="1" si="1"/>
        <v>1.3729841134911023</v>
      </c>
      <c r="G13" t="str" cm="1">
        <f t="array" aca="1" ref="G13" ca="1">_FV(C13,"Industrie")</f>
        <v>Chemicals</v>
      </c>
      <c r="J13" t="s">
        <v>11</v>
      </c>
      <c r="O13" s="11">
        <v>165</v>
      </c>
    </row>
    <row r="14" spans="1:19" x14ac:dyDescent="0.2">
      <c r="A14" s="4">
        <v>13</v>
      </c>
      <c r="C14" t="e" vm="25">
        <v>#VALUE!</v>
      </c>
      <c r="D14" s="1" cm="1" vm="26">
        <f t="array" aca="1" ref="D14" ca="1">_xlfn.STOCKHISTORY(C14,$J$1,$J$1,0,0,1)</f>
        <v>254.32</v>
      </c>
      <c r="E14" s="1">
        <f t="shared" ca="1" si="0"/>
        <v>186.27407407407404</v>
      </c>
      <c r="F14" s="2">
        <f t="shared" ca="1" si="1"/>
        <v>1.3653000357895577</v>
      </c>
      <c r="G14" t="str" cm="1">
        <f t="array" aca="1" ref="G14" ca="1">_FV(C14,"Industrie")</f>
        <v>Oil &amp; Gas</v>
      </c>
      <c r="J14" t="s">
        <v>17</v>
      </c>
      <c r="O14" s="6">
        <f>O12*O13</f>
        <v>8179.05</v>
      </c>
    </row>
    <row r="15" spans="1:19" x14ac:dyDescent="0.2">
      <c r="A15" s="4">
        <v>14</v>
      </c>
      <c r="C15" s="5" t="e" vm="27">
        <v>#VALUE!</v>
      </c>
      <c r="D15" s="1" cm="1" vm="28">
        <f t="array" aca="1" ref="D15" ca="1">_xlfn.STOCKHISTORY(C15,$J$1,$J$1,0,0,1)</f>
        <v>136.81</v>
      </c>
      <c r="E15" s="1">
        <f t="shared" ca="1" si="0"/>
        <v>100.58333333333331</v>
      </c>
      <c r="F15" s="2">
        <f t="shared" ca="1" si="1"/>
        <v>1.3601657000828504</v>
      </c>
      <c r="G15" t="str" cm="1">
        <f t="array" aca="1" ref="G15" ca="1">_FV(C15,"Industrie")</f>
        <v>Electronic Equipment &amp; Parts</v>
      </c>
      <c r="J15" t="s">
        <v>26</v>
      </c>
      <c r="O15" s="6">
        <f>O9+O14</f>
        <v>-1793.5500000000002</v>
      </c>
    </row>
    <row r="16" spans="1:19" x14ac:dyDescent="0.2">
      <c r="A16" s="4">
        <v>15</v>
      </c>
      <c r="C16" t="e" vm="29">
        <v>#VALUE!</v>
      </c>
      <c r="D16" s="1" cm="1" vm="30">
        <f t="array" aca="1" ref="D16" ca="1">_xlfn.STOCKHISTORY(C16,$J$1,$J$1,0,0,1)</f>
        <v>295.61</v>
      </c>
      <c r="E16" s="1">
        <f t="shared" ca="1" si="0"/>
        <v>218.04648148148149</v>
      </c>
      <c r="F16" s="2">
        <f t="shared" ca="1" si="1"/>
        <v>1.3557201106457932</v>
      </c>
      <c r="G16" t="str" cm="1">
        <f t="array" aca="1" ref="G16" ca="1">_FV(C16,"Industrie")</f>
        <v>Semiconductors &amp; Semiconductor Equipment</v>
      </c>
    </row>
    <row r="17" spans="1:15" x14ac:dyDescent="0.2">
      <c r="A17" s="4">
        <v>16</v>
      </c>
      <c r="C17" t="e" vm="31">
        <v>#VALUE!</v>
      </c>
      <c r="D17" s="1" cm="1" vm="32">
        <f t="array" aca="1" ref="D17" ca="1">_xlfn.STOCKHISTORY(C17,$J$1,$J$1,0,0,1)</f>
        <v>52.07</v>
      </c>
      <c r="E17" s="1">
        <f t="shared" ca="1" si="0"/>
        <v>38.760370370370367</v>
      </c>
      <c r="F17" s="2">
        <f t="shared" ca="1" si="1"/>
        <v>1.3433824161753607</v>
      </c>
      <c r="G17" t="str" cm="1">
        <f t="array" aca="1" ref="G17" ca="1">_FV(C17,"Industrie")</f>
        <v>Oil &amp; Gas</v>
      </c>
      <c r="J17" s="7" t="s">
        <v>0</v>
      </c>
      <c r="O17" s="9" t="s">
        <v>18</v>
      </c>
    </row>
    <row r="18" spans="1:15" x14ac:dyDescent="0.2">
      <c r="A18" s="4">
        <v>17</v>
      </c>
      <c r="C18" t="e" vm="33">
        <v>#VALUE!</v>
      </c>
      <c r="D18" s="1" cm="1" vm="34">
        <f t="array" aca="1" ref="D18" ca="1">_xlfn.STOCKHISTORY(C18,$J$1,$J$1,0,0,1)</f>
        <v>40.42</v>
      </c>
      <c r="E18" s="1">
        <f t="shared" ca="1" si="0"/>
        <v>30.137777777777774</v>
      </c>
      <c r="F18" s="2">
        <f t="shared" ca="1" si="1"/>
        <v>1.3411738681610383</v>
      </c>
      <c r="G18" t="str" cm="1">
        <f t="array" aca="1" ref="G18" ca="1">_FV(C18,"Industrie")</f>
        <v>Oil &amp; Gas Related Equipment and Services</v>
      </c>
      <c r="I18" s="8">
        <v>46034</v>
      </c>
      <c r="J18" s="18" t="s">
        <v>10</v>
      </c>
      <c r="O18" s="10">
        <v>39.72</v>
      </c>
    </row>
    <row r="19" spans="1:15" x14ac:dyDescent="0.2">
      <c r="A19" s="4">
        <v>18</v>
      </c>
      <c r="C19" t="e" vm="35">
        <v>#VALUE!</v>
      </c>
      <c r="D19" s="1" cm="1" vm="36">
        <f t="array" aca="1" ref="D19" ca="1">_xlfn.STOCKHISTORY(C19,$J$1,$J$1,0,0,1)</f>
        <v>133.80000000000001</v>
      </c>
      <c r="E19" s="1">
        <f t="shared" ca="1" si="0"/>
        <v>100.30814814814818</v>
      </c>
      <c r="F19" s="2">
        <f t="shared" ca="1" si="1"/>
        <v>1.3338896437643999</v>
      </c>
      <c r="G19" t="str" cm="1">
        <f t="array" aca="1" ref="G19" ca="1">_FV(C19,"Industrie")</f>
        <v>Oil &amp; Gas</v>
      </c>
      <c r="J19" t="s">
        <v>11</v>
      </c>
      <c r="O19" s="11">
        <v>207</v>
      </c>
    </row>
    <row r="20" spans="1:15" x14ac:dyDescent="0.2">
      <c r="A20" s="4">
        <v>19</v>
      </c>
      <c r="C20" t="e" vm="37">
        <v>#VALUE!</v>
      </c>
      <c r="D20" s="1" cm="1" vm="38">
        <f t="array" aca="1" ref="D20" ca="1">_xlfn.STOCKHISTORY(C20,$J$1,$J$1,0,0,1)</f>
        <v>243.48</v>
      </c>
      <c r="E20" s="1">
        <f t="shared" ca="1" si="0"/>
        <v>183.13962962962961</v>
      </c>
      <c r="F20" s="2">
        <f t="shared" ca="1" si="1"/>
        <v>1.3294774074426112</v>
      </c>
      <c r="G20" t="str" cm="1">
        <f t="array" aca="1" ref="G20" ca="1">_FV(C20,"Industrie")</f>
        <v>Electronic Equipment &amp; Parts</v>
      </c>
      <c r="J20" t="s">
        <v>12</v>
      </c>
      <c r="O20" s="6">
        <f>-O18*O19</f>
        <v>-8222.0399999999991</v>
      </c>
    </row>
    <row r="21" spans="1:15" x14ac:dyDescent="0.2">
      <c r="A21" s="4">
        <v>20</v>
      </c>
      <c r="C21" t="e" vm="39">
        <v>#VALUE!</v>
      </c>
      <c r="D21" s="1" cm="1" vm="40">
        <f t="array" aca="1" ref="D21" ca="1">_xlfn.STOCKHISTORY(C21,$J$1,$J$1,0,0,1)</f>
        <v>36.31</v>
      </c>
      <c r="E21" s="1">
        <f t="shared" ca="1" si="0"/>
        <v>27.443703703703704</v>
      </c>
      <c r="F21" s="2">
        <f t="shared" ca="1" si="1"/>
        <v>1.3230721476962941</v>
      </c>
      <c r="G21" t="str" cm="1">
        <f t="array" aca="1" ref="G21" ca="1">_FV(C21,"Industrie")</f>
        <v>Oil &amp; Gas</v>
      </c>
    </row>
    <row r="22" spans="1:15" x14ac:dyDescent="0.2">
      <c r="A22" s="4">
        <v>21</v>
      </c>
      <c r="C22" t="e" vm="41">
        <v>#VALUE!</v>
      </c>
      <c r="D22" s="1" cm="1" vm="42">
        <f t="array" aca="1" ref="D22" ca="1">_xlfn.STOCKHISTORY(C22,$J$1,$J$1,0,0,1)</f>
        <v>170.99</v>
      </c>
      <c r="E22" s="1">
        <f t="shared" ca="1" si="0"/>
        <v>130.09851851851852</v>
      </c>
      <c r="F22" s="2">
        <f t="shared" ca="1" si="1"/>
        <v>1.3143116612481709</v>
      </c>
      <c r="G22" t="str" cm="1">
        <f t="array" aca="1" ref="G22" ca="1">_FV(C22,"Industrie")</f>
        <v>Oil &amp; Gas</v>
      </c>
      <c r="J22" s="7" t="s">
        <v>0</v>
      </c>
      <c r="O22" s="9" t="s">
        <v>18</v>
      </c>
    </row>
    <row r="23" spans="1:15" x14ac:dyDescent="0.2">
      <c r="A23" s="4">
        <v>22</v>
      </c>
      <c r="C23" t="e" vm="43">
        <v>#VALUE!</v>
      </c>
      <c r="D23" s="1" cm="1" vm="44">
        <f t="array" aca="1" ref="D23" ca="1">_xlfn.STOCKHISTORY(C23,$J$1,$J$1,0,0,1)</f>
        <v>149.56</v>
      </c>
      <c r="E23" s="1">
        <f t="shared" ca="1" si="0"/>
        <v>114.21296296296295</v>
      </c>
      <c r="F23" s="2">
        <f t="shared" ca="1" si="1"/>
        <v>1.3094835832995544</v>
      </c>
      <c r="G23" t="str" cm="1">
        <f t="array" aca="1" ref="G23" ca="1">_FV(C23,"Industrie")</f>
        <v>Oil &amp; Gas</v>
      </c>
      <c r="I23" s="8">
        <v>46062</v>
      </c>
      <c r="J23" s="19" t="s">
        <v>16</v>
      </c>
      <c r="O23" s="10">
        <v>31.74</v>
      </c>
    </row>
    <row r="24" spans="1:15" x14ac:dyDescent="0.2">
      <c r="A24" s="4">
        <v>23</v>
      </c>
      <c r="C24" t="e" vm="45">
        <v>#VALUE!</v>
      </c>
      <c r="D24" s="1" cm="1" vm="46">
        <f t="array" aca="1" ref="D24" ca="1">_xlfn.STOCKHISTORY(C24,$J$1,$J$1,0,0,1)</f>
        <v>279.06</v>
      </c>
      <c r="E24" s="1">
        <f t="shared" ca="1" si="0"/>
        <v>213.35888888888888</v>
      </c>
      <c r="F24" s="2">
        <f t="shared" ca="1" si="1"/>
        <v>1.3079370700384849</v>
      </c>
      <c r="G24" t="str" cm="1">
        <f t="array" aca="1" ref="G24" ca="1">_FV(C24,"Industrie")</f>
        <v>Electronic Equipment &amp; Parts</v>
      </c>
      <c r="J24" t="s">
        <v>11</v>
      </c>
      <c r="O24" s="11">
        <v>207</v>
      </c>
    </row>
    <row r="25" spans="1:15" x14ac:dyDescent="0.2">
      <c r="A25" s="4">
        <v>24</v>
      </c>
      <c r="C25" t="e" vm="47">
        <v>#VALUE!</v>
      </c>
      <c r="D25" s="1" cm="1" vm="48">
        <f t="array" aca="1" ref="D25" ca="1">_xlfn.STOCKHISTORY(C25,$J$1,$J$1,0,0,1)</f>
        <v>250.23</v>
      </c>
      <c r="E25" s="1">
        <f t="shared" ca="1" si="0"/>
        <v>191.51777777777772</v>
      </c>
      <c r="F25" s="2">
        <f t="shared" ca="1" si="1"/>
        <v>1.3065627792023953</v>
      </c>
      <c r="G25" t="str" cm="1">
        <f t="array" aca="1" ref="G25" ca="1">_FV(C25,"Industrie")</f>
        <v>Oil &amp; Gas Related Equipment and Services</v>
      </c>
      <c r="J25" t="s">
        <v>17</v>
      </c>
      <c r="O25" s="6">
        <f>O23*O24</f>
        <v>6570.1799999999994</v>
      </c>
    </row>
    <row r="26" spans="1:15" x14ac:dyDescent="0.2">
      <c r="A26" s="4">
        <v>25</v>
      </c>
      <c r="C26" t="e" vm="49">
        <v>#VALUE!</v>
      </c>
      <c r="D26" s="1" cm="1" vm="50">
        <f t="array" aca="1" ref="D26" ca="1">_xlfn.STOCKHISTORY(C26,$J$1,$J$1,0,0,1)</f>
        <v>251.07</v>
      </c>
      <c r="E26" s="1">
        <f t="shared" ca="1" si="0"/>
        <v>192.96</v>
      </c>
      <c r="F26" s="2">
        <f t="shared" ca="1" si="1"/>
        <v>1.3011504975124377</v>
      </c>
      <c r="G26" t="str" cm="1">
        <f t="array" aca="1" ref="G26" ca="1">_FV(C26,"Industrie")</f>
        <v>Machinery, Equipment &amp; Components</v>
      </c>
      <c r="J26" t="s">
        <v>26</v>
      </c>
      <c r="O26" s="6">
        <f>O20+O25</f>
        <v>-1651.8599999999997</v>
      </c>
    </row>
    <row r="27" spans="1:15" x14ac:dyDescent="0.2">
      <c r="A27" s="4">
        <v>26</v>
      </c>
      <c r="C27" t="e" vm="51">
        <v>#VALUE!</v>
      </c>
      <c r="D27" s="1" cm="1" vm="52">
        <f t="array" aca="1" ref="D27" ca="1">_xlfn.STOCKHISTORY(C27,$J$1,$J$1,0,0,1)</f>
        <v>251.91</v>
      </c>
      <c r="E27" s="1">
        <f t="shared" ca="1" si="0"/>
        <v>193.93925925925927</v>
      </c>
      <c r="F27" s="2">
        <f t="shared" ca="1" si="1"/>
        <v>1.2989118395221106</v>
      </c>
      <c r="G27" t="str" cm="1">
        <f t="array" aca="1" ref="G27" ca="1">_FV(C27,"Industrie")</f>
        <v>Oil &amp; Gas</v>
      </c>
      <c r="O27" s="6"/>
    </row>
    <row r="28" spans="1:15" x14ac:dyDescent="0.2">
      <c r="A28" s="4">
        <v>27</v>
      </c>
      <c r="C28" t="e" vm="53">
        <v>#VALUE!</v>
      </c>
      <c r="D28" s="1" cm="1" vm="54">
        <f t="array" aca="1" ref="D28" ca="1">_xlfn.STOCKHISTORY(C28,$J$1,$J$1,0,0,1)</f>
        <v>188.28</v>
      </c>
      <c r="E28" s="1">
        <f t="shared" ca="1" si="0"/>
        <v>144.97111111111113</v>
      </c>
      <c r="F28" s="2">
        <f t="shared" ca="1" si="1"/>
        <v>1.2987415117188097</v>
      </c>
      <c r="G28" t="str" cm="1">
        <f t="array" aca="1" ref="G28" ca="1">_FV(C28,"Industrie")</f>
        <v>Oil &amp; Gas</v>
      </c>
      <c r="J28" s="7" t="s">
        <v>0</v>
      </c>
      <c r="O28" s="9" t="s">
        <v>19</v>
      </c>
    </row>
    <row r="29" spans="1:15" x14ac:dyDescent="0.2">
      <c r="A29" s="4">
        <v>28</v>
      </c>
      <c r="C29" s="5" t="e" vm="55">
        <v>#VALUE!</v>
      </c>
      <c r="D29" s="1" cm="1" vm="56">
        <f t="array" aca="1" ref="D29" ca="1">_xlfn.STOCKHISTORY(C29,$J$1,$J$1,0,0,1)</f>
        <v>179.45</v>
      </c>
      <c r="E29" s="1">
        <f t="shared" ca="1" si="0"/>
        <v>138.42999999999998</v>
      </c>
      <c r="F29" s="2">
        <f t="shared" ca="1" si="1"/>
        <v>1.2963230513616992</v>
      </c>
      <c r="G29" t="str" cm="1">
        <f t="array" aca="1" ref="G29" ca="1">_FV(C29,"Industrie")</f>
        <v>Chemicals</v>
      </c>
      <c r="I29" s="8">
        <v>46062</v>
      </c>
      <c r="J29" s="18" t="s">
        <v>10</v>
      </c>
      <c r="O29" s="10">
        <v>109.25</v>
      </c>
    </row>
    <row r="30" spans="1:15" x14ac:dyDescent="0.2">
      <c r="A30" s="4">
        <v>29</v>
      </c>
      <c r="C30" t="e" vm="57">
        <v>#VALUE!</v>
      </c>
      <c r="D30" s="1" cm="1" vm="58">
        <f t="array" aca="1" ref="D30" ca="1">_xlfn.STOCKHISTORY(C30,$J$1,$J$1,0,0,1)</f>
        <v>53.5</v>
      </c>
      <c r="E30" s="1">
        <f t="shared" ca="1" si="0"/>
        <v>41.871111111111119</v>
      </c>
      <c r="F30" s="2">
        <f t="shared" ca="1" si="1"/>
        <v>1.2777306018469374</v>
      </c>
      <c r="G30" t="str" cm="1">
        <f t="array" aca="1" ref="G30" ca="1">_FV(C30,"Industrie")</f>
        <v>Oil &amp; Gas Related Equipment and Services</v>
      </c>
      <c r="J30" t="s">
        <v>11</v>
      </c>
      <c r="O30" s="11">
        <v>60</v>
      </c>
    </row>
    <row r="31" spans="1:15" x14ac:dyDescent="0.2">
      <c r="A31" s="4">
        <v>30</v>
      </c>
      <c r="C31" t="e" vm="59">
        <v>#VALUE!</v>
      </c>
      <c r="D31" s="1" cm="1" vm="60">
        <f t="array" aca="1" ref="D31" ca="1">_xlfn.STOCKHISTORY(C31,$J$1,$J$1,0,0,1)</f>
        <v>201.84</v>
      </c>
      <c r="E31" s="1">
        <f t="shared" ca="1" si="0"/>
        <v>158.43444444444444</v>
      </c>
      <c r="F31" s="2">
        <f t="shared" ca="1" si="1"/>
        <v>1.2739653975356089</v>
      </c>
      <c r="G31" t="str" cm="1">
        <f t="array" aca="1" ref="G31" ca="1">_FV(C31,"Industrie")</f>
        <v>Oil &amp; Gas</v>
      </c>
      <c r="J31" t="s">
        <v>12</v>
      </c>
      <c r="O31" s="6">
        <f>O29*O30</f>
        <v>6555</v>
      </c>
    </row>
    <row r="32" spans="1:15" x14ac:dyDescent="0.2">
      <c r="A32" s="4">
        <v>31</v>
      </c>
      <c r="C32" s="23" t="e" vm="61">
        <v>#VALUE!</v>
      </c>
      <c r="D32" s="1" cm="1" vm="62">
        <f t="array" aca="1" ref="D32" ca="1">_xlfn.STOCKHISTORY(C32,$J$1,$J$1,0,0,1)</f>
        <v>1366.77</v>
      </c>
      <c r="E32" s="1">
        <f t="shared" ca="1" si="0"/>
        <v>1075.8807407407407</v>
      </c>
      <c r="F32" s="2">
        <f t="shared" ca="1" si="1"/>
        <v>1.2703731447585751</v>
      </c>
      <c r="G32" t="str" cm="1">
        <f t="array" aca="1" ref="G32" ca="1">_FV(C32,"Industrie")</f>
        <v>Construction &amp; Engineering</v>
      </c>
    </row>
    <row r="33" spans="1:15" x14ac:dyDescent="0.2">
      <c r="A33" s="4">
        <v>32</v>
      </c>
      <c r="C33" t="e" vm="63">
        <v>#VALUE!</v>
      </c>
      <c r="D33" s="1" cm="1" vm="64">
        <f t="array" aca="1" ref="D33" ca="1">_xlfn.STOCKHISTORY(C33,$J$1,$J$1,0,0,1)</f>
        <v>114.5</v>
      </c>
      <c r="E33" s="1">
        <f t="shared" ca="1" si="0"/>
        <v>90.266296296296304</v>
      </c>
      <c r="F33" s="2">
        <f t="shared" ca="1" si="1"/>
        <v>1.2684690155465925</v>
      </c>
      <c r="G33" t="str" cm="1">
        <f t="array" aca="1" ref="G33" ca="1">_FV(C33,"Industrie")</f>
        <v>Software &amp; IT Services</v>
      </c>
      <c r="J33" s="7" t="s">
        <v>0</v>
      </c>
      <c r="N33" s="9" t="s">
        <v>9</v>
      </c>
    </row>
    <row r="34" spans="1:15" x14ac:dyDescent="0.2">
      <c r="A34" s="4">
        <v>33</v>
      </c>
      <c r="C34" t="e" vm="65">
        <v>#VALUE!</v>
      </c>
      <c r="D34" s="1" cm="1" vm="66">
        <f t="array" aca="1" ref="D34" ca="1">_xlfn.STOCKHISTORY(C34,$J$1,$J$1,0,0,1)</f>
        <v>211.15</v>
      </c>
      <c r="E34" s="1">
        <f t="shared" ca="1" si="0"/>
        <v>166.78888888888889</v>
      </c>
      <c r="F34" s="2">
        <f t="shared" ca="1" si="1"/>
        <v>1.2659716208114049</v>
      </c>
      <c r="G34" t="str" cm="1">
        <f t="array" aca="1" ref="G34" ca="1">_FV(C34,"Industrie")</f>
        <v>Oil &amp; Gas</v>
      </c>
      <c r="I34" s="8">
        <v>46069</v>
      </c>
      <c r="J34" s="19" t="s">
        <v>16</v>
      </c>
      <c r="N34" s="10">
        <v>258.14999999999998</v>
      </c>
    </row>
    <row r="35" spans="1:15" x14ac:dyDescent="0.2">
      <c r="A35" s="4">
        <v>34</v>
      </c>
      <c r="C35" t="e" vm="67">
        <v>#VALUE!</v>
      </c>
      <c r="D35" s="1" cm="1" vm="68">
        <f t="array" aca="1" ref="D35" ca="1">_xlfn.STOCKHISTORY(C35,$J$1,$J$1,0,0,1)</f>
        <v>171.81</v>
      </c>
      <c r="E35" s="1">
        <f t="shared" ca="1" si="0"/>
        <v>136.60999999999999</v>
      </c>
      <c r="F35" s="2">
        <f t="shared" ca="1" si="1"/>
        <v>1.2576678134836397</v>
      </c>
      <c r="G35" t="str" cm="1">
        <f t="array" aca="1" ref="G35" ca="1">_FV(C35,"Industrie")</f>
        <v>Computers, Phones &amp; Household Electronics</v>
      </c>
      <c r="J35" t="s">
        <v>11</v>
      </c>
      <c r="N35" s="11">
        <v>37</v>
      </c>
    </row>
    <row r="36" spans="1:15" x14ac:dyDescent="0.2">
      <c r="A36" s="4">
        <v>35</v>
      </c>
      <c r="C36" t="e" vm="69">
        <v>#VALUE!</v>
      </c>
      <c r="D36" s="1" cm="1" vm="70">
        <f t="array" aca="1" ref="D36" ca="1">_xlfn.STOCKHISTORY(C36,$J$1,$J$1,0,0,1)</f>
        <v>128.72</v>
      </c>
      <c r="E36" s="1">
        <f t="shared" ca="1" si="0"/>
        <v>103.04407407407406</v>
      </c>
      <c r="F36" s="2">
        <f t="shared" ca="1" si="1"/>
        <v>1.2491742116821642</v>
      </c>
      <c r="G36" t="str" cm="1">
        <f t="array" aca="1" ref="G36" ca="1">_FV(C36,"Industrie")</f>
        <v>Food &amp; Tobacco</v>
      </c>
      <c r="J36" t="s">
        <v>17</v>
      </c>
      <c r="N36" s="6">
        <f>N34*N35</f>
        <v>9551.5499999999993</v>
      </c>
    </row>
    <row r="37" spans="1:15" x14ac:dyDescent="0.2">
      <c r="A37" s="4">
        <v>36</v>
      </c>
      <c r="C37" t="e" vm="71">
        <v>#VALUE!</v>
      </c>
      <c r="D37" s="1" cm="1" vm="72">
        <f t="array" aca="1" ref="D37" ca="1">_xlfn.STOCKHISTORY(C37,$J$1,$J$1,0,0,1)</f>
        <v>853.16</v>
      </c>
      <c r="E37" s="1">
        <f t="shared" ca="1" si="0"/>
        <v>683.69333333333327</v>
      </c>
      <c r="F37" s="2">
        <f t="shared" ca="1" si="1"/>
        <v>1.247869415137391</v>
      </c>
      <c r="G37" t="str" cm="1">
        <f t="array" aca="1" ref="G37" ca="1">_FV(C37,"Industrie")</f>
        <v>Electrical Utilities &amp; IPPs</v>
      </c>
      <c r="J37" t="s">
        <v>26</v>
      </c>
      <c r="N37" s="6">
        <f>N9+N36</f>
        <v>-571.28000000000065</v>
      </c>
      <c r="O37" s="6"/>
    </row>
    <row r="38" spans="1:15" x14ac:dyDescent="0.2">
      <c r="A38" s="4">
        <v>37</v>
      </c>
      <c r="C38" t="e" vm="73">
        <v>#VALUE!</v>
      </c>
      <c r="D38" s="1" cm="1" vm="74">
        <f t="array" aca="1" ref="D38" ca="1">_xlfn.STOCKHISTORY(C38,$J$1,$J$1,0,0,1)</f>
        <v>115.7</v>
      </c>
      <c r="E38" s="1">
        <f t="shared" ca="1" si="0"/>
        <v>93.987037037037041</v>
      </c>
      <c r="F38" s="2">
        <f t="shared" ca="1" si="1"/>
        <v>1.2310208263550924</v>
      </c>
      <c r="G38" t="str" cm="1">
        <f t="array" aca="1" ref="G38" ca="1">_FV(C38,"Industrie")</f>
        <v>Electronic Equipment &amp; Parts</v>
      </c>
    </row>
    <row r="39" spans="1:15" x14ac:dyDescent="0.2">
      <c r="A39" s="4">
        <v>38</v>
      </c>
      <c r="C39" t="e" vm="75">
        <v>#VALUE!</v>
      </c>
      <c r="D39" s="1" cm="1" vm="76">
        <f t="array" aca="1" ref="D39" ca="1">_xlfn.STOCKHISTORY(C39,$J$1,$J$1,0,0,1)</f>
        <v>93.96</v>
      </c>
      <c r="E39" s="1">
        <f t="shared" ca="1" si="0"/>
        <v>76.597037037037026</v>
      </c>
      <c r="F39" s="2">
        <f t="shared" ca="1" si="1"/>
        <v>1.2266793029418024</v>
      </c>
      <c r="G39" t="str" cm="1">
        <f t="array" aca="1" ref="G39" ca="1">_FV(C39,"Industrie")</f>
        <v>Oil &amp; Gas Related Equipment and Services</v>
      </c>
      <c r="J39" s="7" t="s">
        <v>0</v>
      </c>
      <c r="N39" s="9" t="s">
        <v>20</v>
      </c>
    </row>
    <row r="40" spans="1:15" x14ac:dyDescent="0.2">
      <c r="A40" s="4">
        <v>39</v>
      </c>
      <c r="C40" t="e" vm="77">
        <v>#VALUE!</v>
      </c>
      <c r="D40" s="1" cm="1" vm="78">
        <f t="array" aca="1" ref="D40" ca="1">_xlfn.STOCKHISTORY(C40,$J$1,$J$1,0,0,1)</f>
        <v>380.07</v>
      </c>
      <c r="E40" s="1">
        <f t="shared" ca="1" si="0"/>
        <v>313.86925925925925</v>
      </c>
      <c r="F40" s="2">
        <f t="shared" ca="1" si="1"/>
        <v>1.2109182049142897</v>
      </c>
      <c r="G40" t="str" cm="1">
        <f t="array" aca="1" ref="G40" ca="1">_FV(C40,"Industrie")</f>
        <v>Computers, Phones &amp; Household Electronics</v>
      </c>
      <c r="I40" s="8">
        <v>46069</v>
      </c>
      <c r="J40" s="18" t="s">
        <v>10</v>
      </c>
      <c r="N40" s="10">
        <v>660</v>
      </c>
    </row>
    <row r="41" spans="1:15" x14ac:dyDescent="0.2">
      <c r="A41" s="4">
        <v>40</v>
      </c>
      <c r="C41" t="e" vm="79">
        <v>#VALUE!</v>
      </c>
      <c r="D41" s="1" cm="1" vm="80">
        <f t="array" aca="1" ref="D41" ca="1">_xlfn.STOCKHISTORY(C41,$J$1,$J$1,0,0,1)</f>
        <v>63.22</v>
      </c>
      <c r="E41" s="1">
        <f t="shared" ca="1" si="0"/>
        <v>52.24814814814814</v>
      </c>
      <c r="F41" s="2">
        <f t="shared" ca="1" si="1"/>
        <v>1.2099950379244349</v>
      </c>
      <c r="G41" t="str" cm="1">
        <f t="array" aca="1" ref="G41" ca="1">_FV(C41,"Industrie")</f>
        <v>Oil &amp; Gas Related Equipment and Services</v>
      </c>
      <c r="J41" t="s">
        <v>11</v>
      </c>
      <c r="N41" s="11">
        <v>14</v>
      </c>
    </row>
    <row r="42" spans="1:15" x14ac:dyDescent="0.2">
      <c r="A42" s="4">
        <v>41</v>
      </c>
      <c r="C42" t="e" vm="81">
        <v>#VALUE!</v>
      </c>
      <c r="D42" s="1" cm="1" vm="82">
        <f t="array" aca="1" ref="D42" ca="1">_xlfn.STOCKHISTORY(C42,$J$1,$J$1,0,0,1)</f>
        <v>154.43</v>
      </c>
      <c r="E42" s="1">
        <f t="shared" ca="1" si="0"/>
        <v>128.27111111111111</v>
      </c>
      <c r="F42" s="2">
        <f t="shared" ca="1" si="1"/>
        <v>1.2039343751082776</v>
      </c>
      <c r="G42" t="str" cm="1">
        <f t="array" aca="1" ref="G42" ca="1">_FV(C42,"Industrie")</f>
        <v>Healthcare Providers &amp; Services</v>
      </c>
      <c r="J42" t="s">
        <v>12</v>
      </c>
      <c r="N42" s="6">
        <f>-N40*N41</f>
        <v>-9240</v>
      </c>
    </row>
    <row r="43" spans="1:15" x14ac:dyDescent="0.2">
      <c r="A43" s="4">
        <v>42</v>
      </c>
      <c r="C43" t="e" vm="83">
        <v>#VALUE!</v>
      </c>
      <c r="D43" s="1" cm="1" vm="84">
        <f t="array" aca="1" ref="D43" ca="1">_xlfn.STOCKHISTORY(C43,$J$1,$J$1,0,0,1)</f>
        <v>337.17</v>
      </c>
      <c r="E43" s="1">
        <f t="shared" ca="1" si="0"/>
        <v>282.35018518518518</v>
      </c>
      <c r="F43" s="2">
        <f t="shared" ca="1" si="1"/>
        <v>1.1941554059150346</v>
      </c>
      <c r="G43" t="str" cm="1">
        <f t="array" aca="1" ref="G43" ca="1">_FV(C43,"Industrie")</f>
        <v>Semiconductors &amp; Semiconductor Equipment</v>
      </c>
      <c r="N43" s="6"/>
    </row>
    <row r="44" spans="1:15" x14ac:dyDescent="0.2">
      <c r="A44" s="4">
        <v>43</v>
      </c>
      <c r="C44" t="e" vm="85">
        <v>#VALUE!</v>
      </c>
      <c r="D44" s="1" cm="1" vm="86">
        <f t="array" aca="1" ref="D44" ca="1">_xlfn.STOCKHISTORY(C44,$J$1,$J$1,0,0,1)</f>
        <v>81.99</v>
      </c>
      <c r="E44" s="1">
        <f t="shared" ca="1" si="0"/>
        <v>69.589629629629641</v>
      </c>
      <c r="F44" s="2">
        <f t="shared" ca="1" si="1"/>
        <v>1.178192791603687</v>
      </c>
      <c r="G44" t="str" cm="1">
        <f t="array" aca="1" ref="G44" ca="1">_FV(C44,"Industrie")</f>
        <v>Chemicals</v>
      </c>
    </row>
    <row r="45" spans="1:15" x14ac:dyDescent="0.2">
      <c r="A45" s="4">
        <v>44</v>
      </c>
      <c r="C45" t="e" vm="87">
        <v>#VALUE!</v>
      </c>
      <c r="D45" s="1" cm="1" vm="88">
        <f t="array" aca="1" ref="D45" ca="1">_xlfn.STOCKHISTORY(C45,$J$1,$J$1,0,0,1)</f>
        <v>67.55</v>
      </c>
      <c r="E45" s="1">
        <f t="shared" ca="1" si="0"/>
        <v>57.358518518518522</v>
      </c>
      <c r="F45" s="2">
        <f t="shared" ca="1" si="1"/>
        <v>1.1776803471343336</v>
      </c>
      <c r="G45" t="str" cm="1">
        <f t="array" aca="1" ref="G45" ca="1">_FV(C45,"Industrie")</f>
        <v>Oil &amp; Gas</v>
      </c>
      <c r="I45" s="3" t="s">
        <v>21</v>
      </c>
    </row>
    <row r="46" spans="1:15" x14ac:dyDescent="0.2">
      <c r="A46" s="4">
        <v>45</v>
      </c>
      <c r="C46" s="5" t="e" vm="89">
        <v>#VALUE!</v>
      </c>
      <c r="D46" s="1" cm="1" vm="90">
        <f t="array" aca="1" ref="D46" ca="1">_xlfn.STOCKHISTORY(C46,$J$1,$J$1,0,0,1)</f>
        <v>357.22</v>
      </c>
      <c r="E46" s="1">
        <f t="shared" ca="1" si="0"/>
        <v>303.36185185185184</v>
      </c>
      <c r="F46" s="2">
        <f t="shared" ca="1" si="1"/>
        <v>1.1775376429810629</v>
      </c>
      <c r="G46" t="str" cm="1">
        <f t="array" aca="1" ref="G46" ca="1">_FV(C46,"Industrie")</f>
        <v>Semiconductors &amp; Semiconductor Equipment</v>
      </c>
    </row>
    <row r="47" spans="1:15" x14ac:dyDescent="0.2">
      <c r="A47" s="4">
        <v>46</v>
      </c>
      <c r="C47" t="e" vm="91">
        <v>#VALUE!</v>
      </c>
      <c r="D47" s="1" cm="1" vm="92">
        <f t="array" aca="1" ref="D47" ca="1">_xlfn.STOCKHISTORY(C47,$J$1,$J$1,0,0,1)</f>
        <v>119.84</v>
      </c>
      <c r="E47" s="1">
        <f t="shared" ca="1" si="0"/>
        <v>101.86481481481484</v>
      </c>
      <c r="F47" s="2">
        <f t="shared" ca="1" si="1"/>
        <v>1.1764611776682965</v>
      </c>
      <c r="G47" t="str" cm="1">
        <f t="array" aca="1" ref="G47" ca="1">_FV(C47,"Industrie")</f>
        <v>Diversified Retail</v>
      </c>
      <c r="J47" s="7" t="s">
        <v>0</v>
      </c>
      <c r="K47" s="9" t="s">
        <v>6</v>
      </c>
      <c r="L47" s="9" t="s">
        <v>8</v>
      </c>
      <c r="M47" s="9" t="s">
        <v>7</v>
      </c>
      <c r="N47" s="9" t="s">
        <v>20</v>
      </c>
      <c r="O47" s="9" t="s">
        <v>19</v>
      </c>
    </row>
    <row r="48" spans="1:15" x14ac:dyDescent="0.2">
      <c r="A48" s="4">
        <v>47</v>
      </c>
      <c r="C48" t="e" vm="93">
        <v>#VALUE!</v>
      </c>
      <c r="D48" s="1" cm="1" vm="94">
        <f t="array" aca="1" ref="D48" ca="1">_xlfn.STOCKHISTORY(C48,$J$1,$J$1,0,0,1)</f>
        <v>34.03</v>
      </c>
      <c r="E48" s="1">
        <f t="shared" ca="1" si="0"/>
        <v>29.080000000000002</v>
      </c>
      <c r="F48" s="2">
        <f t="shared" ca="1" si="1"/>
        <v>1.170220082530949</v>
      </c>
      <c r="G48" t="str" cm="1">
        <f t="array" aca="1" ref="G48" ca="1">_FV(C48,"Industrie")</f>
        <v>Oil &amp; Gas Related Equipment and Services</v>
      </c>
      <c r="J48" t="s">
        <v>1</v>
      </c>
      <c r="K48" s="10">
        <v>242.2</v>
      </c>
      <c r="L48" s="10">
        <v>157.91999999999999</v>
      </c>
      <c r="M48" s="10">
        <v>317.35000000000002</v>
      </c>
      <c r="N48" s="10">
        <v>606</v>
      </c>
      <c r="O48" s="10">
        <v>122.2</v>
      </c>
    </row>
    <row r="49" spans="1:19" x14ac:dyDescent="0.2">
      <c r="A49" s="4">
        <v>48</v>
      </c>
      <c r="C49" t="e" vm="95">
        <v>#VALUE!</v>
      </c>
      <c r="D49" s="1" cm="1" vm="96">
        <f t="array" aca="1" ref="D49" ca="1">_xlfn.STOCKHISTORY(C49,$J$1,$J$1,0,0,1)</f>
        <v>549.98</v>
      </c>
      <c r="E49" s="1">
        <f t="shared" ca="1" si="0"/>
        <v>471.12777777777779</v>
      </c>
      <c r="F49" s="2">
        <f t="shared" ca="1" si="1"/>
        <v>1.1673690789240947</v>
      </c>
      <c r="G49" t="str" cm="1">
        <f t="array" aca="1" ref="G49" ca="1">_FV(C49,"Industrie")</f>
        <v>Construction &amp; Engineering</v>
      </c>
      <c r="J49" t="s">
        <v>11</v>
      </c>
      <c r="K49" s="20">
        <f>K8</f>
        <v>70</v>
      </c>
      <c r="L49" s="20">
        <f t="shared" ref="L49:M49" si="2">L8</f>
        <v>90</v>
      </c>
      <c r="M49" s="20">
        <f t="shared" si="2"/>
        <v>48</v>
      </c>
      <c r="N49" s="20">
        <f>N41</f>
        <v>14</v>
      </c>
      <c r="O49" s="20">
        <f>O30</f>
        <v>60</v>
      </c>
    </row>
    <row r="50" spans="1:19" x14ac:dyDescent="0.2">
      <c r="A50" s="4">
        <v>49</v>
      </c>
      <c r="C50" t="e" vm="97">
        <v>#VALUE!</v>
      </c>
      <c r="D50" s="1" cm="1" vm="98">
        <f t="array" aca="1" ref="D50" ca="1">_xlfn.STOCKHISTORY(C50,$J$1,$J$1,0,0,1)</f>
        <v>211.69</v>
      </c>
      <c r="E50" s="1">
        <f t="shared" ca="1" si="0"/>
        <v>181.42222222222219</v>
      </c>
      <c r="F50" s="2">
        <f t="shared" ca="1" si="1"/>
        <v>1.1668361097501228</v>
      </c>
      <c r="G50" t="str" cm="1">
        <f t="array" aca="1" ref="G50" ca="1">_FV(C50,"Industrie")</f>
        <v>Specialty Retailers</v>
      </c>
      <c r="J50" t="s">
        <v>22</v>
      </c>
      <c r="K50" s="6">
        <f>K48*K49</f>
        <v>16954</v>
      </c>
      <c r="L50" s="6">
        <f>L48*L49</f>
        <v>14212.8</v>
      </c>
      <c r="M50" s="6">
        <f>M48*M49</f>
        <v>15232.800000000001</v>
      </c>
      <c r="N50" s="6">
        <f>N48*N49</f>
        <v>8484</v>
      </c>
      <c r="O50" s="6">
        <f>O48*O49</f>
        <v>7332</v>
      </c>
      <c r="Q50" s="16">
        <f>SUM(K50:O50)</f>
        <v>62215.6</v>
      </c>
      <c r="S50" s="22">
        <v>6451</v>
      </c>
    </row>
    <row r="51" spans="1:19" x14ac:dyDescent="0.2">
      <c r="A51" s="4">
        <v>50</v>
      </c>
      <c r="C51" t="e" vm="99">
        <v>#VALUE!</v>
      </c>
      <c r="D51" s="1" cm="1" vm="100">
        <f t="array" aca="1" ref="D51" ca="1">_xlfn.STOCKHISTORY(C51,$J$1,$J$1,0,0,1)</f>
        <v>50.31</v>
      </c>
      <c r="E51" s="1">
        <f t="shared" ca="1" si="0"/>
        <v>43.480740740740742</v>
      </c>
      <c r="F51" s="2">
        <f t="shared" ca="1" si="1"/>
        <v>1.1570640044975213</v>
      </c>
      <c r="G51" t="str" cm="1">
        <f t="array" aca="1" ref="G51" ca="1">_FV(C51,"Industrie")</f>
        <v>Telecommunications Services</v>
      </c>
    </row>
    <row r="52" spans="1:19" x14ac:dyDescent="0.2">
      <c r="A52" s="4">
        <v>51</v>
      </c>
      <c r="C52" t="e" vm="101">
        <v>#VALUE!</v>
      </c>
      <c r="D52" s="1" cm="1" vm="102">
        <f t="array" aca="1" ref="D52" ca="1">_xlfn.STOCKHISTORY(C52,$J$1,$J$1,0,0,1)</f>
        <v>963</v>
      </c>
      <c r="E52" s="1">
        <f t="shared" ca="1" si="0"/>
        <v>833.90777777777782</v>
      </c>
      <c r="F52" s="2">
        <f t="shared" ca="1" si="1"/>
        <v>1.1548039551402567</v>
      </c>
      <c r="G52" t="str" cm="1">
        <f t="array" aca="1" ref="G52" ca="1">_FV(C52,"Industrie")</f>
        <v>Residential &amp; Commercial REIT</v>
      </c>
      <c r="I52" t="s">
        <v>23</v>
      </c>
      <c r="Q52" s="21">
        <f>Q50/Q9-1</f>
        <v>0.24245949289609192</v>
      </c>
      <c r="S52" s="21">
        <f>S50/S9-1</f>
        <v>-5.4937005566949915E-2</v>
      </c>
    </row>
    <row r="53" spans="1:19" x14ac:dyDescent="0.2">
      <c r="A53" s="4">
        <v>52</v>
      </c>
      <c r="C53" t="e" vm="103">
        <v>#VALUE!</v>
      </c>
      <c r="D53" s="1" cm="1" vm="104">
        <f t="array" aca="1" ref="D53" ca="1">_xlfn.STOCKHISTORY(C53,$J$1,$J$1,0,0,1)</f>
        <v>188.34</v>
      </c>
      <c r="E53" s="1">
        <f t="shared" ca="1" si="0"/>
        <v>163.13555555555556</v>
      </c>
      <c r="F53" s="2">
        <f t="shared" ca="1" si="1"/>
        <v>1.1545000068109683</v>
      </c>
      <c r="G53" t="str" cm="1">
        <f t="array" aca="1" ref="G53" ca="1">_FV(C53,"Industrie")</f>
        <v>Freight &amp; Logistics Services</v>
      </c>
    </row>
    <row r="54" spans="1:19" x14ac:dyDescent="0.2">
      <c r="A54" s="4">
        <v>53</v>
      </c>
      <c r="C54" t="e" vm="105">
        <v>#VALUE!</v>
      </c>
      <c r="D54" s="1" cm="1" vm="106">
        <f t="array" aca="1" ref="D54" ca="1">_xlfn.STOCKHISTORY(C54,$J$1,$J$1,0,0,1)</f>
        <v>119.63</v>
      </c>
      <c r="E54" s="1">
        <f t="shared" ca="1" si="0"/>
        <v>103.72481481481482</v>
      </c>
      <c r="F54" s="2">
        <f t="shared" ca="1" si="1"/>
        <v>1.1533402128852339</v>
      </c>
      <c r="G54" t="str" cm="1">
        <f t="array" aca="1" ref="G54" ca="1">_FV(C54,"Industrie")</f>
        <v>Pharmaceuticals</v>
      </c>
    </row>
    <row r="55" spans="1:19" x14ac:dyDescent="0.2">
      <c r="A55" s="4">
        <v>54</v>
      </c>
      <c r="C55" t="e" vm="107">
        <v>#VALUE!</v>
      </c>
      <c r="D55" s="1" cm="1" vm="108">
        <f t="array" aca="1" ref="D55" ca="1">_xlfn.STOCKHISTORY(C55,$J$1,$J$1,0,0,1)</f>
        <v>343.97</v>
      </c>
      <c r="E55" s="1">
        <f t="shared" ca="1" si="0"/>
        <v>301.16629629629637</v>
      </c>
      <c r="F55" s="2">
        <f t="shared" ca="1" si="1"/>
        <v>1.1421264737458938</v>
      </c>
      <c r="G55" t="str" cm="1">
        <f t="array" aca="1" ref="G55" ca="1">_FV(C55,"Industrie")</f>
        <v>Freight &amp; Logistics Services</v>
      </c>
    </row>
    <row r="56" spans="1:19" x14ac:dyDescent="0.2">
      <c r="A56" s="4">
        <v>55</v>
      </c>
      <c r="C56" t="e" vm="109">
        <v>#VALUE!</v>
      </c>
      <c r="D56" s="1" cm="1" vm="110">
        <f t="array" aca="1" ref="D56" ca="1">_xlfn.STOCKHISTORY(C56,$J$1,$J$1,0,0,1)</f>
        <v>211.41</v>
      </c>
      <c r="E56" s="1">
        <f t="shared" ca="1" si="0"/>
        <v>185.42259259259259</v>
      </c>
      <c r="F56" s="2">
        <f t="shared" ca="1" si="1"/>
        <v>1.1401523247197094</v>
      </c>
      <c r="G56" t="str" cm="1">
        <f t="array" aca="1" ref="G56" ca="1">_FV(C56,"Industrie")</f>
        <v>Semiconductors &amp; Semiconductor Equipment</v>
      </c>
    </row>
    <row r="57" spans="1:19" x14ac:dyDescent="0.2">
      <c r="A57" s="4">
        <v>56</v>
      </c>
      <c r="C57" t="e" vm="111">
        <v>#VALUE!</v>
      </c>
      <c r="D57" s="1" cm="1" vm="112">
        <f t="array" aca="1" ref="D57" ca="1">_xlfn.STOCKHISTORY(C57,$J$1,$J$1,0,0,1)</f>
        <v>72.23</v>
      </c>
      <c r="E57" s="1">
        <f t="shared" ca="1" si="0"/>
        <v>63.384074074074071</v>
      </c>
      <c r="F57" s="2">
        <f t="shared" ca="1" si="1"/>
        <v>1.139560702828728</v>
      </c>
      <c r="G57" t="str" cm="1">
        <f t="array" aca="1" ref="G57" ca="1">_FV(C57,"Industrie")</f>
        <v>Food &amp; Tobacco</v>
      </c>
    </row>
    <row r="58" spans="1:19" x14ac:dyDescent="0.2">
      <c r="A58" s="4">
        <v>57</v>
      </c>
      <c r="C58" t="e" vm="113">
        <v>#VALUE!</v>
      </c>
      <c r="D58" s="1" cm="1" vm="114">
        <f t="array" aca="1" ref="D58" ca="1">_xlfn.STOCKHISTORY(C58,$J$1,$J$1,0,0,1)</f>
        <v>73.58</v>
      </c>
      <c r="E58" s="1">
        <f t="shared" ca="1" si="0"/>
        <v>64.657777777777781</v>
      </c>
      <c r="F58" s="2">
        <f t="shared" ca="1" si="1"/>
        <v>1.1379914764916139</v>
      </c>
      <c r="G58" t="str" cm="1">
        <f t="array" aca="1" ref="G58" ca="1">_FV(C58,"Industrie")</f>
        <v>Oil &amp; Gas Related Equipment and Services</v>
      </c>
    </row>
    <row r="59" spans="1:19" x14ac:dyDescent="0.2">
      <c r="A59" s="4">
        <v>58</v>
      </c>
      <c r="C59" t="e" vm="115">
        <v>#VALUE!</v>
      </c>
      <c r="D59" s="1" cm="1" vm="116">
        <f t="array" aca="1" ref="D59" ca="1">_xlfn.STOCKHISTORY(C59,$J$1,$J$1,0,0,1)</f>
        <v>54.24</v>
      </c>
      <c r="E59" s="1">
        <f t="shared" ca="1" si="0"/>
        <v>47.801111111111098</v>
      </c>
      <c r="F59" s="2">
        <f t="shared" ca="1" si="1"/>
        <v>1.1347016573301414</v>
      </c>
      <c r="G59" t="str" cm="1">
        <f t="array" aca="1" ref="G59" ca="1">_FV(C59,"Industrie")</f>
        <v>Automobiles &amp; Auto Parts</v>
      </c>
    </row>
    <row r="60" spans="1:19" x14ac:dyDescent="0.2">
      <c r="A60" s="4">
        <v>59</v>
      </c>
      <c r="C60" t="e" vm="117">
        <v>#VALUE!</v>
      </c>
      <c r="D60" s="1" cm="1" vm="118">
        <f t="array" aca="1" ref="D60" ca="1">_xlfn.STOCKHISTORY(C60,$J$1,$J$1,0,0,1)</f>
        <v>70.3</v>
      </c>
      <c r="E60" s="1">
        <f t="shared" ca="1" si="0"/>
        <v>62.087037037037042</v>
      </c>
      <c r="F60" s="2">
        <f t="shared" ca="1" si="1"/>
        <v>1.1322814448056788</v>
      </c>
      <c r="G60" t="str" cm="1">
        <f t="array" aca="1" ref="G60" ca="1">_FV(C60,"Industrie")</f>
        <v>Electrical Utilities &amp; IPPs</v>
      </c>
    </row>
    <row r="61" spans="1:19" x14ac:dyDescent="0.2">
      <c r="A61" s="4">
        <v>60</v>
      </c>
      <c r="C61" s="5" t="e" vm="119">
        <v>#VALUE!</v>
      </c>
      <c r="D61" s="1" cm="1" vm="120">
        <f t="array" aca="1" ref="D61" ca="1">_xlfn.STOCKHISTORY(C61,$J$1,$J$1,0,0,1)</f>
        <v>695.4</v>
      </c>
      <c r="E61" s="1">
        <f t="shared" ca="1" si="0"/>
        <v>614.31925925925941</v>
      </c>
      <c r="F61" s="2">
        <f t="shared" ca="1" si="1"/>
        <v>1.1319846960984212</v>
      </c>
      <c r="G61" t="str" cm="1">
        <f t="array" aca="1" ref="G61" ca="1">_FV(C61,"Industrie")</f>
        <v>Machinery, Equipment &amp; Components</v>
      </c>
    </row>
    <row r="62" spans="1:19" x14ac:dyDescent="0.2">
      <c r="A62" s="4">
        <v>61</v>
      </c>
      <c r="C62" t="e" vm="121">
        <v>#VALUE!</v>
      </c>
      <c r="D62" s="1" cm="1" vm="122">
        <f t="array" aca="1" ref="D62" ca="1">_xlfn.STOCKHISTORY(C62,$J$1,$J$1,0,0,1)</f>
        <v>615.84</v>
      </c>
      <c r="E62" s="1">
        <f t="shared" ca="1" si="0"/>
        <v>544.5477777777777</v>
      </c>
      <c r="F62" s="2">
        <f t="shared" ca="1" si="1"/>
        <v>1.1309200498680865</v>
      </c>
      <c r="G62" t="str" cm="1">
        <f t="array" aca="1" ref="G62" ca="1">_FV(C62,"Industrie")</f>
        <v>Aerospace &amp; Defense</v>
      </c>
    </row>
    <row r="63" spans="1:19" x14ac:dyDescent="0.2">
      <c r="A63" s="4">
        <v>62</v>
      </c>
      <c r="C63" t="e" vm="123">
        <v>#VALUE!</v>
      </c>
      <c r="D63" s="1" cm="1" vm="124">
        <f t="array" aca="1" ref="D63" ca="1">_xlfn.STOCKHISTORY(C63,$J$1,$J$1,0,0,1)</f>
        <v>261.10000000000002</v>
      </c>
      <c r="E63" s="1">
        <f t="shared" ca="1" si="0"/>
        <v>230.97296296296295</v>
      </c>
      <c r="F63" s="2">
        <f t="shared" ca="1" si="1"/>
        <v>1.1304353403556935</v>
      </c>
      <c r="G63" t="str" cm="1">
        <f t="array" aca="1" ref="G63" ca="1">_FV(C63,"Industrie")</f>
        <v>Electronic Equipment &amp; Parts</v>
      </c>
    </row>
    <row r="64" spans="1:19" x14ac:dyDescent="0.2">
      <c r="A64" s="4">
        <v>63</v>
      </c>
      <c r="C64" t="e" vm="125">
        <v>#VALUE!</v>
      </c>
      <c r="D64" s="1" cm="1" vm="126">
        <f t="array" aca="1" ref="D64" ca="1">_xlfn.STOCKHISTORY(C64,$J$1,$J$1,0,0,1)</f>
        <v>109.88</v>
      </c>
      <c r="E64" s="1">
        <f t="shared" ca="1" si="0"/>
        <v>97.514444444444436</v>
      </c>
      <c r="F64" s="2">
        <f t="shared" ca="1" si="1"/>
        <v>1.1268074245410937</v>
      </c>
      <c r="G64" t="str" cm="1">
        <f t="array" aca="1" ref="G64" ca="1">_FV(C64,"Industrie")</f>
        <v>Electrical Utilities &amp; IPPs</v>
      </c>
    </row>
    <row r="65" spans="1:7" x14ac:dyDescent="0.2">
      <c r="A65" s="4">
        <v>64</v>
      </c>
      <c r="C65" t="e" vm="127">
        <v>#VALUE!</v>
      </c>
      <c r="D65" s="1" cm="1" vm="128">
        <f t="array" aca="1" ref="D65" ca="1">_xlfn.STOCKHISTORY(C65,$J$1,$J$1,0,0,1)</f>
        <v>240.45</v>
      </c>
      <c r="E65" s="1">
        <f t="shared" ca="1" si="0"/>
        <v>213.41777777777773</v>
      </c>
      <c r="F65" s="2">
        <f t="shared" ca="1" si="1"/>
        <v>1.1266634040692227</v>
      </c>
      <c r="G65" t="str" cm="1">
        <f t="array" aca="1" ref="G65" ca="1">_FV(C65,"Industrie")</f>
        <v>Pharmaceuticals</v>
      </c>
    </row>
    <row r="66" spans="1:7" x14ac:dyDescent="0.2">
      <c r="A66" s="4">
        <v>65</v>
      </c>
      <c r="C66" t="e" vm="129">
        <v>#VALUE!</v>
      </c>
      <c r="D66" s="1" cm="1" vm="130">
        <f t="array" aca="1" ref="D66" ca="1">_xlfn.STOCKHISTORY(C66,$J$1,$J$1,0,0,1)</f>
        <v>1443.21</v>
      </c>
      <c r="E66" s="1">
        <f t="shared" ref="E66:E129" ca="1" si="3">AVERAGE(_xlfn.STOCKHISTORY(C66,$J$1-182,$J$1,1,0,1))</f>
        <v>1296.1648148148147</v>
      </c>
      <c r="F66" s="2">
        <f t="shared" ref="F66:F129" ca="1" si="4">D66/E66</f>
        <v>1.1134463638454759</v>
      </c>
      <c r="G66" t="str" cm="1">
        <f t="array" aca="1" ref="G66" ca="1">_FV(C66,"Industrie")</f>
        <v>Semiconductors &amp; Semiconductor Equipment</v>
      </c>
    </row>
    <row r="67" spans="1:7" x14ac:dyDescent="0.2">
      <c r="A67" s="4">
        <v>66</v>
      </c>
      <c r="C67" t="e" vm="131">
        <v>#VALUE!</v>
      </c>
      <c r="D67" s="1" cm="1" vm="132">
        <f t="array" aca="1" ref="D67" ca="1">_xlfn.STOCKHISTORY(C67,$J$1,$J$1,0,0,1)</f>
        <v>29.1</v>
      </c>
      <c r="E67" s="1">
        <f t="shared" ca="1" si="3"/>
        <v>26.145185185185184</v>
      </c>
      <c r="F67" s="2">
        <f t="shared" ca="1" si="4"/>
        <v>1.1130156391659112</v>
      </c>
      <c r="G67" t="str" cm="1">
        <f t="array" aca="1" ref="G67" ca="1">_FV(C67,"Industrie")</f>
        <v>Telecommunications Services</v>
      </c>
    </row>
    <row r="68" spans="1:7" x14ac:dyDescent="0.2">
      <c r="A68" s="4">
        <v>67</v>
      </c>
      <c r="C68" t="e" vm="133">
        <v>#VALUE!</v>
      </c>
      <c r="D68" s="1" cm="1" vm="134">
        <f t="array" aca="1" ref="D68" ca="1">_xlfn.STOCKHISTORY(C68,$J$1,$J$1,0,0,1)</f>
        <v>194.4</v>
      </c>
      <c r="E68" s="1">
        <f t="shared" ca="1" si="3"/>
        <v>174.73370370370372</v>
      </c>
      <c r="F68" s="2">
        <f t="shared" ca="1" si="4"/>
        <v>1.1125501026959541</v>
      </c>
      <c r="G68" t="str" cm="1">
        <f t="array" aca="1" ref="G68" ca="1">_FV(C68,"Industrie")</f>
        <v>Machinery, Equipment &amp; Components</v>
      </c>
    </row>
    <row r="69" spans="1:7" x14ac:dyDescent="0.2">
      <c r="A69" s="4">
        <v>68</v>
      </c>
      <c r="C69" t="e" vm="135">
        <v>#VALUE!</v>
      </c>
      <c r="D69" s="1" cm="1" vm="136">
        <f t="array" aca="1" ref="D69" ca="1">_xlfn.STOCKHISTORY(C69,$J$1,$J$1,0,0,1)</f>
        <v>56.24</v>
      </c>
      <c r="E69" s="1">
        <f t="shared" ca="1" si="3"/>
        <v>50.590740740740735</v>
      </c>
      <c r="F69" s="2">
        <f t="shared" ca="1" si="4"/>
        <v>1.1116658735678466</v>
      </c>
      <c r="G69" t="str" cm="1">
        <f t="array" aca="1" ref="G69" ca="1">_FV(C69,"Industrie")</f>
        <v>Metals &amp; Mining</v>
      </c>
    </row>
    <row r="70" spans="1:7" x14ac:dyDescent="0.2">
      <c r="A70" s="4">
        <v>69</v>
      </c>
      <c r="C70" t="e" vm="137">
        <v>#VALUE!</v>
      </c>
      <c r="D70" s="1" cm="1" vm="138">
        <f t="array" aca="1" ref="D70" ca="1">_xlfn.STOCKHISTORY(C70,$J$1,$J$1,0,0,1)</f>
        <v>58.54</v>
      </c>
      <c r="E70" s="1">
        <f t="shared" ca="1" si="3"/>
        <v>52.765555555555544</v>
      </c>
      <c r="F70" s="2">
        <f t="shared" ca="1" si="4"/>
        <v>1.1094358693592203</v>
      </c>
      <c r="G70" t="str" cm="1">
        <f t="array" aca="1" ref="G70" ca="1">_FV(C70,"Industrie")</f>
        <v>Pharmaceuticals</v>
      </c>
    </row>
    <row r="71" spans="1:7" x14ac:dyDescent="0.2">
      <c r="A71" s="4">
        <v>70</v>
      </c>
      <c r="C71" t="e" vm="139">
        <v>#VALUE!</v>
      </c>
      <c r="D71" s="1" cm="1" vm="140">
        <f t="array" aca="1" ref="D71" ca="1">_xlfn.STOCKHISTORY(C71,$J$1,$J$1,0,0,1)</f>
        <v>25.85</v>
      </c>
      <c r="E71" s="1">
        <f t="shared" ca="1" si="3"/>
        <v>23.321296296296296</v>
      </c>
      <c r="F71" s="2">
        <f t="shared" ca="1" si="4"/>
        <v>1.1084289514432049</v>
      </c>
      <c r="G71" t="str" cm="1">
        <f t="array" aca="1" ref="G71" ca="1">_FV(C71,"Industrie")</f>
        <v>Hotels &amp; Entertainment Services</v>
      </c>
    </row>
    <row r="72" spans="1:7" x14ac:dyDescent="0.2">
      <c r="A72" s="4">
        <v>71</v>
      </c>
      <c r="C72" t="e" vm="141">
        <v>#VALUE!</v>
      </c>
      <c r="D72" s="1" cm="1" vm="142">
        <f t="array" aca="1" ref="D72" ca="1">_xlfn.STOCKHISTORY(C72,$J$1,$J$1,0,0,1)</f>
        <v>566.64</v>
      </c>
      <c r="E72" s="1">
        <f t="shared" ca="1" si="3"/>
        <v>512.77222222222213</v>
      </c>
      <c r="F72" s="2">
        <f t="shared" ca="1" si="4"/>
        <v>1.1050520590688959</v>
      </c>
      <c r="G72" t="str" cm="1">
        <f t="array" aca="1" ref="G72" ca="1">_FV(C72,"Industrie")</f>
        <v>Machinery, Equipment &amp; Components</v>
      </c>
    </row>
    <row r="73" spans="1:7" x14ac:dyDescent="0.2">
      <c r="A73" s="4">
        <v>72</v>
      </c>
      <c r="C73" t="e" vm="143">
        <v>#VALUE!</v>
      </c>
      <c r="D73" s="1" cm="1" vm="144">
        <f t="array" aca="1" ref="D73" ca="1">_xlfn.STOCKHISTORY(C73,$J$1,$J$1,0,0,1)</f>
        <v>292.19</v>
      </c>
      <c r="E73" s="1">
        <f t="shared" ca="1" si="3"/>
        <v>264.56444444444446</v>
      </c>
      <c r="F73" s="2">
        <f t="shared" ca="1" si="4"/>
        <v>1.1044190031414316</v>
      </c>
      <c r="G73" t="str" cm="1">
        <f t="array" aca="1" ref="G73" ca="1">_FV(C73,"Industrie")</f>
        <v>Chemicals</v>
      </c>
    </row>
    <row r="74" spans="1:7" x14ac:dyDescent="0.2">
      <c r="A74" s="4">
        <v>73</v>
      </c>
      <c r="C74" t="e" vm="145">
        <v>#VALUE!</v>
      </c>
      <c r="D74" s="1" cm="1" vm="146">
        <f t="array" aca="1" ref="D74" ca="1">_xlfn.STOCKHISTORY(C74,$J$1,$J$1,0,0,1)</f>
        <v>45.26</v>
      </c>
      <c r="E74" s="1">
        <f t="shared" ca="1" si="3"/>
        <v>41.110477777777767</v>
      </c>
      <c r="F74" s="2">
        <f t="shared" ca="1" si="4"/>
        <v>1.1009358792824648</v>
      </c>
      <c r="G74" t="str" cm="1">
        <f t="array" aca="1" ref="G74" ca="1">_FV(C74,"Industrie")</f>
        <v>Electronic Equipment &amp; Parts</v>
      </c>
    </row>
    <row r="75" spans="1:7" x14ac:dyDescent="0.2">
      <c r="A75" s="4">
        <v>74</v>
      </c>
      <c r="C75" t="e" vm="147">
        <v>#VALUE!</v>
      </c>
      <c r="D75" s="1" cm="1" vm="148">
        <f t="array" aca="1" ref="D75" ca="1">_xlfn.STOCKHISTORY(C75,$J$1,$J$1,0,0,1)</f>
        <v>73.22</v>
      </c>
      <c r="E75" s="1">
        <f t="shared" ca="1" si="3"/>
        <v>66.593703703703696</v>
      </c>
      <c r="F75" s="2">
        <f t="shared" ca="1" si="4"/>
        <v>1.0995033453279424</v>
      </c>
      <c r="G75" t="str" cm="1">
        <f t="array" aca="1" ref="G75" ca="1">_FV(C75,"Industrie")</f>
        <v>Food &amp; Drug Retailing</v>
      </c>
    </row>
    <row r="76" spans="1:7" x14ac:dyDescent="0.2">
      <c r="A76" s="4">
        <v>75</v>
      </c>
      <c r="C76" t="e" vm="149">
        <v>#VALUE!</v>
      </c>
      <c r="D76" s="1" cm="1" vm="150">
        <f t="array" aca="1" ref="D76" ca="1">_xlfn.STOCKHISTORY(C76,$J$1,$J$1,0,0,1)</f>
        <v>63.92</v>
      </c>
      <c r="E76" s="1">
        <f t="shared" ca="1" si="3"/>
        <v>58.278518518518517</v>
      </c>
      <c r="F76" s="2">
        <f t="shared" ca="1" si="4"/>
        <v>1.0968020743301643</v>
      </c>
      <c r="G76" t="str" cm="1">
        <f t="array" aca="1" ref="G76" ca="1">_FV(C76,"Industrie")</f>
        <v>Food &amp; Tobacco</v>
      </c>
    </row>
    <row r="77" spans="1:7" x14ac:dyDescent="0.2">
      <c r="A77" s="4">
        <v>76</v>
      </c>
      <c r="C77" t="e" vm="151">
        <v>#VALUE!</v>
      </c>
      <c r="D77" s="1" cm="1" vm="152">
        <f t="array" aca="1" ref="D77" ca="1">_xlfn.STOCKHISTORY(C77,$J$1,$J$1,0,0,1)</f>
        <v>138.84</v>
      </c>
      <c r="E77" s="1">
        <f t="shared" ca="1" si="3"/>
        <v>126.84703703703705</v>
      </c>
      <c r="F77" s="2">
        <f t="shared" ca="1" si="4"/>
        <v>1.0945466543255655</v>
      </c>
      <c r="G77" t="str" cm="1">
        <f t="array" aca="1" ref="G77" ca="1">_FV(C77,"Industrie")</f>
        <v>Specialty Retailers</v>
      </c>
    </row>
    <row r="78" spans="1:7" x14ac:dyDescent="0.2">
      <c r="A78" s="4">
        <v>77</v>
      </c>
      <c r="C78" t="e" vm="153">
        <v>#VALUE!</v>
      </c>
      <c r="D78" s="1" cm="1" vm="154">
        <f t="array" aca="1" ref="D78" ca="1">_xlfn.STOCKHISTORY(C78,$J$1,$J$1,0,0,1)</f>
        <v>307.44</v>
      </c>
      <c r="E78" s="1">
        <f t="shared" ca="1" si="3"/>
        <v>281.53037037037041</v>
      </c>
      <c r="F78" s="2">
        <f t="shared" ca="1" si="4"/>
        <v>1.0920313840227749</v>
      </c>
      <c r="G78" t="str" cm="1">
        <f t="array" aca="1" ref="G78" ca="1">_FV(C78,"Industrie")</f>
        <v>Semiconductors &amp; Semiconductor Equipment</v>
      </c>
    </row>
    <row r="79" spans="1:7" x14ac:dyDescent="0.2">
      <c r="A79" s="4">
        <v>78</v>
      </c>
      <c r="C79" t="e" vm="155">
        <v>#VALUE!</v>
      </c>
      <c r="D79" s="1" cm="1" vm="156">
        <f t="array" aca="1" ref="D79" ca="1">_xlfn.STOCKHISTORY(C79,$J$1,$J$1,0,0,1)</f>
        <v>491.12</v>
      </c>
      <c r="E79" s="1">
        <f t="shared" ca="1" si="3"/>
        <v>450.05814814814806</v>
      </c>
      <c r="F79" s="2">
        <f t="shared" ca="1" si="4"/>
        <v>1.0912367702280448</v>
      </c>
      <c r="G79" t="str" cm="1">
        <f t="array" aca="1" ref="G79" ca="1">_FV(C79,"Industrie")</f>
        <v>Chemicals</v>
      </c>
    </row>
    <row r="80" spans="1:7" x14ac:dyDescent="0.2">
      <c r="A80" s="4">
        <v>79</v>
      </c>
      <c r="C80" t="e" vm="157">
        <v>#VALUE!</v>
      </c>
      <c r="D80" s="1" cm="1" vm="158">
        <f t="array" aca="1" ref="D80" ca="1">_xlfn.STOCKHISTORY(C80,$J$1,$J$1,0,0,1)</f>
        <v>213.73</v>
      </c>
      <c r="E80" s="1">
        <f t="shared" ca="1" si="3"/>
        <v>196.55185185185181</v>
      </c>
      <c r="F80" s="2">
        <f t="shared" ca="1" si="4"/>
        <v>1.0873975390529314</v>
      </c>
      <c r="G80" t="str" cm="1">
        <f t="array" aca="1" ref="G80" ca="1">_FV(C80,"Industrie")</f>
        <v>Food &amp; Tobacco</v>
      </c>
    </row>
    <row r="81" spans="1:7" x14ac:dyDescent="0.2">
      <c r="A81" s="4">
        <v>80</v>
      </c>
      <c r="C81" t="e" vm="159">
        <v>#VALUE!</v>
      </c>
      <c r="D81" s="1" cm="1" vm="160">
        <f t="array" aca="1" ref="D81" ca="1">_xlfn.STOCKHISTORY(C81,$J$1,$J$1,0,0,1)</f>
        <v>241.11</v>
      </c>
      <c r="E81" s="1">
        <f t="shared" ca="1" si="3"/>
        <v>221.78074074074073</v>
      </c>
      <c r="F81" s="2">
        <f t="shared" ca="1" si="4"/>
        <v>1.0871548142309388</v>
      </c>
      <c r="G81" t="str" cm="1">
        <f t="array" aca="1" ref="G81" ca="1">_FV(C81,"Industrie")</f>
        <v>Machinery, Equipment &amp; Components</v>
      </c>
    </row>
    <row r="82" spans="1:7" x14ac:dyDescent="0.2">
      <c r="A82" s="4">
        <v>81</v>
      </c>
      <c r="C82" t="e" vm="161">
        <v>#VALUE!</v>
      </c>
      <c r="D82" s="1" cm="1" vm="162">
        <f t="array" aca="1" ref="D82" ca="1">_xlfn.STOCKHISTORY(C82,$J$1,$J$1,0,0,1)</f>
        <v>205.59</v>
      </c>
      <c r="E82" s="1">
        <f t="shared" ca="1" si="3"/>
        <v>189.45962962962966</v>
      </c>
      <c r="F82" s="2">
        <f t="shared" ca="1" si="4"/>
        <v>1.0851388256268801</v>
      </c>
      <c r="G82" t="str" cm="1">
        <f t="array" aca="1" ref="G82" ca="1">_FV(C82,"Industrie")</f>
        <v>Freight &amp; Logistics Services</v>
      </c>
    </row>
    <row r="83" spans="1:7" x14ac:dyDescent="0.2">
      <c r="A83" s="4">
        <v>82</v>
      </c>
      <c r="C83" t="e" vm="163">
        <v>#VALUE!</v>
      </c>
      <c r="D83" s="1" cm="1" vm="164">
        <f t="array" aca="1" ref="D83" ca="1">_xlfn.STOCKHISTORY(C83,$J$1,$J$1,0,0,1)</f>
        <v>131.29</v>
      </c>
      <c r="E83" s="1">
        <f t="shared" ca="1" si="3"/>
        <v>121.03962962962963</v>
      </c>
      <c r="F83" s="2">
        <f t="shared" ca="1" si="4"/>
        <v>1.0846860685358637</v>
      </c>
      <c r="G83" t="str" cm="1">
        <f t="array" aca="1" ref="G83" ca="1">_FV(C83,"Industrie")</f>
        <v>Machinery, Equipment &amp; Components</v>
      </c>
    </row>
    <row r="84" spans="1:7" x14ac:dyDescent="0.2">
      <c r="A84" s="4">
        <v>83</v>
      </c>
      <c r="C84" t="e" vm="165">
        <v>#VALUE!</v>
      </c>
      <c r="D84" s="1" cm="1" vm="166">
        <f t="array" aca="1" ref="D84" ca="1">_xlfn.STOCKHISTORY(C84,$J$1,$J$1,0,0,1)</f>
        <v>343</v>
      </c>
      <c r="E84" s="1">
        <f t="shared" ca="1" si="3"/>
        <v>316.93333333333334</v>
      </c>
      <c r="F84" s="2">
        <f t="shared" ca="1" si="4"/>
        <v>1.0822465292385359</v>
      </c>
      <c r="G84" t="str" cm="1">
        <f t="array" aca="1" ref="G84" ca="1">_FV(C84,"Industrie")</f>
        <v>Aerospace &amp; Defense</v>
      </c>
    </row>
    <row r="85" spans="1:7" x14ac:dyDescent="0.2">
      <c r="A85" s="4">
        <v>84</v>
      </c>
      <c r="C85" t="e" vm="167">
        <v>#VALUE!</v>
      </c>
      <c r="D85" s="1" cm="1" vm="168">
        <f t="array" aca="1" ref="D85" ca="1">_xlfn.STOCKHISTORY(C85,$J$1,$J$1,0,0,1)</f>
        <v>59.27</v>
      </c>
      <c r="E85" s="1">
        <f t="shared" ca="1" si="3"/>
        <v>54.827407407407406</v>
      </c>
      <c r="F85" s="2">
        <f t="shared" ca="1" si="4"/>
        <v>1.0810286825999433</v>
      </c>
      <c r="G85" t="str" cm="1">
        <f t="array" aca="1" ref="G85" ca="1">_FV(C85,"Industrie")</f>
        <v>Containers &amp; Packaging</v>
      </c>
    </row>
    <row r="86" spans="1:7" x14ac:dyDescent="0.2">
      <c r="A86" s="4">
        <v>85</v>
      </c>
      <c r="C86" t="e" vm="169">
        <v>#VALUE!</v>
      </c>
      <c r="D86" s="1" cm="1" vm="170">
        <f t="array" aca="1" ref="D86" ca="1">_xlfn.STOCKHISTORY(C86,$J$1,$J$1,0,0,1)</f>
        <v>111.68</v>
      </c>
      <c r="E86" s="1">
        <f t="shared" ca="1" si="3"/>
        <v>103.58666666666666</v>
      </c>
      <c r="F86" s="2">
        <f t="shared" ca="1" si="4"/>
        <v>1.0781310335950574</v>
      </c>
      <c r="G86" t="str" cm="1">
        <f t="array" aca="1" ref="G86" ca="1">_FV(C86,"Industrie")</f>
        <v>Electrical Utilities &amp; IPPs</v>
      </c>
    </row>
    <row r="87" spans="1:7" x14ac:dyDescent="0.2">
      <c r="A87" s="4">
        <v>86</v>
      </c>
      <c r="C87" t="e" vm="171">
        <v>#VALUE!</v>
      </c>
      <c r="D87" s="1" cm="1" vm="172">
        <f t="array" aca="1" ref="D87" ca="1">_xlfn.STOCKHISTORY(C87,$J$1,$J$1,0,0,1)</f>
        <v>99.69</v>
      </c>
      <c r="E87" s="1">
        <f t="shared" ca="1" si="3"/>
        <v>92.655555555555566</v>
      </c>
      <c r="F87" s="2">
        <f t="shared" ca="1" si="4"/>
        <v>1.0759203741455809</v>
      </c>
      <c r="G87" t="str" cm="1">
        <f t="array" aca="1" ref="G87" ca="1">_FV(C87,"Industrie")</f>
        <v>Electrical Utilities &amp; IPPs</v>
      </c>
    </row>
    <row r="88" spans="1:7" x14ac:dyDescent="0.2">
      <c r="A88" s="4">
        <v>87</v>
      </c>
      <c r="C88" t="e" vm="173">
        <v>#VALUE!</v>
      </c>
      <c r="D88" s="1" cm="1" vm="174">
        <f t="array" aca="1" ref="D88" ca="1">_xlfn.STOCKHISTORY(C88,$J$1,$J$1,0,0,1)</f>
        <v>732.89</v>
      </c>
      <c r="E88" s="1">
        <f t="shared" ca="1" si="3"/>
        <v>681.40814814814803</v>
      </c>
      <c r="F88" s="2">
        <f t="shared" ca="1" si="4"/>
        <v>1.0755521518076403</v>
      </c>
      <c r="G88" t="str" cm="1">
        <f t="array" aca="1" ref="G88" ca="1">_FV(C88,"Industrie")</f>
        <v>Construction &amp; Engineering</v>
      </c>
    </row>
    <row r="89" spans="1:7" x14ac:dyDescent="0.2">
      <c r="A89" s="4">
        <v>88</v>
      </c>
      <c r="C89" t="e" vm="175">
        <v>#VALUE!</v>
      </c>
      <c r="D89" s="1" cm="1" vm="176">
        <f t="array" aca="1" ref="D89" ca="1">_xlfn.STOCKHISTORY(C89,$J$1,$J$1,0,0,1)</f>
        <v>130.1</v>
      </c>
      <c r="E89" s="1">
        <f t="shared" ca="1" si="3"/>
        <v>121.01611111111113</v>
      </c>
      <c r="F89" s="2">
        <f t="shared" ca="1" si="4"/>
        <v>1.0750634672151089</v>
      </c>
      <c r="G89" t="str" cm="1">
        <f t="array" aca="1" ref="G89" ca="1">_FV(C89,"Industrie")</f>
        <v>Electrical Utilities &amp; IPPs</v>
      </c>
    </row>
    <row r="90" spans="1:7" x14ac:dyDescent="0.2">
      <c r="A90" s="4">
        <v>89</v>
      </c>
      <c r="C90" t="e" vm="177">
        <v>#VALUE!</v>
      </c>
      <c r="D90" s="1" cm="1" vm="178">
        <f t="array" aca="1" ref="D90" ca="1">_xlfn.STOCKHISTORY(C90,$J$1,$J$1,0,0,1)</f>
        <v>23.715</v>
      </c>
      <c r="E90" s="1">
        <f t="shared" ca="1" si="3"/>
        <v>22.096666666666668</v>
      </c>
      <c r="F90" s="2">
        <f t="shared" ca="1" si="4"/>
        <v>1.0732387992155679</v>
      </c>
      <c r="G90" t="str" cm="1">
        <f t="array" aca="1" ref="G90" ca="1">_FV(C90,"Industrie")</f>
        <v>Pharmaceuticals</v>
      </c>
    </row>
    <row r="91" spans="1:7" x14ac:dyDescent="0.2">
      <c r="A91" s="4">
        <v>90</v>
      </c>
      <c r="C91" t="e" vm="179">
        <v>#VALUE!</v>
      </c>
      <c r="D91" s="1" cm="1" vm="180">
        <f t="array" aca="1" ref="D91" ca="1">_xlfn.STOCKHISTORY(C91,$J$1,$J$1,0,0,1)</f>
        <v>122.89</v>
      </c>
      <c r="E91" s="1">
        <f t="shared" ca="1" si="3"/>
        <v>114.55777777777776</v>
      </c>
      <c r="F91" s="2">
        <f t="shared" ca="1" si="4"/>
        <v>1.072733797598495</v>
      </c>
      <c r="G91" t="str" cm="1">
        <f t="array" aca="1" ref="G91" ca="1">_FV(C91,"Industrie")</f>
        <v>Food &amp; Drug Retailing</v>
      </c>
    </row>
    <row r="92" spans="1:7" x14ac:dyDescent="0.2">
      <c r="A92" s="4">
        <v>91</v>
      </c>
      <c r="C92" t="e" vm="181">
        <v>#VALUE!</v>
      </c>
      <c r="D92" s="1" cm="1" vm="182">
        <f t="array" aca="1" ref="D92" ca="1">_xlfn.STOCKHISTORY(C92,$J$1,$J$1,0,0,1)</f>
        <v>13.05</v>
      </c>
      <c r="E92" s="1">
        <f t="shared" ca="1" si="3"/>
        <v>12.172222222222226</v>
      </c>
      <c r="F92" s="2">
        <f t="shared" ca="1" si="4"/>
        <v>1.0721131903240526</v>
      </c>
      <c r="G92" t="str" cm="1">
        <f t="array" aca="1" ref="G92" ca="1">_FV(C92,"Industrie")</f>
        <v>Pharmaceuticals</v>
      </c>
    </row>
    <row r="93" spans="1:7" x14ac:dyDescent="0.2">
      <c r="A93" s="4">
        <v>92</v>
      </c>
      <c r="C93" t="e" vm="183">
        <v>#VALUE!</v>
      </c>
      <c r="D93" s="1" cm="1" vm="184">
        <f t="array" aca="1" ref="D93" ca="1">_xlfn.STOCKHISTORY(C93,$J$1,$J$1,0,0,1)</f>
        <v>71.2</v>
      </c>
      <c r="E93" s="1">
        <f t="shared" ca="1" si="3"/>
        <v>66.421111111111102</v>
      </c>
      <c r="F93" s="2">
        <f t="shared" ca="1" si="4"/>
        <v>1.0719483430636179</v>
      </c>
      <c r="G93" t="str" cm="1">
        <f t="array" aca="1" ref="G93" ca="1">_FV(C93,"Industrie")</f>
        <v>Chemicals</v>
      </c>
    </row>
    <row r="94" spans="1:7" x14ac:dyDescent="0.2">
      <c r="A94" s="4">
        <v>93</v>
      </c>
      <c r="C94" t="e" vm="185">
        <v>#VALUE!</v>
      </c>
      <c r="D94" s="1" cm="1" vm="186">
        <f t="array" aca="1" ref="D94" ca="1">_xlfn.STOCKHISTORY(C94,$J$1,$J$1,0,0,1)</f>
        <v>91.4</v>
      </c>
      <c r="E94" s="1">
        <f t="shared" ca="1" si="3"/>
        <v>85.295925925925928</v>
      </c>
      <c r="F94" s="2">
        <f t="shared" ca="1" si="4"/>
        <v>1.0715634892031665</v>
      </c>
      <c r="G94" t="str" cm="1">
        <f t="array" aca="1" ref="G94" ca="1">_FV(C94,"Industrie")</f>
        <v>Electrical Utilities &amp; IPPs</v>
      </c>
    </row>
    <row r="95" spans="1:7" x14ac:dyDescent="0.2">
      <c r="A95" s="4">
        <v>94</v>
      </c>
      <c r="C95" t="e" vm="187">
        <v>#VALUE!</v>
      </c>
      <c r="D95" s="1" cm="1" vm="188">
        <f t="array" aca="1" ref="D95" ca="1">_xlfn.STOCKHISTORY(C95,$J$1,$J$1,0,0,1)</f>
        <v>679</v>
      </c>
      <c r="E95" s="1">
        <f t="shared" ca="1" si="3"/>
        <v>633.82222222222219</v>
      </c>
      <c r="F95" s="2">
        <f t="shared" ca="1" si="4"/>
        <v>1.0712783114788584</v>
      </c>
      <c r="G95" t="str" cm="1">
        <f t="array" aca="1" ref="G95" ca="1">_FV(C95,"Industrie")</f>
        <v>Aerospace &amp; Defense</v>
      </c>
    </row>
    <row r="96" spans="1:7" x14ac:dyDescent="0.2">
      <c r="A96" s="4">
        <v>95</v>
      </c>
      <c r="C96" t="e" vm="189">
        <v>#VALUE!</v>
      </c>
      <c r="D96" s="1" cm="1" vm="190">
        <f t="array" aca="1" ref="D96" ca="1">_xlfn.STOCKHISTORY(C96,$J$1,$J$1,0,0,1)</f>
        <v>381.79</v>
      </c>
      <c r="E96" s="1">
        <f t="shared" ca="1" si="3"/>
        <v>357.21555555555545</v>
      </c>
      <c r="F96" s="2">
        <f t="shared" ca="1" si="4"/>
        <v>1.0687944409537973</v>
      </c>
      <c r="G96" t="str" cm="1">
        <f t="array" aca="1" ref="G96" ca="1">_FV(C96,"Industrie")</f>
        <v>Aerospace &amp; Defense</v>
      </c>
    </row>
    <row r="97" spans="1:7" x14ac:dyDescent="0.2">
      <c r="A97" s="4">
        <v>96</v>
      </c>
      <c r="C97" t="e" vm="191">
        <v>#VALUE!</v>
      </c>
      <c r="D97" s="1" cm="1" vm="192">
        <f t="array" aca="1" ref="D97" ca="1">_xlfn.STOCKHISTORY(C97,$J$1,$J$1,0,0,1)</f>
        <v>66.48</v>
      </c>
      <c r="E97" s="1">
        <f t="shared" ca="1" si="3"/>
        <v>62.408148148148157</v>
      </c>
      <c r="F97" s="2">
        <f t="shared" ca="1" si="4"/>
        <v>1.0652455163736927</v>
      </c>
      <c r="G97" t="str" cm="1">
        <f t="array" aca="1" ref="G97" ca="1">_FV(C97,"Industrie")</f>
        <v>Food &amp; Tobacco</v>
      </c>
    </row>
    <row r="98" spans="1:7" x14ac:dyDescent="0.2">
      <c r="A98" s="4">
        <v>97</v>
      </c>
      <c r="C98" t="e" vm="193">
        <v>#VALUE!</v>
      </c>
      <c r="D98" s="1" cm="1" vm="194">
        <f t="array" aca="1" ref="D98" ca="1">_xlfn.STOCKHISTORY(C98,$J$1,$J$1,0,0,1)</f>
        <v>27.07</v>
      </c>
      <c r="E98" s="1">
        <f t="shared" ca="1" si="3"/>
        <v>25.438333333333329</v>
      </c>
      <c r="F98" s="2">
        <f t="shared" ca="1" si="4"/>
        <v>1.0641420428487194</v>
      </c>
      <c r="G98" t="str" cm="1">
        <f t="array" aca="1" ref="G98" ca="1">_FV(C98,"Industrie")</f>
        <v>Media &amp; Publishing</v>
      </c>
    </row>
    <row r="99" spans="1:7" x14ac:dyDescent="0.2">
      <c r="A99" s="4">
        <v>98</v>
      </c>
      <c r="C99" t="e" vm="195">
        <v>#VALUE!</v>
      </c>
      <c r="D99" s="1" cm="1" vm="196">
        <f t="array" aca="1" ref="D99" ca="1">_xlfn.STOCKHISTORY(C99,$J$1,$J$1,0,0,1)</f>
        <v>39.67</v>
      </c>
      <c r="E99" s="1">
        <f t="shared" ca="1" si="3"/>
        <v>37.282962962962969</v>
      </c>
      <c r="F99" s="2">
        <f t="shared" ca="1" si="4"/>
        <v>1.0640248748311212</v>
      </c>
      <c r="G99" t="str" cm="1">
        <f t="array" aca="1" ref="G99" ca="1">_FV(C99,"Industrie")</f>
        <v>Freight &amp; Logistics Services</v>
      </c>
    </row>
    <row r="100" spans="1:7" x14ac:dyDescent="0.2">
      <c r="A100" s="4">
        <v>99</v>
      </c>
      <c r="C100" t="e" vm="197">
        <v>#VALUE!</v>
      </c>
      <c r="D100" s="1" cm="1" vm="198">
        <f t="array" aca="1" ref="D100" ca="1">_xlfn.STOCKHISTORY(C100,$J$1,$J$1,0,0,1)</f>
        <v>183.84</v>
      </c>
      <c r="E100" s="1">
        <f t="shared" ca="1" si="3"/>
        <v>173.08592592592595</v>
      </c>
      <c r="F100" s="2">
        <f t="shared" ca="1" si="4"/>
        <v>1.0621314183492676</v>
      </c>
      <c r="G100" t="str" cm="1">
        <f t="array" aca="1" ref="G100" ca="1">_FV(C100,"Industrie")</f>
        <v>Pharmaceuticals</v>
      </c>
    </row>
    <row r="101" spans="1:7" x14ac:dyDescent="0.2">
      <c r="A101" s="4">
        <v>100</v>
      </c>
      <c r="C101" t="e" vm="199">
        <v>#VALUE!</v>
      </c>
      <c r="D101" s="1" cm="1" vm="200">
        <f t="array" aca="1" ref="D101" ca="1">_xlfn.STOCKHISTORY(C101,$J$1,$J$1,0,0,1)</f>
        <v>227.9</v>
      </c>
      <c r="E101" s="1">
        <f t="shared" ca="1" si="3"/>
        <v>214.60296296296292</v>
      </c>
      <c r="F101" s="2">
        <f t="shared" ca="1" si="4"/>
        <v>1.0619611064705194</v>
      </c>
      <c r="G101" t="str" cm="1">
        <f t="array" aca="1" ref="G101" ca="1">_FV(C101,"Industrie")</f>
        <v>Aerospace &amp; Defense</v>
      </c>
    </row>
    <row r="102" spans="1:7" x14ac:dyDescent="0.2">
      <c r="A102" s="4">
        <v>101</v>
      </c>
      <c r="C102" t="e" vm="201">
        <v>#VALUE!</v>
      </c>
      <c r="D102" s="1" cm="1" vm="202">
        <f t="array" aca="1" ref="D102" ca="1">_xlfn.STOCKHISTORY(C102,$J$1,$J$1,0,0,1)</f>
        <v>50.03</v>
      </c>
      <c r="E102" s="1">
        <f t="shared" ca="1" si="3"/>
        <v>47.119259259259259</v>
      </c>
      <c r="F102" s="2">
        <f t="shared" ca="1" si="4"/>
        <v>1.0617739070286587</v>
      </c>
      <c r="G102" t="str" cm="1">
        <f t="array" aca="1" ref="G102" ca="1">_FV(C102,"Industrie")</f>
        <v>Electrical Utilities &amp; IPPs</v>
      </c>
    </row>
    <row r="103" spans="1:7" x14ac:dyDescent="0.2">
      <c r="A103" s="4">
        <v>102</v>
      </c>
      <c r="C103" t="e" vm="203">
        <v>#VALUE!</v>
      </c>
      <c r="D103" s="1" cm="1" vm="204">
        <f t="array" aca="1" ref="D103" ca="1">_xlfn.STOCKHISTORY(C103,$J$1,$J$1,0,0,1)</f>
        <v>223.12</v>
      </c>
      <c r="E103" s="1">
        <f t="shared" ca="1" si="3"/>
        <v>210.69428888888888</v>
      </c>
      <c r="F103" s="2">
        <f t="shared" ca="1" si="4"/>
        <v>1.058975073205064</v>
      </c>
      <c r="G103" t="str" cm="1">
        <f t="array" aca="1" ref="G103" ca="1">_FV(C103,"Industrie")</f>
        <v>Consumer Goods Conglomerates</v>
      </c>
    </row>
    <row r="104" spans="1:7" x14ac:dyDescent="0.2">
      <c r="A104" s="4">
        <v>103</v>
      </c>
      <c r="C104" t="e" vm="205">
        <v>#VALUE!</v>
      </c>
      <c r="D104" s="1" cm="1" vm="206">
        <f t="array" aca="1" ref="D104" ca="1">_xlfn.STOCKHISTORY(C104,$J$1,$J$1,0,0,1)</f>
        <v>42.38</v>
      </c>
      <c r="E104" s="1">
        <f t="shared" ca="1" si="3"/>
        <v>40.039259259259268</v>
      </c>
      <c r="F104" s="2">
        <f t="shared" ca="1" si="4"/>
        <v>1.0584611399922297</v>
      </c>
      <c r="G104" t="str" cm="1">
        <f t="array" aca="1" ref="G104" ca="1">_FV(C104,"Industrie")</f>
        <v>Multiline Utilities</v>
      </c>
    </row>
    <row r="105" spans="1:7" x14ac:dyDescent="0.2">
      <c r="A105" s="4">
        <v>104</v>
      </c>
      <c r="C105" t="e" vm="207">
        <v>#VALUE!</v>
      </c>
      <c r="D105" s="1" cm="1" vm="208">
        <f t="array" aca="1" ref="D105" ca="1">_xlfn.STOCKHISTORY(C105,$J$1,$J$1,0,0,1)</f>
        <v>79.92</v>
      </c>
      <c r="E105" s="1">
        <f t="shared" ca="1" si="3"/>
        <v>75.714814814814815</v>
      </c>
      <c r="F105" s="2">
        <f t="shared" ca="1" si="4"/>
        <v>1.055539793572372</v>
      </c>
      <c r="G105" t="str" cm="1">
        <f t="array" aca="1" ref="G105" ca="1">_FV(C105,"Industrie")</f>
        <v>Communications &amp; Networking</v>
      </c>
    </row>
    <row r="106" spans="1:7" x14ac:dyDescent="0.2">
      <c r="A106" s="4">
        <v>105</v>
      </c>
      <c r="C106" t="e" vm="209">
        <v>#VALUE!</v>
      </c>
      <c r="D106" s="1" cm="1" vm="210">
        <f t="array" aca="1" ref="D106" ca="1">_xlfn.STOCKHISTORY(C106,$J$1,$J$1,0,0,1)</f>
        <v>206.6</v>
      </c>
      <c r="E106" s="1">
        <f t="shared" ca="1" si="3"/>
        <v>196.11814814814818</v>
      </c>
      <c r="F106" s="2">
        <f t="shared" ca="1" si="4"/>
        <v>1.0534466185349343</v>
      </c>
      <c r="G106" t="str" cm="1">
        <f t="array" aca="1" ref="G106" ca="1">_FV(C106,"Industrie")</f>
        <v>Machinery, Equipment &amp; Components</v>
      </c>
    </row>
    <row r="107" spans="1:7" x14ac:dyDescent="0.2">
      <c r="A107" s="4">
        <v>106</v>
      </c>
      <c r="C107" t="e" vm="211">
        <v>#VALUE!</v>
      </c>
      <c r="D107" s="1" cm="1" vm="212">
        <f t="array" aca="1" ref="D107" ca="1">_xlfn.STOCKHISTORY(C107,$J$1,$J$1,0,0,1)</f>
        <v>129.99</v>
      </c>
      <c r="E107" s="1">
        <f t="shared" ca="1" si="3"/>
        <v>123.47518518518518</v>
      </c>
      <c r="F107" s="2">
        <f t="shared" ca="1" si="4"/>
        <v>1.0527621384413723</v>
      </c>
      <c r="G107" t="str" cm="1">
        <f t="array" aca="1" ref="G107" ca="1">_FV(C107,"Industrie")</f>
        <v>Electrical Utilities &amp; IPPs</v>
      </c>
    </row>
    <row r="108" spans="1:7" x14ac:dyDescent="0.2">
      <c r="A108" s="4">
        <v>107</v>
      </c>
      <c r="C108" t="e" vm="213">
        <v>#VALUE!</v>
      </c>
      <c r="D108" s="1" cm="1" vm="214">
        <f t="array" aca="1" ref="D108" ca="1">_xlfn.STOCKHISTORY(C108,$J$1,$J$1,0,0,1)</f>
        <v>95.88</v>
      </c>
      <c r="E108" s="1">
        <f t="shared" ca="1" si="3"/>
        <v>91.30407407407408</v>
      </c>
      <c r="F108" s="2">
        <f t="shared" ca="1" si="4"/>
        <v>1.0501174342145292</v>
      </c>
      <c r="G108" t="str" cm="1">
        <f t="array" aca="1" ref="G108" ca="1">_FV(C108,"Industrie")</f>
        <v>Multiline Utilities</v>
      </c>
    </row>
    <row r="109" spans="1:7" x14ac:dyDescent="0.2">
      <c r="A109" s="4">
        <v>108</v>
      </c>
      <c r="C109" t="e" vm="215">
        <v>#VALUE!</v>
      </c>
      <c r="D109" s="1" cm="1" vm="216">
        <f t="array" aca="1" ref="D109" ca="1">_xlfn.STOCKHISTORY(C109,$J$1,$J$1,0,0,1)</f>
        <v>183.19</v>
      </c>
      <c r="E109" s="1">
        <f t="shared" ca="1" si="3"/>
        <v>174.48925925925926</v>
      </c>
      <c r="F109" s="2">
        <f t="shared" ca="1" si="4"/>
        <v>1.0498640476650372</v>
      </c>
      <c r="G109" t="str" cm="1">
        <f t="array" aca="1" ref="G109" ca="1">_FV(C109,"Industrie")</f>
        <v>Natural Gas Utilities</v>
      </c>
    </row>
    <row r="110" spans="1:7" x14ac:dyDescent="0.2">
      <c r="A110" s="4">
        <v>109</v>
      </c>
      <c r="C110" t="e" vm="217">
        <v>#VALUE!</v>
      </c>
      <c r="D110" s="1" cm="1" vm="218">
        <f t="array" aca="1" ref="D110" ca="1">_xlfn.STOCKHISTORY(C110,$J$1,$J$1,0,0,1)</f>
        <v>48.32</v>
      </c>
      <c r="E110" s="1">
        <f t="shared" ca="1" si="3"/>
        <v>46.031666666666659</v>
      </c>
      <c r="F110" s="2">
        <f t="shared" ca="1" si="4"/>
        <v>1.049712154676129</v>
      </c>
      <c r="G110" t="str" cm="1">
        <f t="array" aca="1" ref="G110" ca="1">_FV(C110,"Industrie")</f>
        <v>Electrical Utilities &amp; IPPs</v>
      </c>
    </row>
    <row r="111" spans="1:7" x14ac:dyDescent="0.2">
      <c r="A111" s="4">
        <v>110</v>
      </c>
      <c r="C111" t="e" vm="219">
        <v>#VALUE!</v>
      </c>
      <c r="D111" s="1" cm="1" vm="220">
        <f t="array" aca="1" ref="D111" ca="1">_xlfn.STOCKHISTORY(C111,$J$1,$J$1,0,0,1)</f>
        <v>438.32</v>
      </c>
      <c r="E111" s="1">
        <f t="shared" ca="1" si="3"/>
        <v>417.57000000000005</v>
      </c>
      <c r="F111" s="2">
        <f t="shared" ca="1" si="4"/>
        <v>1.0496922671647866</v>
      </c>
      <c r="G111" t="str" cm="1">
        <f t="array" aca="1" ref="G111" ca="1">_FV(C111,"Industrie")</f>
        <v>Communications &amp; Networking</v>
      </c>
    </row>
    <row r="112" spans="1:7" x14ac:dyDescent="0.2">
      <c r="A112" s="4">
        <v>111</v>
      </c>
      <c r="C112" t="e" vm="221">
        <v>#VALUE!</v>
      </c>
      <c r="D112" s="1" cm="1" vm="222">
        <f t="array" aca="1" ref="D112" ca="1">_xlfn.STOCKHISTORY(C112,$J$1,$J$1,0,0,1)</f>
        <v>45.97</v>
      </c>
      <c r="E112" s="1">
        <f t="shared" ca="1" si="3"/>
        <v>43.795555555555559</v>
      </c>
      <c r="F112" s="2">
        <f t="shared" ca="1" si="4"/>
        <v>1.0496498883702048</v>
      </c>
      <c r="G112" t="str" cm="1">
        <f t="array" aca="1" ref="G112" ca="1">_FV(C112,"Industrie")</f>
        <v>Multiline Utilities</v>
      </c>
    </row>
    <row r="113" spans="1:7" x14ac:dyDescent="0.2">
      <c r="A113" s="4">
        <v>112</v>
      </c>
      <c r="C113" t="e" vm="223">
        <v>#VALUE!</v>
      </c>
      <c r="D113" s="1" cm="1" vm="224">
        <f t="array" aca="1" ref="D113" ca="1">_xlfn.STOCKHISTORY(C113,$J$1,$J$1,0,0,1)</f>
        <v>23.94</v>
      </c>
      <c r="E113" s="1">
        <f t="shared" ca="1" si="3"/>
        <v>22.827037037037044</v>
      </c>
      <c r="F113" s="2">
        <f t="shared" ca="1" si="4"/>
        <v>1.0487563480602922</v>
      </c>
      <c r="G113" t="str" cm="1">
        <f t="array" aca="1" ref="G113" ca="1">_FV(C113,"Industrie")</f>
        <v>Computers, Phones &amp; Household Electronics</v>
      </c>
    </row>
    <row r="114" spans="1:7" x14ac:dyDescent="0.2">
      <c r="A114" s="4">
        <v>113</v>
      </c>
      <c r="C114" t="e" vm="225">
        <v>#VALUE!</v>
      </c>
      <c r="D114" s="1" cm="1" vm="226">
        <f t="array" aca="1" ref="D114" ca="1">_xlfn.STOCKHISTORY(C114,$J$1,$J$1,0,0,1)</f>
        <v>80.849999999999994</v>
      </c>
      <c r="E114" s="1">
        <f t="shared" ca="1" si="3"/>
        <v>77.127777777777794</v>
      </c>
      <c r="F114" s="2">
        <f t="shared" ca="1" si="4"/>
        <v>1.0482604624360725</v>
      </c>
      <c r="G114" t="str" cm="1">
        <f t="array" aca="1" ref="G114" ca="1">_FV(C114,"Industrie")</f>
        <v>Electrical Utilities &amp; IPPs</v>
      </c>
    </row>
    <row r="115" spans="1:7" x14ac:dyDescent="0.2">
      <c r="A115" s="4">
        <v>114</v>
      </c>
      <c r="C115" t="e" vm="227">
        <v>#VALUE!</v>
      </c>
      <c r="D115" s="1" cm="1" vm="228">
        <f t="array" aca="1" ref="D115" ca="1">_xlfn.STOCKHISTORY(C115,$J$1,$J$1,0,0,1)</f>
        <v>175.42</v>
      </c>
      <c r="E115" s="1">
        <f t="shared" ca="1" si="3"/>
        <v>167.39740740740743</v>
      </c>
      <c r="F115" s="2">
        <f t="shared" ca="1" si="4"/>
        <v>1.0479254291738664</v>
      </c>
      <c r="G115" t="str" cm="1">
        <f t="array" aca="1" ref="G115" ca="1">_FV(C115,"Industrie")</f>
        <v>Residential &amp; Commercial REIT</v>
      </c>
    </row>
    <row r="116" spans="1:7" x14ac:dyDescent="0.2">
      <c r="A116" s="4">
        <v>115</v>
      </c>
      <c r="C116" t="e" vm="229">
        <v>#VALUE!</v>
      </c>
      <c r="D116" s="1" cm="1" vm="230">
        <f t="array" aca="1" ref="D116" ca="1">_xlfn.STOCKHISTORY(C116,$J$1,$J$1,0,0,1)</f>
        <v>983.86</v>
      </c>
      <c r="E116" s="1">
        <f t="shared" ca="1" si="3"/>
        <v>938.98555555555572</v>
      </c>
      <c r="F116" s="2">
        <f t="shared" ca="1" si="4"/>
        <v>1.0477903458460489</v>
      </c>
      <c r="G116" t="str" cm="1">
        <f t="array" aca="1" ref="G116" ca="1">_FV(C116,"Industrie")</f>
        <v>Diversified Retail</v>
      </c>
    </row>
    <row r="117" spans="1:7" x14ac:dyDescent="0.2">
      <c r="A117" s="4">
        <v>116</v>
      </c>
      <c r="C117" t="e" vm="231">
        <v>#VALUE!</v>
      </c>
      <c r="D117" s="1" cm="1" vm="232">
        <f t="array" aca="1" ref="D117" ca="1">_xlfn.STOCKHISTORY(C117,$J$1,$J$1,0,0,1)</f>
        <v>43.13</v>
      </c>
      <c r="E117" s="1">
        <f t="shared" ca="1" si="3"/>
        <v>41.172222222222224</v>
      </c>
      <c r="F117" s="2">
        <f t="shared" ca="1" si="4"/>
        <v>1.0475509377951693</v>
      </c>
      <c r="G117" t="str" cm="1">
        <f t="array" aca="1" ref="G117" ca="1">_FV(C117,"Industrie")</f>
        <v>Semiconductors &amp; Semiconductor Equipment</v>
      </c>
    </row>
    <row r="118" spans="1:7" x14ac:dyDescent="0.2">
      <c r="A118" s="4">
        <v>117</v>
      </c>
      <c r="C118" t="e" vm="233">
        <v>#VALUE!</v>
      </c>
      <c r="D118" s="1" cm="1" vm="234">
        <f t="array" aca="1" ref="D118" ca="1">_xlfn.STOCKHISTORY(C118,$J$1,$J$1,0,0,1)</f>
        <v>151.4</v>
      </c>
      <c r="E118" s="1">
        <f t="shared" ca="1" si="3"/>
        <v>144.60407407407408</v>
      </c>
      <c r="F118" s="2">
        <f t="shared" ca="1" si="4"/>
        <v>1.046996780481058</v>
      </c>
      <c r="G118" t="str" cm="1">
        <f t="array" aca="1" ref="G118" ca="1">_FV(C118,"Industrie")</f>
        <v>Beverages</v>
      </c>
    </row>
    <row r="119" spans="1:7" x14ac:dyDescent="0.2">
      <c r="A119" s="4">
        <v>118</v>
      </c>
      <c r="C119" t="e" vm="235">
        <v>#VALUE!</v>
      </c>
      <c r="D119" s="1" cm="1" vm="236">
        <f t="array" aca="1" ref="D119" ca="1">_xlfn.STOCKHISTORY(C119,$J$1,$J$1,0,0,1)</f>
        <v>144.47</v>
      </c>
      <c r="E119" s="1">
        <f t="shared" ca="1" si="3"/>
        <v>138.02518518518517</v>
      </c>
      <c r="F119" s="2">
        <f t="shared" ca="1" si="4"/>
        <v>1.0466930350875312</v>
      </c>
      <c r="G119" t="str" cm="1">
        <f t="array" aca="1" ref="G119" ca="1">_FV(C119,"Industrie")</f>
        <v>Electrical Utilities &amp; IPPs</v>
      </c>
    </row>
    <row r="120" spans="1:7" x14ac:dyDescent="0.2">
      <c r="A120" s="4">
        <v>119</v>
      </c>
      <c r="C120" t="e" vm="237">
        <v>#VALUE!</v>
      </c>
      <c r="D120" s="1" cm="1" vm="238">
        <f t="array" aca="1" ref="D120" ca="1">_xlfn.STOCKHISTORY(C120,$J$1,$J$1,0,0,1)</f>
        <v>17.170000000000002</v>
      </c>
      <c r="E120" s="1">
        <f t="shared" ca="1" si="3"/>
        <v>16.405555555555559</v>
      </c>
      <c r="F120" s="2">
        <f t="shared" ca="1" si="4"/>
        <v>1.046596681341009</v>
      </c>
      <c r="G120" t="str" cm="1">
        <f t="array" aca="1" ref="G120" ca="1">_FV(C120,"Industrie")</f>
        <v>Electrical Utilities &amp; IPPs</v>
      </c>
    </row>
    <row r="121" spans="1:7" x14ac:dyDescent="0.2">
      <c r="A121" s="4">
        <v>120</v>
      </c>
      <c r="C121" t="e" vm="239">
        <v>#VALUE!</v>
      </c>
      <c r="D121" s="1" cm="1" vm="240">
        <f t="array" aca="1" ref="D121" ca="1">_xlfn.STOCKHISTORY(C121,$J$1,$J$1,0,0,1)</f>
        <v>81.91</v>
      </c>
      <c r="E121" s="1">
        <f t="shared" ca="1" si="3"/>
        <v>78.277407407407409</v>
      </c>
      <c r="F121" s="2">
        <f t="shared" ca="1" si="4"/>
        <v>1.0464066543962829</v>
      </c>
      <c r="G121" t="str" cm="1">
        <f t="array" aca="1" ref="G121" ca="1">_FV(C121,"Industrie")</f>
        <v>Residential &amp; Commercial REIT</v>
      </c>
    </row>
    <row r="122" spans="1:7" x14ac:dyDescent="0.2">
      <c r="A122" s="4">
        <v>121</v>
      </c>
      <c r="C122" t="e" vm="241">
        <v>#VALUE!</v>
      </c>
      <c r="D122" s="1" cm="1" vm="242">
        <f t="array" aca="1" ref="D122" ca="1">_xlfn.STOCKHISTORY(C122,$J$1,$J$1,0,0,1)</f>
        <v>319.08999999999997</v>
      </c>
      <c r="E122" s="1">
        <f t="shared" ca="1" si="3"/>
        <v>304.99814814814818</v>
      </c>
      <c r="F122" s="2">
        <f t="shared" ca="1" si="4"/>
        <v>1.0462030734855705</v>
      </c>
      <c r="G122" t="str" cm="1">
        <f t="array" aca="1" ref="G122" ca="1">_FV(C122,"Industrie")</f>
        <v>Insurance</v>
      </c>
    </row>
    <row r="123" spans="1:7" x14ac:dyDescent="0.2">
      <c r="A123" s="4">
        <v>122</v>
      </c>
      <c r="C123" t="e" vm="243">
        <v>#VALUE!</v>
      </c>
      <c r="D123" s="1" cm="1" vm="244">
        <f t="array" aca="1" ref="D123" ca="1">_xlfn.STOCKHISTORY(C123,$J$1,$J$1,0,0,1)</f>
        <v>75.709999999999994</v>
      </c>
      <c r="E123" s="1">
        <f t="shared" ca="1" si="3"/>
        <v>72.457407407407402</v>
      </c>
      <c r="F123" s="2">
        <f t="shared" ca="1" si="4"/>
        <v>1.0448897180974774</v>
      </c>
      <c r="G123" t="str" cm="1">
        <f t="array" aca="1" ref="G123" ca="1">_FV(C123,"Industrie")</f>
        <v>Beverages</v>
      </c>
    </row>
    <row r="124" spans="1:7" x14ac:dyDescent="0.2">
      <c r="A124" s="4">
        <v>123</v>
      </c>
      <c r="C124" t="e" vm="245">
        <v>#VALUE!</v>
      </c>
      <c r="D124" s="1" cm="1" vm="246">
        <f t="array" aca="1" ref="D124" ca="1">_xlfn.STOCKHISTORY(C124,$J$1,$J$1,0,0,1)</f>
        <v>18.84</v>
      </c>
      <c r="E124" s="1">
        <f t="shared" ca="1" si="3"/>
        <v>18.035725925925924</v>
      </c>
      <c r="F124" s="2">
        <f t="shared" ca="1" si="4"/>
        <v>1.0445933852275917</v>
      </c>
      <c r="G124" t="str" cm="1">
        <f t="array" aca="1" ref="G124" ca="1">_FV(C124,"Industrie")</f>
        <v>Residential &amp; Commercial REIT</v>
      </c>
    </row>
    <row r="125" spans="1:7" x14ac:dyDescent="0.2">
      <c r="A125" s="4">
        <v>124</v>
      </c>
      <c r="C125" t="e" vm="247">
        <v>#VALUE!</v>
      </c>
      <c r="D125" s="1" cm="1" vm="248">
        <f t="array" aca="1" ref="D125" ca="1">_xlfn.STOCKHISTORY(C125,$J$1,$J$1,0,0,1)</f>
        <v>348.77</v>
      </c>
      <c r="E125" s="1">
        <f t="shared" ca="1" si="3"/>
        <v>333.97740740740738</v>
      </c>
      <c r="F125" s="2">
        <f t="shared" ca="1" si="4"/>
        <v>1.0442921954135287</v>
      </c>
      <c r="G125" t="str" cm="1">
        <f t="array" aca="1" ref="G125" ca="1">_FV(C125,"Industrie")</f>
        <v>Pharmaceuticals</v>
      </c>
    </row>
    <row r="126" spans="1:7" x14ac:dyDescent="0.2">
      <c r="A126" s="4">
        <v>125</v>
      </c>
      <c r="C126" t="e" vm="249">
        <v>#VALUE!</v>
      </c>
      <c r="D126" s="1" cm="1" vm="250">
        <f t="array" aca="1" ref="D126" ca="1">_xlfn.STOCKHISTORY(C126,$J$1,$J$1,0,0,1)</f>
        <v>230.16</v>
      </c>
      <c r="E126" s="1">
        <f t="shared" ca="1" si="3"/>
        <v>220.49962962962962</v>
      </c>
      <c r="F126" s="2">
        <f t="shared" ca="1" si="4"/>
        <v>1.043811277082854</v>
      </c>
      <c r="G126" t="str" cm="1">
        <f t="array" aca="1" ref="G126" ca="1">_FV(C126,"Industrie")</f>
        <v>Communications &amp; Networking</v>
      </c>
    </row>
    <row r="127" spans="1:7" x14ac:dyDescent="0.2">
      <c r="A127">
        <v>126</v>
      </c>
      <c r="C127" t="e" vm="251">
        <v>#VALUE!</v>
      </c>
      <c r="D127" s="1" cm="1" vm="252">
        <f t="array" aca="1" ref="D127" ca="1">_xlfn.STOCKHISTORY(C127,$J$1,$J$1,0,0,1)</f>
        <v>94.69</v>
      </c>
      <c r="E127" s="1">
        <f t="shared" ca="1" si="3"/>
        <v>90.724444444444444</v>
      </c>
      <c r="F127" s="2">
        <f t="shared" ca="1" si="4"/>
        <v>1.0437098907558908</v>
      </c>
      <c r="G127" t="str" cm="1">
        <f t="array" aca="1" ref="G127" ca="1">_FV(C127,"Industrie")</f>
        <v>Personal &amp; Household Products &amp; Services</v>
      </c>
    </row>
    <row r="128" spans="1:7" x14ac:dyDescent="0.2">
      <c r="A128">
        <v>127</v>
      </c>
      <c r="C128" t="e" vm="253">
        <v>#VALUE!</v>
      </c>
      <c r="D128" s="1" cm="1" vm="254">
        <f t="array" aca="1" ref="D128" ca="1">_xlfn.STOCKHISTORY(C128,$J$1,$J$1,0,0,1)</f>
        <v>88.59</v>
      </c>
      <c r="E128" s="1">
        <f t="shared" ca="1" si="3"/>
        <v>84.901111111111121</v>
      </c>
      <c r="F128" s="2">
        <f t="shared" ca="1" si="4"/>
        <v>1.0434492416013401</v>
      </c>
      <c r="G128" t="str" cm="1">
        <f t="array" aca="1" ref="G128" ca="1">_FV(C128,"Industrie")</f>
        <v>Leisure Products</v>
      </c>
    </row>
    <row r="129" spans="1:7" x14ac:dyDescent="0.2">
      <c r="A129">
        <v>128</v>
      </c>
      <c r="C129" t="e" vm="255">
        <v>#VALUE!</v>
      </c>
      <c r="D129" s="1" cm="1" vm="256">
        <f t="array" aca="1" ref="D129" ca="1">_xlfn.STOCKHISTORY(C129,$J$1,$J$1,0,0,1)</f>
        <v>113.5</v>
      </c>
      <c r="E129" s="1">
        <f t="shared" ca="1" si="3"/>
        <v>108.94870370370373</v>
      </c>
      <c r="F129" s="2">
        <f t="shared" ca="1" si="4"/>
        <v>1.0417746713964946</v>
      </c>
      <c r="G129" t="str" cm="1">
        <f t="array" aca="1" ref="G129" ca="1">_FV(C129,"Industrie")</f>
        <v>Oil &amp; Gas</v>
      </c>
    </row>
    <row r="130" spans="1:7" x14ac:dyDescent="0.2">
      <c r="A130">
        <v>129</v>
      </c>
      <c r="C130" t="e" vm="257">
        <v>#VALUE!</v>
      </c>
      <c r="D130" s="1" cm="1" vm="258">
        <f t="array" aca="1" ref="D130" ca="1">_xlfn.STOCKHISTORY(C130,$J$1,$J$1,0,0,1)</f>
        <v>480.97</v>
      </c>
      <c r="E130" s="1">
        <f t="shared" ref="E130:E193" ca="1" si="5">AVERAGE(_xlfn.STOCKHISTORY(C130,$J$1-182,$J$1,1,0,1))</f>
        <v>461.83444444444433</v>
      </c>
      <c r="F130" s="2">
        <f t="shared" ref="F130:F193" ca="1" si="6">D130/E130</f>
        <v>1.0414337990285123</v>
      </c>
      <c r="G130" t="str" cm="1">
        <f t="array" aca="1" ref="G130" ca="1">_FV(C130,"Industrie")</f>
        <v>Machinery, Equipment &amp; Components</v>
      </c>
    </row>
    <row r="131" spans="1:7" x14ac:dyDescent="0.2">
      <c r="A131">
        <v>130</v>
      </c>
      <c r="C131" t="e" vm="259">
        <v>#VALUE!</v>
      </c>
      <c r="D131" s="1" cm="1" vm="260">
        <f t="array" aca="1" ref="D131" ca="1">_xlfn.STOCKHISTORY(C131,$J$1,$J$1,0,0,1)</f>
        <v>317.54000000000002</v>
      </c>
      <c r="E131" s="1">
        <f t="shared" ca="1" si="5"/>
        <v>304.94296296296307</v>
      </c>
      <c r="F131" s="2">
        <f t="shared" ca="1" si="6"/>
        <v>1.041309485926937</v>
      </c>
      <c r="G131" t="str" cm="1">
        <f t="array" aca="1" ref="G131" ca="1">_FV(C131,"Industrie")</f>
        <v>Hotels &amp; Entertainment Services</v>
      </c>
    </row>
    <row r="132" spans="1:7" x14ac:dyDescent="0.2">
      <c r="A132">
        <v>131</v>
      </c>
      <c r="C132" t="e" vm="261">
        <v>#VALUE!</v>
      </c>
      <c r="D132" s="1" cm="1" vm="262">
        <f t="array" aca="1" ref="D132" ca="1">_xlfn.STOCKHISTORY(C132,$J$1,$J$1,0,0,1)</f>
        <v>195.51</v>
      </c>
      <c r="E132" s="1">
        <f t="shared" ca="1" si="5"/>
        <v>187.82703703703706</v>
      </c>
      <c r="F132" s="2">
        <f t="shared" ca="1" si="6"/>
        <v>1.0409044570162067</v>
      </c>
      <c r="G132" t="str" cm="1">
        <f t="array" aca="1" ref="G132" ca="1">_FV(C132,"Industrie")</f>
        <v>Healthcare Providers &amp; Services</v>
      </c>
    </row>
    <row r="133" spans="1:7" x14ac:dyDescent="0.2">
      <c r="A133">
        <v>132</v>
      </c>
      <c r="C133" t="e" vm="263">
        <v>#VALUE!</v>
      </c>
      <c r="D133" s="1" cm="1" vm="264">
        <f t="array" aca="1" ref="D133" ca="1">_xlfn.STOCKHISTORY(C133,$J$1,$J$1,0,0,1)</f>
        <v>1053.01</v>
      </c>
      <c r="E133" s="1">
        <f t="shared" ca="1" si="5"/>
        <v>1012.2090740740741</v>
      </c>
      <c r="F133" s="2">
        <f t="shared" ca="1" si="6"/>
        <v>1.040308792887723</v>
      </c>
      <c r="G133" t="str" cm="1">
        <f t="array" aca="1" ref="G133" ca="1">_FV(C133,"Industrie")</f>
        <v>Semiconductors &amp; Semiconductor Equipment</v>
      </c>
    </row>
    <row r="134" spans="1:7" x14ac:dyDescent="0.2">
      <c r="A134">
        <v>133</v>
      </c>
      <c r="C134" t="e" vm="265">
        <v>#VALUE!</v>
      </c>
      <c r="D134" s="1" cm="1" vm="266">
        <f t="array" aca="1" ref="D134" ca="1">_xlfn.STOCKHISTORY(C134,$J$1,$J$1,0,0,1)</f>
        <v>22.22</v>
      </c>
      <c r="E134" s="1">
        <f t="shared" ca="1" si="5"/>
        <v>21.365925925925925</v>
      </c>
      <c r="F134" s="2">
        <f t="shared" ca="1" si="6"/>
        <v>1.0399736513659688</v>
      </c>
      <c r="G134" t="str" cm="1">
        <f t="array" aca="1" ref="G134" ca="1">_FV(C134,"Industrie")</f>
        <v>Residential &amp; Commercial REIT</v>
      </c>
    </row>
    <row r="135" spans="1:7" x14ac:dyDescent="0.2">
      <c r="A135">
        <v>134</v>
      </c>
      <c r="C135" t="e" vm="267">
        <v>#VALUE!</v>
      </c>
      <c r="D135" s="1" cm="1" vm="268">
        <f t="array" aca="1" ref="D135" ca="1">_xlfn.STOCKHISTORY(C135,$J$1,$J$1,0,0,1)</f>
        <v>95.55</v>
      </c>
      <c r="E135" s="1">
        <f t="shared" ca="1" si="5"/>
        <v>91.920370370370378</v>
      </c>
      <c r="F135" s="2">
        <f t="shared" ca="1" si="6"/>
        <v>1.0394866732477788</v>
      </c>
      <c r="G135" t="str" cm="1">
        <f t="array" aca="1" ref="G135" ca="1">_FV(C135,"Industrie")</f>
        <v>Electrical Utilities &amp; IPPs</v>
      </c>
    </row>
    <row r="136" spans="1:7" x14ac:dyDescent="0.2">
      <c r="A136">
        <v>135</v>
      </c>
      <c r="C136" t="e" vm="269">
        <v>#VALUE!</v>
      </c>
      <c r="D136" s="1" cm="1" vm="270">
        <f t="array" aca="1" ref="D136" ca="1">_xlfn.STOCKHISTORY(C136,$J$1,$J$1,0,0,1)</f>
        <v>108.72</v>
      </c>
      <c r="E136" s="1">
        <f t="shared" ca="1" si="5"/>
        <v>104.64444444444443</v>
      </c>
      <c r="F136" s="2">
        <f t="shared" ca="1" si="6"/>
        <v>1.0389466978126991</v>
      </c>
      <c r="G136" t="str" cm="1">
        <f t="array" aca="1" ref="G136" ca="1">_FV(C136,"Industrie")</f>
        <v>Multiline Utilities</v>
      </c>
    </row>
    <row r="137" spans="1:7" x14ac:dyDescent="0.2">
      <c r="A137">
        <v>136</v>
      </c>
      <c r="C137" t="e" vm="271">
        <v>#VALUE!</v>
      </c>
      <c r="D137" s="1" cm="1" vm="272">
        <f t="array" aca="1" ref="D137" ca="1">_xlfn.STOCKHISTORY(C137,$J$1,$J$1,0,0,1)</f>
        <v>273</v>
      </c>
      <c r="E137" s="1">
        <f t="shared" ca="1" si="5"/>
        <v>262.8062962962963</v>
      </c>
      <c r="F137" s="2">
        <f t="shared" ca="1" si="6"/>
        <v>1.0387878975784164</v>
      </c>
      <c r="G137" t="str" cm="1">
        <f t="array" aca="1" ref="G137" ca="1">_FV(C137,"Industrie")</f>
        <v>Investment Banking &amp; Investment Services</v>
      </c>
    </row>
    <row r="138" spans="1:7" x14ac:dyDescent="0.2">
      <c r="A138">
        <v>137</v>
      </c>
      <c r="C138" t="e" vm="273">
        <v>#VALUE!</v>
      </c>
      <c r="D138" s="1" cm="1" vm="274">
        <f t="array" aca="1" ref="D138" ca="1">_xlfn.STOCKHISTORY(C138,$J$1,$J$1,0,0,1)</f>
        <v>76.209999999999994</v>
      </c>
      <c r="E138" s="1">
        <f t="shared" ca="1" si="5"/>
        <v>73.387777777777785</v>
      </c>
      <c r="F138" s="2">
        <f t="shared" ca="1" si="6"/>
        <v>1.0384562975972382</v>
      </c>
      <c r="G138" t="str" cm="1">
        <f t="array" aca="1" ref="G138" ca="1">_FV(C138,"Industrie")</f>
        <v>Multiline Utilities</v>
      </c>
    </row>
    <row r="139" spans="1:7" x14ac:dyDescent="0.2">
      <c r="A139">
        <v>138</v>
      </c>
      <c r="C139" t="e" vm="275">
        <v>#VALUE!</v>
      </c>
      <c r="D139" s="1" cm="1" vm="276">
        <f t="array" aca="1" ref="D139" ca="1">_xlfn.STOCKHISTORY(C139,$J$1,$J$1,0,0,1)</f>
        <v>58.35</v>
      </c>
      <c r="E139" s="1">
        <f t="shared" ca="1" si="5"/>
        <v>56.189259259259245</v>
      </c>
      <c r="F139" s="2">
        <f t="shared" ca="1" si="6"/>
        <v>1.0384546934632297</v>
      </c>
      <c r="G139" t="str" cm="1">
        <f t="array" aca="1" ref="G139" ca="1">_FV(C139,"Industrie")</f>
        <v>Semiconductors &amp; Semiconductor Equipment</v>
      </c>
    </row>
    <row r="140" spans="1:7" x14ac:dyDescent="0.2">
      <c r="A140">
        <v>139</v>
      </c>
      <c r="C140" t="e" vm="277">
        <v>#VALUE!</v>
      </c>
      <c r="D140" s="1" cm="1" vm="278">
        <f t="array" aca="1" ref="D140" ca="1">_xlfn.STOCKHISTORY(C140,$J$1,$J$1,0,0,1)</f>
        <v>37.840000000000003</v>
      </c>
      <c r="E140" s="1">
        <f t="shared" ca="1" si="5"/>
        <v>36.444074074074081</v>
      </c>
      <c r="F140" s="2">
        <f t="shared" ca="1" si="6"/>
        <v>1.0383032347889714</v>
      </c>
      <c r="G140" t="str" cm="1">
        <f t="array" aca="1" ref="G140" ca="1">_FV(C140,"Industrie")</f>
        <v>Renewable Energy</v>
      </c>
    </row>
    <row r="141" spans="1:7" x14ac:dyDescent="0.2">
      <c r="A141">
        <v>140</v>
      </c>
      <c r="C141" t="e" vm="279">
        <v>#VALUE!</v>
      </c>
      <c r="D141" s="1" cm="1" vm="280">
        <f t="array" aca="1" ref="D141" ca="1">_xlfn.STOCKHISTORY(C141,$J$1,$J$1,0,0,1)</f>
        <v>593.30999999999995</v>
      </c>
      <c r="E141" s="1">
        <f t="shared" ca="1" si="5"/>
        <v>572.74777777777774</v>
      </c>
      <c r="F141" s="2">
        <f t="shared" ca="1" si="6"/>
        <v>1.0359010074242492</v>
      </c>
      <c r="G141" t="str" cm="1">
        <f t="array" aca="1" ref="G141" ca="1">_FV(C141,"Industrie")</f>
        <v>Electronic Equipment &amp; Parts</v>
      </c>
    </row>
    <row r="142" spans="1:7" x14ac:dyDescent="0.2">
      <c r="A142">
        <v>141</v>
      </c>
      <c r="C142" t="e" vm="281">
        <v>#VALUE!</v>
      </c>
      <c r="D142" s="1" cm="1" vm="282">
        <f t="array" aca="1" ref="D142" ca="1">_xlfn.STOCKHISTORY(C142,$J$1,$J$1,0,0,1)</f>
        <v>293.77999999999997</v>
      </c>
      <c r="E142" s="1">
        <f t="shared" ca="1" si="5"/>
        <v>283.76481481481483</v>
      </c>
      <c r="F142" s="2">
        <f t="shared" ca="1" si="6"/>
        <v>1.0352939640938961</v>
      </c>
      <c r="G142" t="str" cm="1">
        <f t="array" aca="1" ref="G142" ca="1">_FV(C142,"Industrie")</f>
        <v>Investment Banking &amp; Investment Services</v>
      </c>
    </row>
    <row r="143" spans="1:7" x14ac:dyDescent="0.2">
      <c r="A143">
        <v>142</v>
      </c>
      <c r="C143" t="e" vm="283">
        <v>#VALUE!</v>
      </c>
      <c r="D143" s="1" cm="1" vm="284">
        <f t="array" aca="1" ref="D143" ca="1">_xlfn.STOCKHISTORY(C143,$J$1,$J$1,0,0,1)</f>
        <v>134.25</v>
      </c>
      <c r="E143" s="1">
        <f t="shared" ca="1" si="5"/>
        <v>129.85777777777773</v>
      </c>
      <c r="F143" s="2">
        <f t="shared" ca="1" si="6"/>
        <v>1.0338233280854272</v>
      </c>
      <c r="G143" t="str" cm="1">
        <f t="array" aca="1" ref="G143" ca="1">_FV(C143,"Industrie")</f>
        <v>Pharmaceuticals</v>
      </c>
    </row>
    <row r="144" spans="1:7" x14ac:dyDescent="0.2">
      <c r="A144">
        <v>143</v>
      </c>
      <c r="C144" t="e" vm="285">
        <v>#VALUE!</v>
      </c>
      <c r="D144" s="1" cm="1" vm="286">
        <f t="array" aca="1" ref="D144" ca="1">_xlfn.STOCKHISTORY(C144,$J$1,$J$1,0,0,1)</f>
        <v>71.010000000000005</v>
      </c>
      <c r="E144" s="1">
        <f t="shared" ca="1" si="5"/>
        <v>68.81</v>
      </c>
      <c r="F144" s="2">
        <f t="shared" ca="1" si="6"/>
        <v>1.031972097078913</v>
      </c>
      <c r="G144" t="str" cm="1">
        <f t="array" aca="1" ref="G144" ca="1">_FV(C144,"Industrie")</f>
        <v>Food &amp; Tobacco</v>
      </c>
    </row>
    <row r="145" spans="1:7" x14ac:dyDescent="0.2">
      <c r="A145">
        <v>144</v>
      </c>
      <c r="C145" t="e" vm="287">
        <v>#VALUE!</v>
      </c>
      <c r="D145" s="1" cm="1" vm="288">
        <f t="array" aca="1" ref="D145" ca="1">_xlfn.STOCKHISTORY(C145,$J$1,$J$1,0,0,1)</f>
        <v>206.58</v>
      </c>
      <c r="E145" s="1">
        <f t="shared" ca="1" si="5"/>
        <v>200.2107407407407</v>
      </c>
      <c r="F145" s="2">
        <f t="shared" ca="1" si="6"/>
        <v>1.0318127750573935</v>
      </c>
      <c r="G145" t="str" cm="1">
        <f t="array" aca="1" ref="G145" ca="1">_FV(C145,"Industrie")</f>
        <v>Pharmaceuticals</v>
      </c>
    </row>
    <row r="146" spans="1:7" x14ac:dyDescent="0.2">
      <c r="A146">
        <v>145</v>
      </c>
      <c r="C146" t="e" vm="289">
        <v>#VALUE!</v>
      </c>
      <c r="D146" s="1" cm="1" vm="290">
        <f t="array" aca="1" ref="D146" ca="1">_xlfn.STOCKHISTORY(C146,$J$1,$J$1,0,0,1)</f>
        <v>37.65</v>
      </c>
      <c r="E146" s="1">
        <f t="shared" ca="1" si="5"/>
        <v>36.516666666666666</v>
      </c>
      <c r="F146" s="2">
        <f t="shared" ca="1" si="6"/>
        <v>1.031036056595162</v>
      </c>
      <c r="G146" t="str" cm="1">
        <f t="array" aca="1" ref="G146" ca="1">_FV(C146,"Industrie")</f>
        <v>Multiline Utilities</v>
      </c>
    </row>
    <row r="147" spans="1:7" x14ac:dyDescent="0.2">
      <c r="A147">
        <v>146</v>
      </c>
      <c r="C147" t="e" vm="291">
        <v>#VALUE!</v>
      </c>
      <c r="D147" s="1" cm="1" vm="292">
        <f t="array" aca="1" ref="D147" ca="1">_xlfn.STOCKHISTORY(C147,$J$1,$J$1,0,0,1)</f>
        <v>281.98</v>
      </c>
      <c r="E147" s="1">
        <f t="shared" ca="1" si="5"/>
        <v>273.66629629629631</v>
      </c>
      <c r="F147" s="2">
        <f t="shared" ca="1" si="6"/>
        <v>1.0303789827838445</v>
      </c>
      <c r="G147" t="str" cm="1">
        <f t="array" aca="1" ref="G147" ca="1">_FV(C147,"Industrie")</f>
        <v>Software &amp; IT Services</v>
      </c>
    </row>
    <row r="148" spans="1:7" x14ac:dyDescent="0.2">
      <c r="A148">
        <v>147</v>
      </c>
      <c r="C148" t="e" vm="293">
        <v>#VALUE!</v>
      </c>
      <c r="D148" s="1" cm="1" vm="294">
        <f t="array" aca="1" ref="D148" ca="1">_xlfn.STOCKHISTORY(C148,$J$1,$J$1,0,0,1)</f>
        <v>44.95</v>
      </c>
      <c r="E148" s="1">
        <f t="shared" ca="1" si="5"/>
        <v>43.641111111111115</v>
      </c>
      <c r="F148" s="2">
        <f t="shared" ca="1" si="6"/>
        <v>1.0299921073401737</v>
      </c>
      <c r="G148" t="str" cm="1">
        <f t="array" aca="1" ref="G148" ca="1">_FV(C148,"Industrie")</f>
        <v>Machinery, Equipment &amp; Components</v>
      </c>
    </row>
    <row r="149" spans="1:7" x14ac:dyDescent="0.2">
      <c r="A149">
        <v>148</v>
      </c>
      <c r="C149" t="e" vm="295">
        <v>#VALUE!</v>
      </c>
      <c r="D149" s="1" cm="1" vm="296">
        <f t="array" aca="1" ref="D149" ca="1">_xlfn.STOCKHISTORY(C149,$J$1,$J$1,0,0,1)</f>
        <v>74.3</v>
      </c>
      <c r="E149" s="1">
        <f t="shared" ca="1" si="5"/>
        <v>72.154259259259263</v>
      </c>
      <c r="F149" s="2">
        <f t="shared" ca="1" si="6"/>
        <v>1.029738240857422</v>
      </c>
      <c r="G149" t="str" cm="1">
        <f t="array" aca="1" ref="G149" ca="1">_FV(C149,"Industrie")</f>
        <v>Residential &amp; Commercial REIT</v>
      </c>
    </row>
    <row r="150" spans="1:7" x14ac:dyDescent="0.2">
      <c r="A150">
        <v>149</v>
      </c>
      <c r="C150" t="e" vm="297">
        <v>#VALUE!</v>
      </c>
      <c r="D150" s="1" cm="1" vm="298">
        <f t="array" aca="1" ref="D150" ca="1">_xlfn.STOCKHISTORY(C150,$J$1,$J$1,0,0,1)</f>
        <v>1057.07</v>
      </c>
      <c r="E150" s="1">
        <f t="shared" ca="1" si="5"/>
        <v>1026.7577777777778</v>
      </c>
      <c r="F150" s="2">
        <f t="shared" ca="1" si="6"/>
        <v>1.029522271833019</v>
      </c>
      <c r="G150" t="str" cm="1">
        <f t="array" aca="1" ref="G150" ca="1">_FV(C150,"Industrie")</f>
        <v>Machinery, Equipment &amp; Components</v>
      </c>
    </row>
    <row r="151" spans="1:7" x14ac:dyDescent="0.2">
      <c r="A151">
        <v>150</v>
      </c>
      <c r="C151" t="e" vm="299">
        <v>#VALUE!</v>
      </c>
      <c r="D151" s="1" cm="1" vm="300">
        <f t="array" aca="1" ref="D151" ca="1">_xlfn.STOCKHISTORY(C151,$J$1,$J$1,0,0,1)</f>
        <v>737.71</v>
      </c>
      <c r="E151" s="1">
        <f t="shared" ca="1" si="5"/>
        <v>717.15407407407395</v>
      </c>
      <c r="F151" s="2">
        <f t="shared" ca="1" si="6"/>
        <v>1.0286631934043826</v>
      </c>
      <c r="G151" t="str" cm="1">
        <f t="array" aca="1" ref="G151" ca="1">_FV(C151,"Industrie")</f>
        <v>Pharmaceuticals</v>
      </c>
    </row>
    <row r="152" spans="1:7" x14ac:dyDescent="0.2">
      <c r="A152">
        <v>151</v>
      </c>
      <c r="C152" t="e" vm="301">
        <v>#VALUE!</v>
      </c>
      <c r="D152" s="1" cm="1" vm="302">
        <f t="array" aca="1" ref="D152" ca="1">_xlfn.STOCKHISTORY(C152,$J$1,$J$1,0,0,1)</f>
        <v>294.04000000000002</v>
      </c>
      <c r="E152" s="1">
        <f t="shared" ca="1" si="5"/>
        <v>286.28851851851852</v>
      </c>
      <c r="F152" s="2">
        <f t="shared" ca="1" si="6"/>
        <v>1.0270757679057259</v>
      </c>
      <c r="G152" t="str" cm="1">
        <f t="array" aca="1" ref="G152" ca="1">_FV(C152,"Industrie")</f>
        <v>Hotels &amp; Entertainment Services</v>
      </c>
    </row>
    <row r="153" spans="1:7" x14ac:dyDescent="0.2">
      <c r="A153">
        <v>152</v>
      </c>
      <c r="C153" t="e" vm="303">
        <v>#VALUE!</v>
      </c>
      <c r="D153" s="1" cm="1" vm="304">
        <f t="array" aca="1" ref="D153" ca="1">_xlfn.STOCKHISTORY(C153,$J$1,$J$1,0,0,1)</f>
        <v>81.8</v>
      </c>
      <c r="E153" s="1">
        <f t="shared" ca="1" si="5"/>
        <v>79.664814814814804</v>
      </c>
      <c r="F153" s="2">
        <f t="shared" ca="1" si="6"/>
        <v>1.0268021106952743</v>
      </c>
      <c r="G153" t="str" cm="1">
        <f t="array" aca="1" ref="G153" ca="1">_FV(C153,"Industrie")</f>
        <v>Food &amp; Drug Retailing</v>
      </c>
    </row>
    <row r="154" spans="1:7" x14ac:dyDescent="0.2">
      <c r="A154">
        <v>153</v>
      </c>
      <c r="C154" t="e" vm="305">
        <v>#VALUE!</v>
      </c>
      <c r="D154" s="1" cm="1" vm="306">
        <f t="array" aca="1" ref="D154" ca="1">_xlfn.STOCKHISTORY(C154,$J$1,$J$1,0,0,1)</f>
        <v>136.86000000000001</v>
      </c>
      <c r="E154" s="1">
        <f t="shared" ca="1" si="5"/>
        <v>133.39185185185184</v>
      </c>
      <c r="F154" s="2">
        <f t="shared" ca="1" si="6"/>
        <v>1.025999700131609</v>
      </c>
      <c r="G154" t="str" cm="1">
        <f t="array" aca="1" ref="G154" ca="1">_FV(C154,"Industrie")</f>
        <v>Water Utilities</v>
      </c>
    </row>
    <row r="155" spans="1:7" x14ac:dyDescent="0.2">
      <c r="A155">
        <v>154</v>
      </c>
      <c r="C155" t="e" vm="307">
        <v>#VALUE!</v>
      </c>
      <c r="D155" s="1" cm="1" vm="308">
        <f t="array" aca="1" ref="D155" ca="1">_xlfn.STOCKHISTORY(C155,$J$1,$J$1,0,0,1)</f>
        <v>523.24</v>
      </c>
      <c r="E155" s="1">
        <f t="shared" ca="1" si="5"/>
        <v>510.33814814814826</v>
      </c>
      <c r="F155" s="2">
        <f t="shared" ca="1" si="6"/>
        <v>1.0252809865354342</v>
      </c>
      <c r="G155" t="str" cm="1">
        <f t="array" aca="1" ref="G155" ca="1">_FV(C155,"Industrie")</f>
        <v>Automobiles &amp; Auto Parts</v>
      </c>
    </row>
    <row r="156" spans="1:7" x14ac:dyDescent="0.2">
      <c r="A156">
        <v>155</v>
      </c>
      <c r="C156" t="e" vm="309">
        <v>#VALUE!</v>
      </c>
      <c r="D156" s="1" cm="1" vm="310">
        <f t="array" aca="1" ref="D156" ca="1">_xlfn.STOCKHISTORY(C156,$J$1,$J$1,0,0,1)</f>
        <v>17.52</v>
      </c>
      <c r="E156" s="1">
        <f t="shared" ca="1" si="5"/>
        <v>17.094814814814814</v>
      </c>
      <c r="F156" s="2">
        <f t="shared" ca="1" si="6"/>
        <v>1.0248721726319439</v>
      </c>
      <c r="G156" t="str" cm="1">
        <f t="array" aca="1" ref="G156" ca="1">_FV(C156,"Industrie")</f>
        <v>Personal &amp; Household Products &amp; Services</v>
      </c>
    </row>
    <row r="157" spans="1:7" x14ac:dyDescent="0.2">
      <c r="A157">
        <v>156</v>
      </c>
      <c r="C157" t="e" vm="311">
        <v>#VALUE!</v>
      </c>
      <c r="D157" s="1" cm="1" vm="312">
        <f t="array" aca="1" ref="D157" ca="1">_xlfn.STOCKHISTORY(C157,$J$1,$J$1,0,0,1)</f>
        <v>190.33</v>
      </c>
      <c r="E157" s="1">
        <f t="shared" ca="1" si="5"/>
        <v>185.76518518518515</v>
      </c>
      <c r="F157" s="2">
        <f t="shared" ca="1" si="6"/>
        <v>1.0245730372473416</v>
      </c>
      <c r="G157" t="str" cm="1">
        <f t="array" aca="1" ref="G157" ca="1">_FV(C157,"Industrie")</f>
        <v>Semiconductors &amp; Semiconductor Equipment</v>
      </c>
    </row>
    <row r="158" spans="1:7" x14ac:dyDescent="0.2">
      <c r="A158">
        <v>157</v>
      </c>
      <c r="C158" t="e" vm="313">
        <v>#VALUE!</v>
      </c>
      <c r="D158" s="1" cm="1" vm="314">
        <f t="array" aca="1" ref="D158" ca="1">_xlfn.STOCKHISTORY(C158,$J$1,$J$1,0,0,1)</f>
        <v>189.71</v>
      </c>
      <c r="E158" s="1">
        <f t="shared" ca="1" si="5"/>
        <v>185.17555555555558</v>
      </c>
      <c r="F158" s="2">
        <f t="shared" ca="1" si="6"/>
        <v>1.0244872733382135</v>
      </c>
      <c r="G158" t="str" cm="1">
        <f t="array" aca="1" ref="G158" ca="1">_FV(C158,"Industrie")</f>
        <v>Aerospace &amp; Defense</v>
      </c>
    </row>
    <row r="159" spans="1:7" x14ac:dyDescent="0.2">
      <c r="A159">
        <v>158</v>
      </c>
      <c r="C159" t="e" vm="315">
        <v>#VALUE!</v>
      </c>
      <c r="D159" s="1" cm="1" vm="316">
        <f t="array" aca="1" ref="D159" ca="1">_xlfn.STOCKHISTORY(C159,$J$1,$J$1,0,0,1)</f>
        <v>75.67</v>
      </c>
      <c r="E159" s="1">
        <f t="shared" ca="1" si="5"/>
        <v>73.885555555555555</v>
      </c>
      <c r="F159" s="2">
        <f t="shared" ca="1" si="6"/>
        <v>1.0241514654796458</v>
      </c>
      <c r="G159" t="str" cm="1">
        <f t="array" aca="1" ref="G159" ca="1">_FV(C159,"Industrie")</f>
        <v>Healthcare Equipment &amp; Supplies</v>
      </c>
    </row>
    <row r="160" spans="1:7" x14ac:dyDescent="0.2">
      <c r="A160">
        <v>159</v>
      </c>
      <c r="C160" t="e" vm="317">
        <v>#VALUE!</v>
      </c>
      <c r="D160" s="1" cm="1" vm="318">
        <f t="array" aca="1" ref="D160" ca="1">_xlfn.STOCKHISTORY(C160,$J$1,$J$1,0,0,1)</f>
        <v>4.22</v>
      </c>
      <c r="E160" s="1">
        <f t="shared" ca="1" si="5"/>
        <v>4.123333333333334</v>
      </c>
      <c r="F160" s="2">
        <f t="shared" ca="1" si="6"/>
        <v>1.0234438156831041</v>
      </c>
      <c r="G160" t="str" cm="1">
        <f t="array" aca="1" ref="G160" ca="1">_FV(C160,"Industrie")</f>
        <v>Machinery, Equipment &amp; Components</v>
      </c>
    </row>
    <row r="161" spans="1:7" x14ac:dyDescent="0.2">
      <c r="A161">
        <v>160</v>
      </c>
      <c r="C161" t="e" vm="319">
        <v>#VALUE!</v>
      </c>
      <c r="D161" s="1" cm="1" vm="320">
        <f t="array" aca="1" ref="D161" ca="1">_xlfn.STOCKHISTORY(C161,$J$1,$J$1,0,0,1)</f>
        <v>155.12</v>
      </c>
      <c r="E161" s="1">
        <f t="shared" ca="1" si="5"/>
        <v>151.60925925925926</v>
      </c>
      <c r="F161" s="2">
        <f t="shared" ca="1" si="6"/>
        <v>1.0231565061256398</v>
      </c>
      <c r="G161" t="str" cm="1">
        <f t="array" aca="1" ref="G161" ca="1">_FV(C161,"Industrie")</f>
        <v>Diversified Retail</v>
      </c>
    </row>
    <row r="162" spans="1:7" x14ac:dyDescent="0.2">
      <c r="A162">
        <v>161</v>
      </c>
      <c r="C162" t="e" vm="321">
        <v>#VALUE!</v>
      </c>
      <c r="D162" s="1" cm="1" vm="322">
        <f t="array" aca="1" ref="D162" ca="1">_xlfn.STOCKHISTORY(C162,$J$1,$J$1,0,0,1)</f>
        <v>195.77</v>
      </c>
      <c r="E162" s="1">
        <f t="shared" ca="1" si="5"/>
        <v>191.45518518518517</v>
      </c>
      <c r="F162" s="2">
        <f t="shared" ca="1" si="6"/>
        <v>1.0225369441451342</v>
      </c>
      <c r="G162" t="str" cm="1">
        <f t="array" aca="1" ref="G162" ca="1">_FV(C162,"Industrie")</f>
        <v>Residential &amp; Commercial REIT</v>
      </c>
    </row>
    <row r="163" spans="1:7" x14ac:dyDescent="0.2">
      <c r="A163">
        <v>162</v>
      </c>
      <c r="C163" t="e" vm="323">
        <v>#VALUE!</v>
      </c>
      <c r="D163" s="1" cm="1" vm="324">
        <f t="array" aca="1" ref="D163" ca="1">_xlfn.STOCKHISTORY(C163,$J$1,$J$1,0,0,1)</f>
        <v>112.75</v>
      </c>
      <c r="E163" s="1">
        <f t="shared" ca="1" si="5"/>
        <v>110.47667037037037</v>
      </c>
      <c r="F163" s="2">
        <f t="shared" ca="1" si="6"/>
        <v>1.0205774632961724</v>
      </c>
      <c r="G163" t="str" cm="1">
        <f t="array" aca="1" ref="G163" ca="1">_FV(C163,"Industrie")</f>
        <v>Machinery, Equipment &amp; Components</v>
      </c>
    </row>
    <row r="164" spans="1:7" x14ac:dyDescent="0.2">
      <c r="A164">
        <v>163</v>
      </c>
      <c r="C164" t="e" vm="325">
        <v>#VALUE!</v>
      </c>
      <c r="D164" s="1" cm="1" vm="326">
        <f t="array" aca="1" ref="D164" ca="1">_xlfn.STOCKHISTORY(C164,$J$1,$J$1,0,0,1)</f>
        <v>186.55</v>
      </c>
      <c r="E164" s="1">
        <f t="shared" ca="1" si="5"/>
        <v>182.84518518518519</v>
      </c>
      <c r="F164" s="2">
        <f t="shared" ca="1" si="6"/>
        <v>1.0202620310240196</v>
      </c>
      <c r="G164" t="str" cm="1">
        <f t="array" aca="1" ref="G164" ca="1">_FV(C164,"Industrie")</f>
        <v>Machinery, Equipment &amp; Components</v>
      </c>
    </row>
    <row r="165" spans="1:7" x14ac:dyDescent="0.2">
      <c r="A165">
        <v>164</v>
      </c>
      <c r="C165" t="e" vm="327">
        <v>#VALUE!</v>
      </c>
      <c r="D165" s="1" cm="1" vm="328">
        <f t="array" aca="1" ref="D165" ca="1">_xlfn.STOCKHISTORY(C165,$J$1,$J$1,0,0,1)</f>
        <v>98.3</v>
      </c>
      <c r="E165" s="1">
        <f t="shared" ca="1" si="5"/>
        <v>96.487777777777779</v>
      </c>
      <c r="F165" s="2">
        <f t="shared" ca="1" si="6"/>
        <v>1.018781883715842</v>
      </c>
      <c r="G165" t="str" cm="1">
        <f t="array" aca="1" ref="G165" ca="1">_FV(C165,"Industrie")</f>
        <v>Residential &amp; Commercial REIT</v>
      </c>
    </row>
    <row r="166" spans="1:7" x14ac:dyDescent="0.2">
      <c r="A166">
        <v>165</v>
      </c>
      <c r="C166" t="e" vm="329">
        <v>#VALUE!</v>
      </c>
      <c r="D166" s="1" cm="1" vm="330">
        <f t="array" aca="1" ref="D166" ca="1">_xlfn.STOCKHISTORY(C166,$J$1,$J$1,0,0,1)</f>
        <v>163.37</v>
      </c>
      <c r="E166" s="1">
        <f t="shared" ca="1" si="5"/>
        <v>160.68185185185186</v>
      </c>
      <c r="F166" s="2">
        <f t="shared" ca="1" si="6"/>
        <v>1.0167296313626419</v>
      </c>
      <c r="G166" t="str" cm="1">
        <f t="array" aca="1" ref="G166" ca="1">_FV(C166,"Industrie")</f>
        <v>Metals &amp; Mining</v>
      </c>
    </row>
    <row r="167" spans="1:7" x14ac:dyDescent="0.2">
      <c r="A167">
        <v>166</v>
      </c>
      <c r="C167" t="e" vm="331">
        <v>#VALUE!</v>
      </c>
      <c r="D167" s="1" cm="1" vm="332">
        <f t="array" aca="1" ref="D167" ca="1">_xlfn.STOCKHISTORY(C167,$J$1,$J$1,0,0,1)</f>
        <v>102.87</v>
      </c>
      <c r="E167" s="1">
        <f t="shared" ca="1" si="5"/>
        <v>101.28222222222222</v>
      </c>
      <c r="F167" s="2">
        <f t="shared" ca="1" si="6"/>
        <v>1.0156767667902671</v>
      </c>
      <c r="G167" t="str" cm="1">
        <f t="array" aca="1" ref="G167" ca="1">_FV(C167,"Industrie")</f>
        <v>Residential &amp; Commercial REIT</v>
      </c>
    </row>
    <row r="168" spans="1:7" x14ac:dyDescent="0.2">
      <c r="A168">
        <v>167</v>
      </c>
      <c r="C168" t="e" vm="333">
        <v>#VALUE!</v>
      </c>
      <c r="D168" s="1" cm="1" vm="334">
        <f t="array" aca="1" ref="D168" ca="1">_xlfn.STOCKHISTORY(C168,$J$1,$J$1,0,0,1)</f>
        <v>170.97</v>
      </c>
      <c r="E168" s="1">
        <f t="shared" ca="1" si="5"/>
        <v>168.37925925925927</v>
      </c>
      <c r="F168" s="2">
        <f t="shared" ca="1" si="6"/>
        <v>1.0153863412402335</v>
      </c>
      <c r="G168" t="str" cm="1">
        <f t="array" aca="1" ref="G168" ca="1">_FV(C168,"Industrie")</f>
        <v>Metals &amp; Mining</v>
      </c>
    </row>
    <row r="169" spans="1:7" x14ac:dyDescent="0.2">
      <c r="A169">
        <v>168</v>
      </c>
      <c r="C169" t="e" vm="335">
        <v>#VALUE!</v>
      </c>
      <c r="D169" s="1" cm="1" vm="336">
        <f t="array" aca="1" ref="D169" ca="1">_xlfn.STOCKHISTORY(C169,$J$1,$J$1,0,0,1)</f>
        <v>225.06</v>
      </c>
      <c r="E169" s="1">
        <f t="shared" ca="1" si="5"/>
        <v>221.672962962963</v>
      </c>
      <c r="F169" s="2">
        <f t="shared" ca="1" si="6"/>
        <v>1.0152794323302428</v>
      </c>
      <c r="G169" t="str" cm="1">
        <f t="array" aca="1" ref="G169" ca="1">_FV(C169,"Industrie")</f>
        <v>Professional &amp; Commercial Services</v>
      </c>
    </row>
    <row r="170" spans="1:7" x14ac:dyDescent="0.2">
      <c r="A170">
        <v>169</v>
      </c>
      <c r="C170" t="e" vm="337">
        <v>#VALUE!</v>
      </c>
      <c r="D170" s="1" cm="1" vm="338">
        <f t="array" aca="1" ref="D170" ca="1">_xlfn.STOCKHISTORY(C170,$J$1,$J$1,0,0,1)</f>
        <v>888.44</v>
      </c>
      <c r="E170" s="1">
        <f t="shared" ca="1" si="5"/>
        <v>875.67296296296308</v>
      </c>
      <c r="F170" s="2">
        <f t="shared" ca="1" si="6"/>
        <v>1.0145796862265084</v>
      </c>
      <c r="G170" t="str" cm="1">
        <f t="array" aca="1" ref="G170" ca="1">_FV(C170,"Industrie")</f>
        <v>Machinery, Equipment &amp; Components</v>
      </c>
    </row>
    <row r="171" spans="1:7" x14ac:dyDescent="0.2">
      <c r="A171">
        <v>170</v>
      </c>
      <c r="C171" t="e" vm="339">
        <v>#VALUE!</v>
      </c>
      <c r="D171" s="1" cm="1" vm="340">
        <f t="array" aca="1" ref="D171" ca="1">_xlfn.STOCKHISTORY(C171,$J$1,$J$1,0,0,1)</f>
        <v>153.04</v>
      </c>
      <c r="E171" s="1">
        <f t="shared" ca="1" si="5"/>
        <v>150.94444444444443</v>
      </c>
      <c r="F171" s="2">
        <f t="shared" ca="1" si="6"/>
        <v>1.0138829591461171</v>
      </c>
      <c r="G171" t="str" cm="1">
        <f t="array" aca="1" ref="G171" ca="1">_FV(C171,"Industrie")</f>
        <v>Beverages</v>
      </c>
    </row>
    <row r="172" spans="1:7" x14ac:dyDescent="0.2">
      <c r="A172">
        <v>171</v>
      </c>
      <c r="C172" t="e" vm="341">
        <v>#VALUE!</v>
      </c>
      <c r="D172" s="1" cm="1" vm="342">
        <f t="array" aca="1" ref="D172" ca="1">_xlfn.STOCKHISTORY(C172,$J$1,$J$1,0,0,1)</f>
        <v>860.16</v>
      </c>
      <c r="E172" s="1">
        <f t="shared" ca="1" si="5"/>
        <v>849.22888888888872</v>
      </c>
      <c r="F172" s="2">
        <f t="shared" ca="1" si="6"/>
        <v>1.0128718078884638</v>
      </c>
      <c r="G172" t="str" cm="1">
        <f t="array" aca="1" ref="G172" ca="1">_FV(C172,"Industrie")</f>
        <v>Pharmaceuticals</v>
      </c>
    </row>
    <row r="173" spans="1:7" x14ac:dyDescent="0.2">
      <c r="A173">
        <v>172</v>
      </c>
      <c r="C173" t="e" vm="343">
        <v>#VALUE!</v>
      </c>
      <c r="D173" s="1" cm="1" vm="344">
        <f t="array" aca="1" ref="D173" ca="1">_xlfn.STOCKHISTORY(C173,$J$1,$J$1,0,0,1)</f>
        <v>359.04</v>
      </c>
      <c r="E173" s="1">
        <f t="shared" ca="1" si="5"/>
        <v>354.6003703703704</v>
      </c>
      <c r="F173" s="2">
        <f t="shared" ca="1" si="6"/>
        <v>1.0125200930416192</v>
      </c>
      <c r="G173" t="str" cm="1">
        <f t="array" aca="1" ref="G173" ca="1">_FV(C173,"Industrie")</f>
        <v>Machinery, Equipment &amp; Components</v>
      </c>
    </row>
    <row r="174" spans="1:7" x14ac:dyDescent="0.2">
      <c r="A174">
        <v>173</v>
      </c>
      <c r="C174" t="e" vm="345">
        <v>#VALUE!</v>
      </c>
      <c r="D174" s="1" cm="1" vm="346">
        <f t="array" aca="1" ref="D174" ca="1">_xlfn.STOCKHISTORY(C174,$J$1,$J$1,0,0,1)</f>
        <v>238.79</v>
      </c>
      <c r="E174" s="1">
        <f t="shared" ca="1" si="5"/>
        <v>236.11777777777775</v>
      </c>
      <c r="F174" s="2">
        <f t="shared" ca="1" si="6"/>
        <v>1.0113173275107528</v>
      </c>
      <c r="G174" t="str" cm="1">
        <f t="array" aca="1" ref="G174" ca="1">_FV(C174,"Industrie")</f>
        <v>Freight &amp; Logistics Services</v>
      </c>
    </row>
    <row r="175" spans="1:7" x14ac:dyDescent="0.2">
      <c r="A175">
        <v>174</v>
      </c>
      <c r="C175" t="e" vm="347">
        <v>#VALUE!</v>
      </c>
      <c r="D175" s="1" cm="1" vm="348">
        <f t="array" aca="1" ref="D175" ca="1">_xlfn.STOCKHISTORY(C175,$J$1,$J$1,0,0,1)</f>
        <v>209.24</v>
      </c>
      <c r="E175" s="1">
        <f t="shared" ca="1" si="5"/>
        <v>207.02222222222221</v>
      </c>
      <c r="F175" s="2">
        <f t="shared" ca="1" si="6"/>
        <v>1.0107127522541866</v>
      </c>
      <c r="G175" t="str" cm="1">
        <f t="array" aca="1" ref="G175" ca="1">_FV(C175,"Industrie")</f>
        <v>Machinery, Equipment &amp; Components</v>
      </c>
    </row>
    <row r="176" spans="1:7" x14ac:dyDescent="0.2">
      <c r="A176">
        <v>175</v>
      </c>
      <c r="C176" t="e" vm="349">
        <v>#VALUE!</v>
      </c>
      <c r="D176" s="1" cm="1" vm="350">
        <f t="array" aca="1" ref="D176" ca="1">_xlfn.STOCKHISTORY(C176,$J$1,$J$1,0,0,1)</f>
        <v>57.78</v>
      </c>
      <c r="E176" s="1">
        <f t="shared" ca="1" si="5"/>
        <v>57.222592592592598</v>
      </c>
      <c r="F176" s="2">
        <f t="shared" ca="1" si="6"/>
        <v>1.0097410372748397</v>
      </c>
      <c r="G176" t="str" cm="1">
        <f t="array" aca="1" ref="G176" ca="1">_FV(C176,"Industrie")</f>
        <v>Banking Services</v>
      </c>
    </row>
    <row r="177" spans="1:7" x14ac:dyDescent="0.2">
      <c r="A177">
        <v>176</v>
      </c>
      <c r="C177" t="e" vm="351">
        <v>#VALUE!</v>
      </c>
      <c r="D177" s="1" cm="1" vm="352">
        <f t="array" aca="1" ref="D177" ca="1">_xlfn.STOCKHISTORY(C177,$J$1,$J$1,0,0,1)</f>
        <v>102.1</v>
      </c>
      <c r="E177" s="1">
        <f t="shared" ca="1" si="5"/>
        <v>101.13888888888889</v>
      </c>
      <c r="F177" s="2">
        <f t="shared" ca="1" si="6"/>
        <v>1.0095028838231255</v>
      </c>
      <c r="G177" t="str" cm="1">
        <f t="array" aca="1" ref="G177" ca="1">_FV(C177,"Industrie")</f>
        <v>Metals &amp; Mining</v>
      </c>
    </row>
    <row r="178" spans="1:7" x14ac:dyDescent="0.2">
      <c r="A178">
        <v>177</v>
      </c>
      <c r="C178" t="e" vm="353">
        <v>#VALUE!</v>
      </c>
      <c r="D178" s="1" cm="1" vm="354">
        <f t="array" aca="1" ref="D178" ca="1">_xlfn.STOCKHISTORY(C178,$J$1,$J$1,0,0,1)</f>
        <v>357.36</v>
      </c>
      <c r="E178" s="1">
        <f t="shared" ca="1" si="5"/>
        <v>354.09370370370374</v>
      </c>
      <c r="F178" s="2">
        <f t="shared" ca="1" si="6"/>
        <v>1.0092243840038155</v>
      </c>
      <c r="G178" t="str" cm="1">
        <f t="array" aca="1" ref="G178" ca="1">_FV(C178,"Industrie")</f>
        <v>Machinery, Equipment &amp; Components</v>
      </c>
    </row>
    <row r="179" spans="1:7" x14ac:dyDescent="0.2">
      <c r="A179">
        <v>178</v>
      </c>
      <c r="C179" t="e" vm="355">
        <v>#VALUE!</v>
      </c>
      <c r="D179" s="1" cm="1" vm="356">
        <f t="array" aca="1" ref="D179" ca="1">_xlfn.STOCKHISTORY(C179,$J$1,$J$1,0,0,1)</f>
        <v>60.69</v>
      </c>
      <c r="E179" s="1">
        <f t="shared" ca="1" si="5"/>
        <v>60.221111111111128</v>
      </c>
      <c r="F179" s="2">
        <f t="shared" ca="1" si="6"/>
        <v>1.0077861215151569</v>
      </c>
      <c r="G179" t="str" cm="1">
        <f t="array" aca="1" ref="G179" ca="1">_FV(C179,"Industrie")</f>
        <v>Residential &amp; Commercial REIT</v>
      </c>
    </row>
    <row r="180" spans="1:7" x14ac:dyDescent="0.2">
      <c r="A180">
        <v>179</v>
      </c>
      <c r="C180" t="e" vm="357">
        <v>#VALUE!</v>
      </c>
      <c r="D180" s="1" cm="1" vm="358">
        <f t="array" aca="1" ref="D180" ca="1">_xlfn.STOCKHISTORY(C180,$J$1,$J$1,0,0,1)</f>
        <v>84.29</v>
      </c>
      <c r="E180" s="1">
        <f t="shared" ca="1" si="5"/>
        <v>83.707777777777778</v>
      </c>
      <c r="F180" s="2">
        <f t="shared" ca="1" si="6"/>
        <v>1.0069554136745558</v>
      </c>
      <c r="G180" t="str" cm="1">
        <f t="array" aca="1" ref="G180" ca="1">_FV(C180,"Industrie")</f>
        <v>Personal &amp; Household Products &amp; Services</v>
      </c>
    </row>
    <row r="181" spans="1:7" x14ac:dyDescent="0.2">
      <c r="A181">
        <v>180</v>
      </c>
      <c r="C181" t="e" vm="359">
        <v>#VALUE!</v>
      </c>
      <c r="D181" s="1" cm="1" vm="360">
        <f t="array" aca="1" ref="D181" ca="1">_xlfn.STOCKHISTORY(C181,$J$1,$J$1,0,0,1)</f>
        <v>247.48</v>
      </c>
      <c r="E181" s="1">
        <f t="shared" ca="1" si="5"/>
        <v>245.98148148148144</v>
      </c>
      <c r="F181" s="2">
        <f t="shared" ca="1" si="6"/>
        <v>1.0060919972897691</v>
      </c>
      <c r="G181" t="str" cm="1">
        <f t="array" aca="1" ref="G181" ca="1">_FV(C181,"Industrie")</f>
        <v>Software &amp; IT Services</v>
      </c>
    </row>
    <row r="182" spans="1:7" x14ac:dyDescent="0.2">
      <c r="A182">
        <v>181</v>
      </c>
      <c r="C182" t="e" vm="361">
        <v>#VALUE!</v>
      </c>
      <c r="D182" s="1" cm="1" vm="362">
        <f t="array" aca="1" ref="D182" ca="1">_xlfn.STOCKHISTORY(C182,$J$1,$J$1,0,0,1)</f>
        <v>64.83</v>
      </c>
      <c r="E182" s="1">
        <f t="shared" ca="1" si="5"/>
        <v>64.440370370370374</v>
      </c>
      <c r="F182" s="2">
        <f t="shared" ca="1" si="6"/>
        <v>1.0060463592525963</v>
      </c>
      <c r="G182" t="str" cm="1">
        <f t="array" aca="1" ref="G182" ca="1">_FV(C182,"Industrie")</f>
        <v>Passenger Transportation Services</v>
      </c>
    </row>
    <row r="183" spans="1:7" x14ac:dyDescent="0.2">
      <c r="A183">
        <v>182</v>
      </c>
      <c r="C183" t="e" vm="363">
        <v>#VALUE!</v>
      </c>
      <c r="D183" s="1" cm="1" vm="364">
        <f t="array" aca="1" ref="D183" ca="1">_xlfn.STOCKHISTORY(C183,$J$1,$J$1,0,0,1)</f>
        <v>114.66</v>
      </c>
      <c r="E183" s="1">
        <f t="shared" ca="1" si="5"/>
        <v>114.10629629629628</v>
      </c>
      <c r="F183" s="2">
        <f t="shared" ca="1" si="6"/>
        <v>1.0048525254230138</v>
      </c>
      <c r="G183" t="str" cm="1">
        <f t="array" aca="1" ref="G183" ca="1">_FV(C183,"Industrie")</f>
        <v>Investment Banking &amp; Investment Services</v>
      </c>
    </row>
    <row r="184" spans="1:7" x14ac:dyDescent="0.2">
      <c r="A184">
        <v>183</v>
      </c>
      <c r="C184" t="e" vm="365">
        <v>#VALUE!</v>
      </c>
      <c r="D184" s="1" cm="1" vm="366">
        <f t="array" aca="1" ref="D184" ca="1">_xlfn.STOCKHISTORY(C184,$J$1,$J$1,0,0,1)</f>
        <v>153.96</v>
      </c>
      <c r="E184" s="1">
        <f t="shared" ca="1" si="5"/>
        <v>153.32111111111109</v>
      </c>
      <c r="F184" s="2">
        <f t="shared" ca="1" si="6"/>
        <v>1.0041669988187465</v>
      </c>
      <c r="G184" t="str" cm="1">
        <f t="array" aca="1" ref="G184" ca="1">_FV(C184,"Industrie")</f>
        <v>Hotels &amp; Entertainment Services</v>
      </c>
    </row>
    <row r="185" spans="1:7" x14ac:dyDescent="0.2">
      <c r="A185">
        <v>184</v>
      </c>
      <c r="C185" t="e" vm="367">
        <v>#VALUE!</v>
      </c>
      <c r="D185" s="1" cm="1" vm="368">
        <f t="array" aca="1" ref="D185" ca="1">_xlfn.STOCKHISTORY(C185,$J$1,$J$1,0,0,1)</f>
        <v>128.9</v>
      </c>
      <c r="E185" s="1">
        <f t="shared" ca="1" si="5"/>
        <v>128.38888888888889</v>
      </c>
      <c r="F185" s="2">
        <f t="shared" ca="1" si="6"/>
        <v>1.0039809606231069</v>
      </c>
      <c r="G185" t="str" cm="1">
        <f t="array" aca="1" ref="G185" ca="1">_FV(C185,"Industrie")</f>
        <v>Residential &amp; Commercial REIT</v>
      </c>
    </row>
    <row r="186" spans="1:7" x14ac:dyDescent="0.2">
      <c r="A186">
        <v>185</v>
      </c>
      <c r="C186" t="e" vm="369">
        <v>#VALUE!</v>
      </c>
      <c r="D186" s="1" cm="1" vm="370">
        <f t="array" aca="1" ref="D186" ca="1">_xlfn.STOCKHISTORY(C186,$J$1,$J$1,0,0,1)</f>
        <v>116.22</v>
      </c>
      <c r="E186" s="1">
        <f t="shared" ca="1" si="5"/>
        <v>115.7711111111111</v>
      </c>
      <c r="F186" s="2">
        <f t="shared" ca="1" si="6"/>
        <v>1.0038773825748124</v>
      </c>
      <c r="G186" t="str" cm="1">
        <f t="array" aca="1" ref="G186" ca="1">_FV(C186,"Industrie")</f>
        <v>Healthcare Equipment &amp; Supplies</v>
      </c>
    </row>
    <row r="187" spans="1:7" x14ac:dyDescent="0.2">
      <c r="A187">
        <v>186</v>
      </c>
      <c r="C187" t="e" vm="371">
        <v>#VALUE!</v>
      </c>
      <c r="D187" s="1" cm="1" vm="372">
        <f t="array" aca="1" ref="D187" ca="1">_xlfn.STOCKHISTORY(C187,$J$1,$J$1,0,0,1)</f>
        <v>58.27</v>
      </c>
      <c r="E187" s="1">
        <f t="shared" ca="1" si="5"/>
        <v>58.091666666666669</v>
      </c>
      <c r="F187" s="2">
        <f t="shared" ca="1" si="6"/>
        <v>1.0030698608521016</v>
      </c>
      <c r="G187" t="str" cm="1">
        <f t="array" aca="1" ref="G187" ca="1">_FV(C187,"Industrie")</f>
        <v>Food &amp; Tobacco</v>
      </c>
    </row>
    <row r="188" spans="1:7" x14ac:dyDescent="0.2">
      <c r="A188">
        <v>187</v>
      </c>
      <c r="C188" t="e" vm="373">
        <v>#VALUE!</v>
      </c>
      <c r="D188" s="1" cm="1" vm="374">
        <f t="array" aca="1" ref="D188" ca="1">_xlfn.STOCKHISTORY(C188,$J$1,$J$1,0,0,1)</f>
        <v>210.82</v>
      </c>
      <c r="E188" s="1">
        <f t="shared" ca="1" si="5"/>
        <v>210.19111111111113</v>
      </c>
      <c r="F188" s="2">
        <f t="shared" ca="1" si="6"/>
        <v>1.0029919861290253</v>
      </c>
      <c r="G188" t="str" cm="1">
        <f t="array" aca="1" ref="G188" ca="1">_FV(C188,"Industrie")</f>
        <v>Telecommunications Services</v>
      </c>
    </row>
    <row r="189" spans="1:7" x14ac:dyDescent="0.2">
      <c r="A189">
        <v>188</v>
      </c>
      <c r="C189" t="e" vm="375">
        <v>#VALUE!</v>
      </c>
      <c r="D189" s="1" cm="1" vm="376">
        <f t="array" aca="1" ref="D189" ca="1">_xlfn.STOCKHISTORY(C189,$J$1,$J$1,0,0,1)</f>
        <v>202.01</v>
      </c>
      <c r="E189" s="1">
        <f t="shared" ca="1" si="5"/>
        <v>201.40851851851852</v>
      </c>
      <c r="F189" s="2">
        <f t="shared" ca="1" si="6"/>
        <v>1.0029863755808628</v>
      </c>
      <c r="G189" t="str" cm="1">
        <f t="array" aca="1" ref="G189" ca="1">_FV(C189,"Industrie")</f>
        <v>Software &amp; IT Services</v>
      </c>
    </row>
    <row r="190" spans="1:7" x14ac:dyDescent="0.2">
      <c r="A190">
        <v>189</v>
      </c>
      <c r="C190" t="e" vm="377">
        <v>#VALUE!</v>
      </c>
      <c r="D190" s="1" cm="1" vm="378">
        <f t="array" aca="1" ref="D190" ca="1">_xlfn.STOCKHISTORY(C190,$J$1,$J$1,0,0,1)</f>
        <v>28.33</v>
      </c>
      <c r="E190" s="1">
        <f t="shared" ca="1" si="5"/>
        <v>28.282307407407409</v>
      </c>
      <c r="F190" s="2">
        <f t="shared" ca="1" si="6"/>
        <v>1.0016863048656384</v>
      </c>
      <c r="G190" t="str" cm="1">
        <f t="array" aca="1" ref="G190" ca="1">_FV(C190,"Industrie")</f>
        <v>Telecommunications Services</v>
      </c>
    </row>
    <row r="191" spans="1:7" x14ac:dyDescent="0.2">
      <c r="A191">
        <v>190</v>
      </c>
      <c r="C191" t="e" vm="379">
        <v>#VALUE!</v>
      </c>
      <c r="D191" s="1" cm="1" vm="380">
        <f t="array" aca="1" ref="D191" ca="1">_xlfn.STOCKHISTORY(C191,$J$1,$J$1,0,0,1)</f>
        <v>0.39</v>
      </c>
      <c r="E191" s="1">
        <f t="shared" ca="1" si="5"/>
        <v>0.38944444444444432</v>
      </c>
      <c r="F191" s="2">
        <f t="shared" ca="1" si="6"/>
        <v>1.0014265335235382</v>
      </c>
      <c r="G191" t="str" cm="1">
        <f t="array" aca="1" ref="G191" ca="1">_FV(C191,"Industrie")</f>
        <v>Metals &amp; Mining</v>
      </c>
    </row>
    <row r="192" spans="1:7" x14ac:dyDescent="0.2">
      <c r="A192">
        <v>191</v>
      </c>
      <c r="C192" t="e" vm="381">
        <v>#VALUE!</v>
      </c>
      <c r="D192" s="1" cm="1" vm="382">
        <f t="array" aca="1" ref="D192" ca="1">_xlfn.STOCKHISTORY(C192,$J$1,$J$1,0,0,1)</f>
        <v>87.98</v>
      </c>
      <c r="E192" s="1">
        <f t="shared" ca="1" si="5"/>
        <v>88.002222222222215</v>
      </c>
      <c r="F192" s="2">
        <f t="shared" ca="1" si="6"/>
        <v>0.99974748112421419</v>
      </c>
      <c r="G192" t="str" cm="1">
        <f t="array" aca="1" ref="G192" ca="1">_FV(C192,"Industrie")</f>
        <v>Software &amp; IT Services</v>
      </c>
    </row>
    <row r="193" spans="1:7" x14ac:dyDescent="0.2">
      <c r="A193">
        <v>192</v>
      </c>
      <c r="C193" t="e" vm="383">
        <v>#VALUE!</v>
      </c>
      <c r="D193" s="1" cm="1" vm="384">
        <f t="array" aca="1" ref="D193" ca="1">_xlfn.STOCKHISTORY(C193,$J$1,$J$1,0,0,1)</f>
        <v>346.76</v>
      </c>
      <c r="E193" s="1">
        <f t="shared" ca="1" si="5"/>
        <v>346.86666666666673</v>
      </c>
      <c r="F193" s="2">
        <f t="shared" ca="1" si="6"/>
        <v>0.99969248510474706</v>
      </c>
      <c r="G193" t="str" cm="1">
        <f t="array" aca="1" ref="G193" ca="1">_FV(C193,"Industrie")</f>
        <v>Aerospace &amp; Defense</v>
      </c>
    </row>
    <row r="194" spans="1:7" x14ac:dyDescent="0.2">
      <c r="A194">
        <v>193</v>
      </c>
      <c r="C194" t="e" vm="385">
        <v>#VALUE!</v>
      </c>
      <c r="D194" s="1" cm="1" vm="386">
        <f t="array" aca="1" ref="D194" ca="1">_xlfn.STOCKHISTORY(C194,$J$1,$J$1,0,0,1)</f>
        <v>93.42</v>
      </c>
      <c r="E194" s="1">
        <f t="shared" ref="E194:E257" ca="1" si="7">AVERAGE(_xlfn.STOCKHISTORY(C194,$J$1-182,$J$1,1,0,1))</f>
        <v>93.457407407407402</v>
      </c>
      <c r="F194" s="2">
        <f t="shared" ref="F194:F257" ca="1" si="8">D194/E194</f>
        <v>0.99959973844294303</v>
      </c>
      <c r="G194" t="str" cm="1">
        <f t="array" aca="1" ref="G194" ca="1">_FV(C194,"Industrie")</f>
        <v>Insurance</v>
      </c>
    </row>
    <row r="195" spans="1:7" x14ac:dyDescent="0.2">
      <c r="A195">
        <v>194</v>
      </c>
      <c r="C195" t="e" vm="387">
        <v>#VALUE!</v>
      </c>
      <c r="D195" s="1" cm="1" vm="388">
        <f t="array" aca="1" ref="D195" ca="1">_xlfn.STOCKHISTORY(C195,$J$1,$J$1,0,0,1)</f>
        <v>161.57</v>
      </c>
      <c r="E195" s="1">
        <f t="shared" ca="1" si="7"/>
        <v>161.90388888888884</v>
      </c>
      <c r="F195" s="2">
        <f t="shared" ca="1" si="8"/>
        <v>0.99793773397797758</v>
      </c>
      <c r="G195" t="str" cm="1">
        <f t="array" aca="1" ref="G195" ca="1">_FV(C195,"Industrie")</f>
        <v>Freight &amp; Logistics Services</v>
      </c>
    </row>
    <row r="196" spans="1:7" x14ac:dyDescent="0.2">
      <c r="A196">
        <v>195</v>
      </c>
      <c r="C196" t="e" vm="389">
        <v>#VALUE!</v>
      </c>
      <c r="D196" s="1" cm="1" vm="390">
        <f t="array" aca="1" ref="D196" ca="1">_xlfn.STOCKHISTORY(C196,$J$1,$J$1,0,0,1)</f>
        <v>122.52</v>
      </c>
      <c r="E196" s="1">
        <f t="shared" ca="1" si="7"/>
        <v>122.85888888888887</v>
      </c>
      <c r="F196" s="2">
        <f t="shared" ca="1" si="8"/>
        <v>0.99724164126866421</v>
      </c>
      <c r="G196" t="str" cm="1">
        <f t="array" aca="1" ref="G196" ca="1">_FV(C196,"Industrie")</f>
        <v>Investment Banking &amp; Investment Services</v>
      </c>
    </row>
    <row r="197" spans="1:7" x14ac:dyDescent="0.2">
      <c r="A197">
        <v>196</v>
      </c>
      <c r="C197" t="e" vm="391">
        <v>#VALUE!</v>
      </c>
      <c r="D197" s="1" cm="1" vm="392">
        <f t="array" aca="1" ref="D197" ca="1">_xlfn.STOCKHISTORY(C197,$J$1,$J$1,0,0,1)</f>
        <v>60.88</v>
      </c>
      <c r="E197" s="1">
        <f t="shared" ca="1" si="7"/>
        <v>61.0651851851852</v>
      </c>
      <c r="F197" s="2">
        <f t="shared" ca="1" si="8"/>
        <v>0.99696741793832921</v>
      </c>
      <c r="G197" t="str" cm="1">
        <f t="array" aca="1" ref="G197" ca="1">_FV(C197,"Industrie")</f>
        <v>Electrical Utilities &amp; IPPs</v>
      </c>
    </row>
    <row r="198" spans="1:7" x14ac:dyDescent="0.2">
      <c r="A198">
        <v>197</v>
      </c>
      <c r="C198" t="e" vm="393">
        <v>#VALUE!</v>
      </c>
      <c r="D198" s="1" cm="1" vm="394">
        <f t="array" aca="1" ref="D198" ca="1">_xlfn.STOCKHISTORY(C198,$J$1,$J$1,0,0,1)</f>
        <v>285.27</v>
      </c>
      <c r="E198" s="1">
        <f t="shared" ca="1" si="7"/>
        <v>286.40629629629632</v>
      </c>
      <c r="F198" s="2">
        <f t="shared" ca="1" si="8"/>
        <v>0.99603257221998776</v>
      </c>
      <c r="G198" t="str" cm="1">
        <f t="array" aca="1" ref="G198" ca="1">_FV(C198,"Industrie")</f>
        <v>Insurance</v>
      </c>
    </row>
    <row r="199" spans="1:7" x14ac:dyDescent="0.2">
      <c r="A199">
        <v>198</v>
      </c>
      <c r="C199" t="e" vm="395">
        <v>#VALUE!</v>
      </c>
      <c r="D199" s="1" cm="1" vm="396">
        <f t="array" aca="1" ref="D199" ca="1">_xlfn.STOCKHISTORY(C199,$J$1,$J$1,0,0,1)</f>
        <v>259.04000000000002</v>
      </c>
      <c r="E199" s="1">
        <f t="shared" ca="1" si="7"/>
        <v>260.33296296296294</v>
      </c>
      <c r="F199" s="2">
        <f t="shared" ca="1" si="8"/>
        <v>0.99503342585492383</v>
      </c>
      <c r="G199" t="str" cm="1">
        <f t="array" aca="1" ref="G199" ca="1">_FV(C199,"Industrie")</f>
        <v>Consumer Goods Conglomerates</v>
      </c>
    </row>
    <row r="200" spans="1:7" x14ac:dyDescent="0.2">
      <c r="A200">
        <v>199</v>
      </c>
      <c r="C200" t="e" vm="397">
        <v>#VALUE!</v>
      </c>
      <c r="D200" s="1" cm="1" vm="398">
        <f t="array" aca="1" ref="D200" ca="1">_xlfn.STOCKHISTORY(C200,$J$1,$J$1,0,0,1)</f>
        <v>212.25</v>
      </c>
      <c r="E200" s="1">
        <f t="shared" ca="1" si="7"/>
        <v>213.40185185185186</v>
      </c>
      <c r="F200" s="2">
        <f t="shared" ca="1" si="8"/>
        <v>0.9946024280396053</v>
      </c>
      <c r="G200" t="str" cm="1">
        <f t="array" aca="1" ref="G200" ca="1">_FV(C200,"Industrie")</f>
        <v>Containers &amp; Packaging</v>
      </c>
    </row>
    <row r="201" spans="1:7" x14ac:dyDescent="0.2">
      <c r="A201">
        <v>200</v>
      </c>
      <c r="C201" t="e" vm="399">
        <v>#VALUE!</v>
      </c>
      <c r="D201" s="1" cm="1" vm="400">
        <f t="array" aca="1" ref="D201" ca="1">_xlfn.STOCKHISTORY(C201,$J$1,$J$1,0,0,1)</f>
        <v>163.54</v>
      </c>
      <c r="E201" s="1">
        <f t="shared" ca="1" si="7"/>
        <v>164.45777777777778</v>
      </c>
      <c r="F201" s="2">
        <f t="shared" ca="1" si="8"/>
        <v>0.99441937140231873</v>
      </c>
      <c r="G201" t="str" cm="1">
        <f t="array" aca="1" ref="G201" ca="1">_FV(C201,"Industrie")</f>
        <v>Food &amp; Tobacco</v>
      </c>
    </row>
    <row r="202" spans="1:7" x14ac:dyDescent="0.2">
      <c r="A202">
        <v>201</v>
      </c>
      <c r="C202" t="e" vm="401">
        <v>#VALUE!</v>
      </c>
      <c r="D202" s="1" cm="1" vm="402">
        <f t="array" aca="1" ref="D202" ca="1">_xlfn.STOCKHISTORY(C202,$J$1,$J$1,0,0,1)</f>
        <v>192.49</v>
      </c>
      <c r="E202" s="1">
        <f t="shared" ca="1" si="7"/>
        <v>193.69444444444449</v>
      </c>
      <c r="F202" s="2">
        <f t="shared" ca="1" si="8"/>
        <v>0.99378172952818</v>
      </c>
      <c r="G202" t="str" cm="1">
        <f t="array" aca="1" ref="G202" ca="1">_FV(C202,"Industrie")</f>
        <v>Hotels &amp; Entertainment Services</v>
      </c>
    </row>
    <row r="203" spans="1:7" x14ac:dyDescent="0.2">
      <c r="A203">
        <v>202</v>
      </c>
      <c r="C203" t="e" vm="403">
        <v>#VALUE!</v>
      </c>
      <c r="D203" s="1" cm="1" vm="404">
        <f t="array" aca="1" ref="D203" ca="1">_xlfn.STOCKHISTORY(C203,$J$1,$J$1,0,0,1)</f>
        <v>87.01</v>
      </c>
      <c r="E203" s="1">
        <f t="shared" ca="1" si="7"/>
        <v>87.555555555555586</v>
      </c>
      <c r="F203" s="2">
        <f t="shared" ca="1" si="8"/>
        <v>0.99376903553299467</v>
      </c>
      <c r="G203" t="str" cm="1">
        <f t="array" aca="1" ref="G203" ca="1">_FV(C203,"Industrie")</f>
        <v>Insurance</v>
      </c>
    </row>
    <row r="204" spans="1:7" x14ac:dyDescent="0.2">
      <c r="A204">
        <v>203</v>
      </c>
      <c r="C204" t="e" vm="405">
        <v>#VALUE!</v>
      </c>
      <c r="D204" s="1" cm="1" vm="406">
        <f t="array" aca="1" ref="D204" ca="1">_xlfn.STOCKHISTORY(C204,$J$1,$J$1,0,0,1)</f>
        <v>104.06</v>
      </c>
      <c r="E204" s="1">
        <f t="shared" ca="1" si="7"/>
        <v>104.77777777777776</v>
      </c>
      <c r="F204" s="2">
        <f t="shared" ca="1" si="8"/>
        <v>0.99314952279957602</v>
      </c>
      <c r="G204" t="str" cm="1">
        <f t="array" aca="1" ref="G204" ca="1">_FV(C204,"Industrie")</f>
        <v>Insurance</v>
      </c>
    </row>
    <row r="205" spans="1:7" x14ac:dyDescent="0.2">
      <c r="A205">
        <v>204</v>
      </c>
      <c r="C205" t="e" vm="407">
        <v>#VALUE!</v>
      </c>
      <c r="D205" s="1" cm="1" vm="408">
        <f t="array" aca="1" ref="D205" ca="1">_xlfn.STOCKHISTORY(C205,$J$1,$J$1,0,0,1)</f>
        <v>78.09</v>
      </c>
      <c r="E205" s="1">
        <f t="shared" ca="1" si="7"/>
        <v>78.63666666666667</v>
      </c>
      <c r="F205" s="2">
        <f t="shared" ca="1" si="8"/>
        <v>0.99304819634606423</v>
      </c>
      <c r="G205" t="str" cm="1">
        <f t="array" aca="1" ref="G205" ca="1">_FV(C205,"Industrie")</f>
        <v>Electrical Utilities &amp; IPPs</v>
      </c>
    </row>
    <row r="206" spans="1:7" x14ac:dyDescent="0.2">
      <c r="A206">
        <v>205</v>
      </c>
      <c r="C206" t="e" vm="409">
        <v>#VALUE!</v>
      </c>
      <c r="D206" s="1" cm="1" vm="410">
        <f t="array" aca="1" ref="D206" ca="1">_xlfn.STOCKHISTORY(C206,$J$1,$J$1,0,0,1)</f>
        <v>200.93</v>
      </c>
      <c r="E206" s="1">
        <f t="shared" ca="1" si="7"/>
        <v>202.75592592592596</v>
      </c>
      <c r="F206" s="2">
        <f t="shared" ca="1" si="8"/>
        <v>0.99099446333029484</v>
      </c>
      <c r="G206" t="str" cm="1">
        <f t="array" aca="1" ref="G206" ca="1">_FV(C206,"Industrie")</f>
        <v>Banking Services</v>
      </c>
    </row>
    <row r="207" spans="1:7" x14ac:dyDescent="0.2">
      <c r="A207">
        <v>206</v>
      </c>
      <c r="C207" t="e" vm="411">
        <v>#VALUE!</v>
      </c>
      <c r="D207" s="1" cm="1" vm="412">
        <f t="array" aca="1" ref="D207" ca="1">_xlfn.STOCKHISTORY(C207,$J$1,$J$1,0,0,1)</f>
        <v>107.38</v>
      </c>
      <c r="E207" s="1">
        <f t="shared" ca="1" si="7"/>
        <v>108.43481481481483</v>
      </c>
      <c r="F207" s="2">
        <f t="shared" ca="1" si="8"/>
        <v>0.99027236025056853</v>
      </c>
      <c r="G207" t="str" cm="1">
        <f t="array" aca="1" ref="G207" ca="1">_FV(C207,"Industrie")</f>
        <v>Investment Banking &amp; Investment Services</v>
      </c>
    </row>
    <row r="208" spans="1:7" x14ac:dyDescent="0.2">
      <c r="A208">
        <v>207</v>
      </c>
      <c r="C208" t="e" vm="413">
        <v>#VALUE!</v>
      </c>
      <c r="D208" s="1" cm="1" vm="414">
        <f t="array" aca="1" ref="D208" ca="1">_xlfn.STOCKHISTORY(C208,$J$1,$J$1,0,0,1)</f>
        <v>202.71</v>
      </c>
      <c r="E208" s="1">
        <f t="shared" ca="1" si="7"/>
        <v>205.17370370370372</v>
      </c>
      <c r="F208" s="2">
        <f t="shared" ca="1" si="8"/>
        <v>0.98799210786163116</v>
      </c>
      <c r="G208" t="str" cm="1">
        <f t="array" aca="1" ref="G208" ca="1">_FV(C208,"Industrie")</f>
        <v>Insurance</v>
      </c>
    </row>
    <row r="209" spans="1:7" x14ac:dyDescent="0.2">
      <c r="A209">
        <v>208</v>
      </c>
      <c r="C209" t="e" vm="415">
        <v>#VALUE!</v>
      </c>
      <c r="D209" s="1" cm="1" vm="416">
        <f t="array" aca="1" ref="D209" ca="1">_xlfn.STOCKHISTORY(C209,$J$1,$J$1,0,0,1)</f>
        <v>154.51</v>
      </c>
      <c r="E209" s="1">
        <f t="shared" ca="1" si="7"/>
        <v>156.45367407407406</v>
      </c>
      <c r="F209" s="2">
        <f t="shared" ca="1" si="8"/>
        <v>0.98757667989852493</v>
      </c>
      <c r="G209" t="str" cm="1">
        <f t="array" aca="1" ref="G209" ca="1">_FV(C209,"Industrie")</f>
        <v>Healthcare Equipment &amp; Supplies</v>
      </c>
    </row>
    <row r="210" spans="1:7" x14ac:dyDescent="0.2">
      <c r="A210">
        <v>209</v>
      </c>
      <c r="C210" t="e" vm="417">
        <v>#VALUE!</v>
      </c>
      <c r="D210" s="1" cm="1" vm="418">
        <f t="array" aca="1" ref="D210" ca="1">_xlfn.STOCKHISTORY(C210,$J$1,$J$1,0,0,1)</f>
        <v>132.32</v>
      </c>
      <c r="E210" s="1">
        <f t="shared" ca="1" si="7"/>
        <v>134.04111111111112</v>
      </c>
      <c r="F210" s="2">
        <f t="shared" ca="1" si="8"/>
        <v>0.98715982658719947</v>
      </c>
      <c r="G210" t="str" cm="1">
        <f t="array" aca="1" ref="G210" ca="1">_FV(C210,"Industrie")</f>
        <v>Insurance</v>
      </c>
    </row>
    <row r="211" spans="1:7" x14ac:dyDescent="0.2">
      <c r="A211">
        <v>210</v>
      </c>
      <c r="C211" t="e" vm="419">
        <v>#VALUE!</v>
      </c>
      <c r="D211" s="1" cm="1" vm="420">
        <f t="array" aca="1" ref="D211" ca="1">_xlfn.STOCKHISTORY(C211,$J$1,$J$1,0,0,1)</f>
        <v>202.39</v>
      </c>
      <c r="E211" s="1">
        <f t="shared" ca="1" si="7"/>
        <v>205.03370370370374</v>
      </c>
      <c r="F211" s="2">
        <f t="shared" ca="1" si="8"/>
        <v>0.98710600425223649</v>
      </c>
      <c r="G211" t="str" cm="1">
        <f t="array" aca="1" ref="G211" ca="1">_FV(C211,"Industrie")</f>
        <v>Banking Services</v>
      </c>
    </row>
    <row r="212" spans="1:7" x14ac:dyDescent="0.2">
      <c r="A212">
        <v>211</v>
      </c>
      <c r="C212" t="e" vm="421">
        <v>#VALUE!</v>
      </c>
      <c r="D212" s="1" cm="1" vm="422">
        <f t="array" aca="1" ref="D212" ca="1">_xlfn.STOCKHISTORY(C212,$J$1,$J$1,0,0,1)</f>
        <v>27.19</v>
      </c>
      <c r="E212" s="1">
        <f t="shared" ca="1" si="7"/>
        <v>27.549629629629628</v>
      </c>
      <c r="F212" s="2">
        <f t="shared" ca="1" si="8"/>
        <v>0.9869461174446118</v>
      </c>
      <c r="G212" t="str" cm="1">
        <f t="array" aca="1" ref="G212" ca="1">_FV(C212,"Industrie")</f>
        <v>Beverages</v>
      </c>
    </row>
    <row r="213" spans="1:7" x14ac:dyDescent="0.2">
      <c r="A213">
        <v>212</v>
      </c>
      <c r="C213" t="e" vm="423">
        <v>#VALUE!</v>
      </c>
      <c r="D213" s="1" cm="1" vm="424">
        <f t="array" aca="1" ref="D213" ca="1">_xlfn.STOCKHISTORY(C213,$J$1,$J$1,0,0,1)</f>
        <v>80.709999999999994</v>
      </c>
      <c r="E213" s="1">
        <f t="shared" ca="1" si="7"/>
        <v>81.807037037037048</v>
      </c>
      <c r="F213" s="2">
        <f t="shared" ca="1" si="8"/>
        <v>0.98658994290991875</v>
      </c>
      <c r="G213" t="str" cm="1">
        <f t="array" aca="1" ref="G213" ca="1">_FV(C213,"Industrie")</f>
        <v>Multiline Utilities</v>
      </c>
    </row>
    <row r="214" spans="1:7" x14ac:dyDescent="0.2">
      <c r="A214">
        <v>213</v>
      </c>
      <c r="C214" t="e" vm="425">
        <v>#VALUE!</v>
      </c>
      <c r="D214" s="1" cm="1" vm="426">
        <f t="array" aca="1" ref="D214" ca="1">_xlfn.STOCKHISTORY(C214,$J$1,$J$1,0,0,1)</f>
        <v>19.45</v>
      </c>
      <c r="E214" s="1">
        <f t="shared" ca="1" si="7"/>
        <v>19.722592592592591</v>
      </c>
      <c r="F214" s="2">
        <f t="shared" ca="1" si="8"/>
        <v>0.98617866331148718</v>
      </c>
      <c r="G214" t="str" cm="1">
        <f t="array" aca="1" ref="G214" ca="1">_FV(C214,"Industrie")</f>
        <v>Banking Services</v>
      </c>
    </row>
    <row r="215" spans="1:7" x14ac:dyDescent="0.2">
      <c r="A215">
        <v>214</v>
      </c>
      <c r="C215" t="e" vm="427">
        <v>#VALUE!</v>
      </c>
      <c r="D215" s="1" cm="1" vm="422">
        <f t="array" aca="1" ref="D215" ca="1">_xlfn.STOCKHISTORY(C215,$J$1,$J$1,0,0,1)</f>
        <v>27.19</v>
      </c>
      <c r="E215" s="1">
        <f t="shared" ca="1" si="7"/>
        <v>27.575925925925937</v>
      </c>
      <c r="F215" s="2">
        <f t="shared" ca="1" si="8"/>
        <v>0.98600496944463067</v>
      </c>
      <c r="G215" t="str" cm="1">
        <f t="array" aca="1" ref="G215" ca="1">_FV(C215,"Industrie")</f>
        <v>Beverages</v>
      </c>
    </row>
    <row r="216" spans="1:7" x14ac:dyDescent="0.2">
      <c r="A216">
        <v>215</v>
      </c>
      <c r="C216" t="e" vm="428">
        <v>#VALUE!</v>
      </c>
      <c r="D216" s="1" cm="1" vm="429">
        <f t="array" aca="1" ref="D216" ca="1">_xlfn.STOCKHISTORY(C216,$J$1,$J$1,0,0,1)</f>
        <v>134.99</v>
      </c>
      <c r="E216" s="1">
        <f t="shared" ca="1" si="7"/>
        <v>136.97666666666666</v>
      </c>
      <c r="F216" s="2">
        <f t="shared" ca="1" si="8"/>
        <v>0.98549631324069809</v>
      </c>
      <c r="G216" t="str" cm="1">
        <f t="array" aca="1" ref="G216" ca="1">_FV(C216,"Industrie")</f>
        <v>Investment Banking &amp; Investment Services</v>
      </c>
    </row>
    <row r="217" spans="1:7" x14ac:dyDescent="0.2">
      <c r="A217">
        <v>216</v>
      </c>
      <c r="C217" t="e" vm="430">
        <v>#VALUE!</v>
      </c>
      <c r="D217" s="1" cm="1" vm="431">
        <f t="array" aca="1" ref="D217" ca="1">_xlfn.STOCKHISTORY(C217,$J$1,$J$1,0,0,1)</f>
        <v>145.71</v>
      </c>
      <c r="E217" s="1">
        <f t="shared" ca="1" si="7"/>
        <v>147.8996296296296</v>
      </c>
      <c r="F217" s="2">
        <f t="shared" ca="1" si="8"/>
        <v>0.98519516488910175</v>
      </c>
      <c r="G217" t="str" cm="1">
        <f t="array" aca="1" ref="G217" ca="1">_FV(C217,"Industrie")</f>
        <v>Media &amp; Publishing</v>
      </c>
    </row>
    <row r="218" spans="1:7" x14ac:dyDescent="0.2">
      <c r="A218">
        <v>217</v>
      </c>
      <c r="C218" t="e" vm="432">
        <v>#VALUE!</v>
      </c>
      <c r="D218" s="1" cm="1" vm="433">
        <f t="array" aca="1" ref="D218" ca="1">_xlfn.STOCKHISTORY(C218,$J$1,$J$1,0,0,1)</f>
        <v>264.2</v>
      </c>
      <c r="E218" s="1">
        <f t="shared" ca="1" si="7"/>
        <v>268.2277777777777</v>
      </c>
      <c r="F218" s="2">
        <f t="shared" ca="1" si="8"/>
        <v>0.98498374101613495</v>
      </c>
      <c r="G218" t="str" cm="1">
        <f t="array" aca="1" ref="G218" ca="1">_FV(C218,"Industrie")</f>
        <v>Healthcare Providers &amp; Services</v>
      </c>
    </row>
    <row r="219" spans="1:7" x14ac:dyDescent="0.2">
      <c r="A219">
        <v>218</v>
      </c>
      <c r="C219" t="e" vm="434">
        <v>#VALUE!</v>
      </c>
      <c r="D219" s="1" cm="1" vm="435">
        <f t="array" aca="1" ref="D219" ca="1">_xlfn.STOCKHISTORY(C219,$J$1,$J$1,0,0,1)</f>
        <v>219.14</v>
      </c>
      <c r="E219" s="1">
        <f t="shared" ca="1" si="7"/>
        <v>222.92888888888891</v>
      </c>
      <c r="F219" s="2">
        <f t="shared" ca="1" si="8"/>
        <v>0.98300404713012601</v>
      </c>
      <c r="G219" t="str" cm="1">
        <f t="array" aca="1" ref="G219" ca="1">_FV(C219,"Industrie")</f>
        <v>Telecommunications Services</v>
      </c>
    </row>
    <row r="220" spans="1:7" x14ac:dyDescent="0.2">
      <c r="A220">
        <v>219</v>
      </c>
      <c r="C220" t="e" vm="436">
        <v>#VALUE!</v>
      </c>
      <c r="D220" s="1" cm="1" vm="437">
        <f t="array" aca="1" ref="D220" ca="1">_xlfn.STOCKHISTORY(C220,$J$1,$J$1,0,0,1)</f>
        <v>471.85</v>
      </c>
      <c r="E220" s="1">
        <f t="shared" ca="1" si="7"/>
        <v>480.48740740740737</v>
      </c>
      <c r="F220" s="2">
        <f t="shared" ca="1" si="8"/>
        <v>0.98202365499230726</v>
      </c>
      <c r="G220" t="str" cm="1">
        <f t="array" aca="1" ref="G220" ca="1">_FV(C220,"Industrie")</f>
        <v>Healthcare Providers &amp; Services</v>
      </c>
    </row>
    <row r="221" spans="1:7" x14ac:dyDescent="0.2">
      <c r="A221">
        <v>220</v>
      </c>
      <c r="C221" t="e" vm="438">
        <v>#VALUE!</v>
      </c>
      <c r="D221" s="1" cm="1" vm="439">
        <f t="array" aca="1" ref="D221" ca="1">_xlfn.STOCKHISTORY(C221,$J$1,$J$1,0,0,1)</f>
        <v>72.98</v>
      </c>
      <c r="E221" s="1">
        <f t="shared" ca="1" si="7"/>
        <v>74.392592592592592</v>
      </c>
      <c r="F221" s="2">
        <f t="shared" ca="1" si="8"/>
        <v>0.98101164990540679</v>
      </c>
      <c r="G221" t="str" cm="1">
        <f t="array" aca="1" ref="G221" ca="1">_FV(C221,"Industrie")</f>
        <v>Automobiles &amp; Auto Parts</v>
      </c>
    </row>
    <row r="222" spans="1:7" x14ac:dyDescent="0.2">
      <c r="A222">
        <v>221</v>
      </c>
      <c r="C222" t="e" vm="440">
        <v>#VALUE!</v>
      </c>
      <c r="D222" s="1" cm="1" vm="441">
        <f t="array" aca="1" ref="D222" ca="1">_xlfn.STOCKHISTORY(C222,$J$1,$J$1,0,0,1)</f>
        <v>410.23</v>
      </c>
      <c r="E222" s="1">
        <f t="shared" ca="1" si="7"/>
        <v>418.32259259259257</v>
      </c>
      <c r="F222" s="2">
        <f t="shared" ca="1" si="8"/>
        <v>0.98065466045608973</v>
      </c>
      <c r="G222" t="str" cm="1">
        <f t="array" aca="1" ref="G222" ca="1">_FV(C222,"Industrie")</f>
        <v>Machinery, Equipment &amp; Components</v>
      </c>
    </row>
    <row r="223" spans="1:7" x14ac:dyDescent="0.2">
      <c r="A223">
        <v>222</v>
      </c>
      <c r="C223" t="e" vm="442">
        <v>#VALUE!</v>
      </c>
      <c r="D223" s="1" cm="1" vm="443">
        <f t="array" aca="1" ref="D223" ca="1">_xlfn.STOCKHISTORY(C223,$J$1,$J$1,0,0,1)</f>
        <v>72.099999999999994</v>
      </c>
      <c r="E223" s="1">
        <f t="shared" ca="1" si="7"/>
        <v>73.547777777777782</v>
      </c>
      <c r="F223" s="2">
        <f t="shared" ca="1" si="8"/>
        <v>0.9803151390630428</v>
      </c>
      <c r="G223" t="str" cm="1">
        <f t="array" aca="1" ref="G223" ca="1">_FV(C223,"Industrie")</f>
        <v>Healthcare Equipment &amp; Supplies</v>
      </c>
    </row>
    <row r="224" spans="1:7" x14ac:dyDescent="0.2">
      <c r="A224">
        <v>223</v>
      </c>
      <c r="C224" t="e" vm="444">
        <v>#VALUE!</v>
      </c>
      <c r="D224" s="1" cm="1" vm="445">
        <f t="array" aca="1" ref="D224" ca="1">_xlfn.STOCKHISTORY(C224,$J$1,$J$1,0,0,1)</f>
        <v>50.85</v>
      </c>
      <c r="E224" s="1">
        <f t="shared" ca="1" si="7"/>
        <v>51.88111111111111</v>
      </c>
      <c r="F224" s="2">
        <f t="shared" ca="1" si="8"/>
        <v>0.98012550061036996</v>
      </c>
      <c r="G224" t="str" cm="1">
        <f t="array" aca="1" ref="G224" ca="1">_FV(C224,"Industrie")</f>
        <v>Banking Services</v>
      </c>
    </row>
    <row r="225" spans="1:7" x14ac:dyDescent="0.2">
      <c r="A225">
        <v>224</v>
      </c>
      <c r="C225" t="e" vm="446">
        <v>#VALUE!</v>
      </c>
      <c r="D225" s="1" cm="1" vm="447">
        <f t="array" aca="1" ref="D225" ca="1">_xlfn.STOCKHISTORY(C225,$J$1,$J$1,0,0,1)</f>
        <v>305.89999999999998</v>
      </c>
      <c r="E225" s="1">
        <f t="shared" ca="1" si="7"/>
        <v>312.38629629629639</v>
      </c>
      <c r="F225" s="2">
        <f t="shared" ca="1" si="8"/>
        <v>0.97923629694004177</v>
      </c>
      <c r="G225" t="str" cm="1">
        <f t="array" aca="1" ref="G225" ca="1">_FV(C225,"Industrie")</f>
        <v>Hotels &amp; Entertainment Services</v>
      </c>
    </row>
    <row r="226" spans="1:7" x14ac:dyDescent="0.2">
      <c r="A226">
        <v>225</v>
      </c>
      <c r="C226" t="e" vm="448">
        <v>#VALUE!</v>
      </c>
      <c r="D226" s="1" cm="1" vm="449">
        <f t="array" aca="1" ref="D226" ca="1">_xlfn.STOCKHISTORY(C226,$J$1,$J$1,0,0,1)</f>
        <v>40.86</v>
      </c>
      <c r="E226" s="1">
        <f t="shared" ca="1" si="7"/>
        <v>41.817407407407387</v>
      </c>
      <c r="F226" s="2">
        <f t="shared" ca="1" si="8"/>
        <v>0.97710505105972223</v>
      </c>
      <c r="G226" t="str" cm="1">
        <f t="array" aca="1" ref="G226" ca="1">_FV(C226,"Industrie")</f>
        <v>Specialty Retailers</v>
      </c>
    </row>
    <row r="227" spans="1:7" x14ac:dyDescent="0.2">
      <c r="A227">
        <v>226</v>
      </c>
      <c r="C227" t="e" vm="450">
        <v>#VALUE!</v>
      </c>
      <c r="D227" s="1" cm="1" vm="451">
        <f t="array" aca="1" ref="D227" ca="1">_xlfn.STOCKHISTORY(C227,$J$1,$J$1,0,0,1)</f>
        <v>103.82</v>
      </c>
      <c r="E227" s="1">
        <f t="shared" ca="1" si="7"/>
        <v>106.67222222222223</v>
      </c>
      <c r="F227" s="2">
        <f t="shared" ca="1" si="8"/>
        <v>0.97326180928076644</v>
      </c>
      <c r="G227" t="str" cm="1">
        <f t="array" aca="1" ref="G227" ca="1">_FV(C227,"Industrie")</f>
        <v>Chemicals</v>
      </c>
    </row>
    <row r="228" spans="1:7" x14ac:dyDescent="0.2">
      <c r="A228">
        <v>227</v>
      </c>
      <c r="C228" t="e" vm="452">
        <v>#VALUE!</v>
      </c>
      <c r="D228" s="1" cm="1" vm="453">
        <f t="array" aca="1" ref="D228" ca="1">_xlfn.STOCKHISTORY(C228,$J$1,$J$1,0,0,1)</f>
        <v>86.81</v>
      </c>
      <c r="E228" s="1">
        <f t="shared" ca="1" si="7"/>
        <v>89.220000000000013</v>
      </c>
      <c r="F228" s="2">
        <f t="shared" ca="1" si="8"/>
        <v>0.97298811925577211</v>
      </c>
      <c r="G228" t="str" cm="1">
        <f t="array" aca="1" ref="G228" ca="1">_FV(C228,"Industrie")</f>
        <v>Hotels &amp; Entertainment Services</v>
      </c>
    </row>
    <row r="229" spans="1:7" x14ac:dyDescent="0.2">
      <c r="A229">
        <v>228</v>
      </c>
      <c r="C229" t="e" vm="454">
        <v>#VALUE!</v>
      </c>
      <c r="D229" s="1" cm="1" vm="455">
        <f t="array" aca="1" ref="D229" ca="1">_xlfn.STOCKHISTORY(C229,$J$1,$J$1,0,0,1)</f>
        <v>23.07</v>
      </c>
      <c r="E229" s="1">
        <f t="shared" ca="1" si="7"/>
        <v>23.742592592592594</v>
      </c>
      <c r="F229" s="2">
        <f t="shared" ca="1" si="8"/>
        <v>0.97167147648389363</v>
      </c>
      <c r="G229" t="str" cm="1">
        <f t="array" aca="1" ref="G229" ca="1">_FV(C229,"Industrie")</f>
        <v>Food &amp; Tobacco</v>
      </c>
    </row>
    <row r="230" spans="1:7" x14ac:dyDescent="0.2">
      <c r="A230">
        <v>229</v>
      </c>
      <c r="C230" t="e" vm="456">
        <v>#VALUE!</v>
      </c>
      <c r="D230" s="1" cm="1" vm="457">
        <f t="array" aca="1" ref="D230" ca="1">_xlfn.STOCKHISTORY(C230,$J$1,$J$1,0,0,1)</f>
        <v>39.409999999999997</v>
      </c>
      <c r="E230" s="1">
        <f t="shared" ca="1" si="7"/>
        <v>40.592222222222226</v>
      </c>
      <c r="F230" s="2">
        <f t="shared" ca="1" si="8"/>
        <v>0.97087564667560822</v>
      </c>
      <c r="G230" t="str" cm="1">
        <f t="array" aca="1" ref="G230" ca="1">_FV(C230,"Industrie")</f>
        <v>Containers &amp; Packaging</v>
      </c>
    </row>
    <row r="231" spans="1:7" x14ac:dyDescent="0.2">
      <c r="A231">
        <v>230</v>
      </c>
      <c r="C231" t="e" vm="458">
        <v>#VALUE!</v>
      </c>
      <c r="D231" s="1" cm="1" vm="459">
        <f t="array" aca="1" ref="D231" ca="1">_xlfn.STOCKHISTORY(C231,$J$1,$J$1,0,0,1)</f>
        <v>433.07</v>
      </c>
      <c r="E231" s="1">
        <f t="shared" ca="1" si="7"/>
        <v>446.15129629629627</v>
      </c>
      <c r="F231" s="2">
        <f t="shared" ca="1" si="8"/>
        <v>0.97067968555758988</v>
      </c>
      <c r="G231" t="str" cm="1">
        <f t="array" aca="1" ref="G231" ca="1">_FV(C231,"Industrie")</f>
        <v>Pharmaceuticals</v>
      </c>
    </row>
    <row r="232" spans="1:7" x14ac:dyDescent="0.2">
      <c r="A232">
        <v>231</v>
      </c>
      <c r="C232" t="e" vm="460">
        <v>#VALUE!</v>
      </c>
      <c r="D232" s="1" cm="1" vm="461">
        <f t="array" aca="1" ref="D232" ca="1">_xlfn.STOCKHISTORY(C232,$J$1,$J$1,0,0,1)</f>
        <v>79.34</v>
      </c>
      <c r="E232" s="1">
        <f t="shared" ca="1" si="7"/>
        <v>81.839629629629627</v>
      </c>
      <c r="F232" s="2">
        <f t="shared" ca="1" si="8"/>
        <v>0.9694569777387575</v>
      </c>
      <c r="G232" t="str" cm="1">
        <f t="array" aca="1" ref="G232" ca="1">_FV(C232,"Industrie")</f>
        <v>Healthcare Equipment &amp; Supplies</v>
      </c>
    </row>
    <row r="233" spans="1:7" x14ac:dyDescent="0.2">
      <c r="A233">
        <v>232</v>
      </c>
      <c r="C233" t="e" vm="462">
        <v>#VALUE!</v>
      </c>
      <c r="D233" s="1" cm="1" vm="463">
        <f t="array" aca="1" ref="D233" ca="1">_xlfn.STOCKHISTORY(C233,$J$1,$J$1,0,0,1)</f>
        <v>122.87</v>
      </c>
      <c r="E233" s="1">
        <f t="shared" ca="1" si="7"/>
        <v>126.79333333333332</v>
      </c>
      <c r="F233" s="2">
        <f t="shared" ca="1" si="8"/>
        <v>0.96905725853094282</v>
      </c>
      <c r="G233" t="str" cm="1">
        <f t="array" aca="1" ref="G233" ca="1">_FV(C233,"Industrie")</f>
        <v>Software &amp; IT Services</v>
      </c>
    </row>
    <row r="234" spans="1:7" x14ac:dyDescent="0.2">
      <c r="A234">
        <v>233</v>
      </c>
      <c r="C234" t="e" vm="464">
        <v>#VALUE!</v>
      </c>
      <c r="D234" s="1" cm="1" vm="465">
        <f t="array" aca="1" ref="D234" ca="1">_xlfn.STOCKHISTORY(C234,$J$1,$J$1,0,0,1)</f>
        <v>180.19</v>
      </c>
      <c r="E234" s="1">
        <f t="shared" ca="1" si="7"/>
        <v>186.25074074074072</v>
      </c>
      <c r="F234" s="2">
        <f t="shared" ca="1" si="8"/>
        <v>0.96745923953571156</v>
      </c>
      <c r="G234" t="str" cm="1">
        <f t="array" aca="1" ref="G234" ca="1">_FV(C234,"Industrie")</f>
        <v>Residential &amp; Commercial REIT</v>
      </c>
    </row>
    <row r="235" spans="1:7" x14ac:dyDescent="0.2">
      <c r="A235">
        <v>234</v>
      </c>
      <c r="C235" t="e" vm="466">
        <v>#VALUE!</v>
      </c>
      <c r="D235" s="1" cm="1" vm="467">
        <f t="array" aca="1" ref="D235" ca="1">_xlfn.STOCKHISTORY(C235,$J$1,$J$1,0,0,1)</f>
        <v>14</v>
      </c>
      <c r="E235" s="1">
        <f t="shared" ca="1" si="7"/>
        <v>14.4737037037037</v>
      </c>
      <c r="F235" s="2">
        <f t="shared" ca="1" si="8"/>
        <v>0.96727142455027015</v>
      </c>
      <c r="G235" t="str" cm="1">
        <f t="array" aca="1" ref="G235" ca="1">_FV(C235,"Industrie")</f>
        <v>Electrical Utilities &amp; IPPs</v>
      </c>
    </row>
    <row r="236" spans="1:7" x14ac:dyDescent="0.2">
      <c r="A236">
        <v>235</v>
      </c>
      <c r="C236" t="e" vm="468">
        <v>#VALUE!</v>
      </c>
      <c r="D236" s="1" cm="1" vm="469">
        <f t="array" aca="1" ref="D236" ca="1">_xlfn.STOCKHISTORY(C236,$J$1,$J$1,0,0,1)</f>
        <v>283.25</v>
      </c>
      <c r="E236" s="1">
        <f t="shared" ca="1" si="7"/>
        <v>293.07666666666671</v>
      </c>
      <c r="F236" s="2">
        <f t="shared" ca="1" si="8"/>
        <v>0.96647066182910035</v>
      </c>
      <c r="G236" t="str" cm="1">
        <f t="array" aca="1" ref="G236" ca="1">_FV(C236,"Industrie")</f>
        <v>Freight &amp; Logistics Services</v>
      </c>
    </row>
    <row r="237" spans="1:7" x14ac:dyDescent="0.2">
      <c r="A237">
        <v>236</v>
      </c>
      <c r="C237" t="e" vm="470">
        <v>#VALUE!</v>
      </c>
      <c r="D237" s="1" cm="1" vm="471">
        <f t="array" aca="1" ref="D237" ca="1">_xlfn.STOCKHISTORY(C237,$J$1,$J$1,0,0,1)</f>
        <v>106.41</v>
      </c>
      <c r="E237" s="1">
        <f t="shared" ca="1" si="7"/>
        <v>110.54444444444442</v>
      </c>
      <c r="F237" s="2">
        <f t="shared" ca="1" si="8"/>
        <v>0.9625992562066541</v>
      </c>
      <c r="G237" t="str" cm="1">
        <f t="array" aca="1" ref="G237" ca="1">_FV(C237,"Industrie")</f>
        <v>Insurance</v>
      </c>
    </row>
    <row r="238" spans="1:7" x14ac:dyDescent="0.2">
      <c r="A238">
        <v>237</v>
      </c>
      <c r="C238" t="e" vm="472">
        <v>#VALUE!</v>
      </c>
      <c r="D238" s="1" cm="1" vm="473">
        <f t="array" aca="1" ref="D238" ca="1">_xlfn.STOCKHISTORY(C238,$J$1,$J$1,0,0,1)</f>
        <v>67.59</v>
      </c>
      <c r="E238" s="1">
        <f t="shared" ca="1" si="7"/>
        <v>70.369259259259238</v>
      </c>
      <c r="F238" s="2">
        <f t="shared" ca="1" si="8"/>
        <v>0.96050463954694054</v>
      </c>
      <c r="G238" t="str" cm="1">
        <f t="array" aca="1" ref="G238" ca="1">_FV(C238,"Industrie")</f>
        <v>Electrical Utilities &amp; IPPs</v>
      </c>
    </row>
    <row r="239" spans="1:7" x14ac:dyDescent="0.2">
      <c r="A239">
        <v>238</v>
      </c>
      <c r="C239" t="e" vm="474">
        <v>#VALUE!</v>
      </c>
      <c r="D239" s="1" cm="1" vm="475">
        <f t="array" aca="1" ref="D239" ca="1">_xlfn.STOCKHISTORY(C239,$J$1,$J$1,0,0,1)</f>
        <v>71.83</v>
      </c>
      <c r="E239" s="1">
        <f t="shared" ca="1" si="7"/>
        <v>74.961851851851847</v>
      </c>
      <c r="F239" s="2">
        <f t="shared" ca="1" si="8"/>
        <v>0.95822072461548347</v>
      </c>
      <c r="G239" t="str" cm="1">
        <f t="array" aca="1" ref="G239" ca="1">_FV(C239,"Industrie")</f>
        <v>Beverages</v>
      </c>
    </row>
    <row r="240" spans="1:7" x14ac:dyDescent="0.2">
      <c r="A240">
        <v>239</v>
      </c>
      <c r="C240" t="e" vm="476">
        <v>#VALUE!</v>
      </c>
      <c r="D240" s="1" cm="1" vm="477">
        <f t="array" aca="1" ref="D240" ca="1">_xlfn.STOCKHISTORY(C240,$J$1,$J$1,0,0,1)</f>
        <v>44.54</v>
      </c>
      <c r="E240" s="1">
        <f t="shared" ca="1" si="7"/>
        <v>46.486666666666672</v>
      </c>
      <c r="F240" s="2">
        <f t="shared" ca="1" si="8"/>
        <v>0.9581241933170801</v>
      </c>
      <c r="G240" t="str" cm="1">
        <f t="array" aca="1" ref="G240" ca="1">_FV(C240,"Industrie")</f>
        <v>Banking Services</v>
      </c>
    </row>
    <row r="241" spans="1:7" x14ac:dyDescent="0.2">
      <c r="A241">
        <v>240</v>
      </c>
      <c r="C241" t="e" vm="478">
        <v>#VALUE!</v>
      </c>
      <c r="D241" s="1" cm="1" vm="479">
        <f t="array" aca="1" ref="D241" ca="1">_xlfn.STOCKHISTORY(C241,$J$1,$J$1,0,0,1)</f>
        <v>92.36</v>
      </c>
      <c r="E241" s="1">
        <f t="shared" ca="1" si="7"/>
        <v>96.430740740740745</v>
      </c>
      <c r="F241" s="2">
        <f t="shared" ca="1" si="8"/>
        <v>0.95778586051013392</v>
      </c>
      <c r="G241" t="str" cm="1">
        <f t="array" aca="1" ref="G241" ca="1">_FV(C241,"Industrie")</f>
        <v>Investment Banking &amp; Investment Services</v>
      </c>
    </row>
    <row r="242" spans="1:7" x14ac:dyDescent="0.2">
      <c r="A242">
        <v>241</v>
      </c>
      <c r="C242" t="e" vm="480">
        <v>#VALUE!</v>
      </c>
      <c r="D242" s="1" cm="1" vm="481">
        <f t="array" aca="1" ref="D242" ca="1">_xlfn.STOCKHISTORY(C242,$J$1,$J$1,0,0,1)</f>
        <v>73.819999999999993</v>
      </c>
      <c r="E242" s="1">
        <f t="shared" ca="1" si="7"/>
        <v>77.248148148148147</v>
      </c>
      <c r="F242" s="2">
        <f t="shared" ca="1" si="8"/>
        <v>0.9556216138466701</v>
      </c>
      <c r="G242" t="str" cm="1">
        <f t="array" aca="1" ref="G242" ca="1">_FV(C242,"Industrie")</f>
        <v>Media &amp; Publishing</v>
      </c>
    </row>
    <row r="243" spans="1:7" x14ac:dyDescent="0.2">
      <c r="A243">
        <v>242</v>
      </c>
      <c r="C243" t="e" vm="482">
        <v>#VALUE!</v>
      </c>
      <c r="D243" s="1" cm="1" vm="483">
        <f t="array" aca="1" ref="D243" ca="1">_xlfn.STOCKHISTORY(C243,$J$1,$J$1,0,0,1)</f>
        <v>261.37</v>
      </c>
      <c r="E243" s="1">
        <f t="shared" ca="1" si="7"/>
        <v>273.7659259259259</v>
      </c>
      <c r="F243" s="2">
        <f t="shared" ca="1" si="8"/>
        <v>0.95472071301787964</v>
      </c>
      <c r="G243" t="str" cm="1">
        <f t="array" aca="1" ref="G243" ca="1">_FV(C243,"Industrie")</f>
        <v>Chemicals</v>
      </c>
    </row>
    <row r="244" spans="1:7" x14ac:dyDescent="0.2">
      <c r="A244">
        <v>243</v>
      </c>
      <c r="C244" t="e" vm="484">
        <v>#VALUE!</v>
      </c>
      <c r="D244" s="1" cm="1" vm="485">
        <f t="array" aca="1" ref="D244" ca="1">_xlfn.STOCKHISTORY(C244,$J$1,$J$1,0,0,1)</f>
        <v>78.2</v>
      </c>
      <c r="E244" s="1">
        <f t="shared" ca="1" si="7"/>
        <v>81.964629629629627</v>
      </c>
      <c r="F244" s="2">
        <f t="shared" ca="1" si="8"/>
        <v>0.95407007087519691</v>
      </c>
      <c r="G244" t="str" cm="1">
        <f t="array" aca="1" ref="G244" ca="1">_FV(C244,"Industrie")</f>
        <v>Software &amp; IT Services</v>
      </c>
    </row>
    <row r="245" spans="1:7" x14ac:dyDescent="0.2">
      <c r="A245">
        <v>244</v>
      </c>
      <c r="C245" t="e" vm="486">
        <v>#VALUE!</v>
      </c>
      <c r="D245" s="1" cm="1" vm="487">
        <f t="array" aca="1" ref="D245" ca="1">_xlfn.STOCKHISTORY(C245,$J$1,$J$1,0,0,1)</f>
        <v>58.75</v>
      </c>
      <c r="E245" s="1">
        <f t="shared" ca="1" si="7"/>
        <v>61.644074074074069</v>
      </c>
      <c r="F245" s="2">
        <f t="shared" ca="1" si="8"/>
        <v>0.95305186885285309</v>
      </c>
      <c r="G245" t="str" cm="1">
        <f t="array" aca="1" ref="G245" ca="1">_FV(C245,"Industrie")</f>
        <v>Residential &amp; Commercial REIT</v>
      </c>
    </row>
    <row r="246" spans="1:7" x14ac:dyDescent="0.2">
      <c r="A246">
        <v>245</v>
      </c>
      <c r="C246" t="e" vm="488">
        <v>#VALUE!</v>
      </c>
      <c r="D246" s="1" cm="1" vm="489">
        <f t="array" aca="1" ref="D246" ca="1">_xlfn.STOCKHISTORY(C246,$J$1,$J$1,0,0,1)</f>
        <v>152.66999999999999</v>
      </c>
      <c r="E246" s="1">
        <f t="shared" ca="1" si="7"/>
        <v>160.20777777777778</v>
      </c>
      <c r="F246" s="2">
        <f t="shared" ca="1" si="8"/>
        <v>0.95294998855652724</v>
      </c>
      <c r="G246" t="str" cm="1">
        <f t="array" aca="1" ref="G246" ca="1">_FV(C246,"Industrie")</f>
        <v>Investment Banking &amp; Investment Services</v>
      </c>
    </row>
    <row r="247" spans="1:7" x14ac:dyDescent="0.2">
      <c r="A247">
        <v>246</v>
      </c>
      <c r="C247" t="e" vm="490">
        <v>#VALUE!</v>
      </c>
      <c r="D247" s="1" cm="1" vm="491">
        <f t="array" aca="1" ref="D247" ca="1">_xlfn.STOCKHISTORY(C247,$J$1,$J$1,0,0,1)</f>
        <v>79.45</v>
      </c>
      <c r="E247" s="1">
        <f t="shared" ca="1" si="7"/>
        <v>83.42962962962963</v>
      </c>
      <c r="F247" s="2">
        <f t="shared" ca="1" si="8"/>
        <v>0.95229956494717216</v>
      </c>
      <c r="G247" t="str" cm="1">
        <f t="array" aca="1" ref="G247" ca="1">_FV(C247,"Industrie")</f>
        <v>Machinery, Equipment &amp; Components</v>
      </c>
    </row>
    <row r="248" spans="1:7" x14ac:dyDescent="0.2">
      <c r="A248">
        <v>247</v>
      </c>
      <c r="C248" t="e" vm="492">
        <v>#VALUE!</v>
      </c>
      <c r="D248" s="1" cm="1" vm="493">
        <f t="array" aca="1" ref="D248" ca="1">_xlfn.STOCKHISTORY(C248,$J$1,$J$1,0,0,1)</f>
        <v>142.71</v>
      </c>
      <c r="E248" s="1">
        <f t="shared" ca="1" si="7"/>
        <v>149.87185185185191</v>
      </c>
      <c r="F248" s="2">
        <f t="shared" ca="1" si="8"/>
        <v>0.95221349597433824</v>
      </c>
      <c r="G248" t="str" cm="1">
        <f t="array" aca="1" ref="G248" ca="1">_FV(C248,"Industrie")</f>
        <v>Personal &amp; Household Products &amp; Services</v>
      </c>
    </row>
    <row r="249" spans="1:7" x14ac:dyDescent="0.2">
      <c r="A249">
        <v>248</v>
      </c>
      <c r="C249" t="e" vm="494">
        <v>#VALUE!</v>
      </c>
      <c r="D249" s="1" cm="1" vm="495">
        <f t="array" aca="1" ref="D249" ca="1">_xlfn.STOCKHISTORY(C249,$J$1,$J$1,0,0,1)</f>
        <v>27.79</v>
      </c>
      <c r="E249" s="1">
        <f t="shared" ca="1" si="7"/>
        <v>29.237592592592591</v>
      </c>
      <c r="F249" s="2">
        <f t="shared" ca="1" si="8"/>
        <v>0.95048865298987228</v>
      </c>
      <c r="G249" t="str" cm="1">
        <f t="array" aca="1" ref="G249" ca="1">_FV(C249,"Industrie")</f>
        <v>Media &amp; Publishing</v>
      </c>
    </row>
    <row r="250" spans="1:7" x14ac:dyDescent="0.2">
      <c r="A250">
        <v>249</v>
      </c>
      <c r="C250" t="e" vm="496">
        <v>#VALUE!</v>
      </c>
      <c r="D250" s="1" cm="1" vm="497">
        <f t="array" aca="1" ref="D250" ca="1">_xlfn.STOCKHISTORY(C250,$J$1,$J$1,0,0,1)</f>
        <v>94.8</v>
      </c>
      <c r="E250" s="1">
        <f t="shared" ca="1" si="7"/>
        <v>99.768148148148157</v>
      </c>
      <c r="F250" s="2">
        <f t="shared" ca="1" si="8"/>
        <v>0.95020306339884308</v>
      </c>
      <c r="G250" t="str" cm="1">
        <f t="array" aca="1" ref="G250" ca="1">_FV(C250,"Industrie")</f>
        <v>Freight &amp; Logistics Services</v>
      </c>
    </row>
    <row r="251" spans="1:7" x14ac:dyDescent="0.2">
      <c r="A251">
        <v>250</v>
      </c>
      <c r="C251" t="e" vm="498">
        <v>#VALUE!</v>
      </c>
      <c r="D251" s="1" cm="1" vm="499">
        <f t="array" aca="1" ref="D251" ca="1">_xlfn.STOCKHISTORY(C251,$J$1,$J$1,0,0,1)</f>
        <v>153.68</v>
      </c>
      <c r="E251" s="1">
        <f t="shared" ca="1" si="7"/>
        <v>162.00481481481481</v>
      </c>
      <c r="F251" s="2">
        <f t="shared" ca="1" si="8"/>
        <v>0.9486137814834037</v>
      </c>
      <c r="G251" t="str" cm="1">
        <f t="array" aca="1" ref="G251" ca="1">_FV(C251,"Industrie")</f>
        <v>Insurance</v>
      </c>
    </row>
    <row r="252" spans="1:7" x14ac:dyDescent="0.2">
      <c r="A252">
        <v>251</v>
      </c>
      <c r="C252" t="e" vm="500">
        <v>#VALUE!</v>
      </c>
      <c r="D252" s="1" cm="1" vm="501">
        <f t="array" aca="1" ref="D252" ca="1">_xlfn.STOCKHISTORY(C252,$J$1,$J$1,0,0,1)</f>
        <v>26.23</v>
      </c>
      <c r="E252" s="1">
        <f t="shared" ca="1" si="7"/>
        <v>27.665185185185187</v>
      </c>
      <c r="F252" s="2">
        <f t="shared" ca="1" si="8"/>
        <v>0.94812305879832914</v>
      </c>
      <c r="G252" t="str" cm="1">
        <f t="array" aca="1" ref="G252" ca="1">_FV(C252,"Industrie")</f>
        <v>Beverages</v>
      </c>
    </row>
    <row r="253" spans="1:7" x14ac:dyDescent="0.2">
      <c r="A253">
        <v>252</v>
      </c>
      <c r="C253" t="e" vm="502">
        <v>#VALUE!</v>
      </c>
      <c r="D253" s="1" cm="1" vm="503">
        <f t="array" aca="1" ref="D253" ca="1">_xlfn.STOCKHISTORY(C253,$J$1,$J$1,0,0,1)</f>
        <v>88.57</v>
      </c>
      <c r="E253" s="1">
        <f t="shared" ca="1" si="7"/>
        <v>93.491481481481486</v>
      </c>
      <c r="F253" s="2">
        <f t="shared" ca="1" si="8"/>
        <v>0.94735903845468183</v>
      </c>
      <c r="G253" t="str" cm="1">
        <f t="array" aca="1" ref="G253" ca="1">_FV(C253,"Industrie")</f>
        <v>Healthcare Equipment &amp; Supplies</v>
      </c>
    </row>
    <row r="254" spans="1:7" x14ac:dyDescent="0.2">
      <c r="A254">
        <v>253</v>
      </c>
      <c r="C254" t="e" vm="504">
        <v>#VALUE!</v>
      </c>
      <c r="D254" s="1" cm="1" vm="505">
        <f t="array" aca="1" ref="D254" ca="1">_xlfn.STOCKHISTORY(C254,$J$1,$J$1,0,0,1)</f>
        <v>327.82</v>
      </c>
      <c r="E254" s="1">
        <f t="shared" ca="1" si="7"/>
        <v>346.35518518518518</v>
      </c>
      <c r="F254" s="2">
        <f t="shared" ca="1" si="8"/>
        <v>0.94648503623447988</v>
      </c>
      <c r="G254" t="str" cm="1">
        <f t="array" aca="1" ref="G254" ca="1">_FV(C254,"Industrie")</f>
        <v>Textiles &amp; Apparel</v>
      </c>
    </row>
    <row r="255" spans="1:7" x14ac:dyDescent="0.2">
      <c r="A255">
        <v>254</v>
      </c>
      <c r="C255" t="e" vm="506">
        <v>#VALUE!</v>
      </c>
      <c r="D255" s="1" cm="1" vm="507">
        <f t="array" aca="1" ref="D255" ca="1">_xlfn.STOCKHISTORY(C255,$J$1,$J$1,0,0,1)</f>
        <v>802.89</v>
      </c>
      <c r="E255" s="1">
        <f t="shared" ca="1" si="7"/>
        <v>848.3922222222219</v>
      </c>
      <c r="F255" s="2">
        <f t="shared" ca="1" si="8"/>
        <v>0.94636652596479909</v>
      </c>
      <c r="G255" t="str" cm="1">
        <f t="array" aca="1" ref="G255" ca="1">_FV(C255,"Industrie")</f>
        <v>Investment Banking &amp; Investment Services</v>
      </c>
    </row>
    <row r="256" spans="1:7" x14ac:dyDescent="0.2">
      <c r="A256">
        <v>255</v>
      </c>
      <c r="C256" t="e" vm="508">
        <v>#VALUE!</v>
      </c>
      <c r="D256" s="1" cm="1" vm="509">
        <f t="array" aca="1" ref="D256" ca="1">_xlfn.STOCKHISTORY(C256,$J$1,$J$1,0,0,1)</f>
        <v>468.49</v>
      </c>
      <c r="E256" s="1">
        <f t="shared" ca="1" si="7"/>
        <v>495.12888888888898</v>
      </c>
      <c r="F256" s="2">
        <f t="shared" ca="1" si="8"/>
        <v>0.94619807188251748</v>
      </c>
      <c r="G256" t="str" cm="1">
        <f t="array" aca="1" ref="G256" ca="1">_FV(C256,"Industrie")</f>
        <v>Consumer Goods Conglomerates</v>
      </c>
    </row>
    <row r="257" spans="1:7" x14ac:dyDescent="0.2">
      <c r="A257">
        <v>256</v>
      </c>
      <c r="C257" t="e" vm="510">
        <v>#VALUE!</v>
      </c>
      <c r="D257" s="1" cm="1" vm="511">
        <f t="array" aca="1" ref="D257" ca="1">_xlfn.STOCKHISTORY(C257,$J$1,$J$1,0,0,1)</f>
        <v>248.8</v>
      </c>
      <c r="E257" s="1">
        <f t="shared" ca="1" si="7"/>
        <v>262.96444444444444</v>
      </c>
      <c r="F257" s="2">
        <f t="shared" ca="1" si="8"/>
        <v>0.94613551472949453</v>
      </c>
      <c r="G257" t="str" cm="1">
        <f t="array" aca="1" ref="G257" ca="1">_FV(C257,"Industrie")</f>
        <v>Computers, Phones &amp; Household Electronics</v>
      </c>
    </row>
    <row r="258" spans="1:7" x14ac:dyDescent="0.2">
      <c r="A258">
        <v>257</v>
      </c>
      <c r="C258" t="e" vm="512">
        <v>#VALUE!</v>
      </c>
      <c r="D258" s="1" cm="1" vm="513">
        <f t="array" aca="1" ref="D258" ca="1">_xlfn.STOCKHISTORY(C258,$J$1,$J$1,0,0,1)</f>
        <v>213.28</v>
      </c>
      <c r="E258" s="1">
        <f t="shared" ref="E258:E321" ca="1" si="9">AVERAGE(_xlfn.STOCKHISTORY(C258,$J$1-182,$J$1,1,0,1))</f>
        <v>225.49444444444441</v>
      </c>
      <c r="F258" s="2">
        <f t="shared" ref="F258:F321" ca="1" si="10">D258/E258</f>
        <v>0.9458326147478382</v>
      </c>
      <c r="G258" t="str" cm="1">
        <f t="array" aca="1" ref="G258" ca="1">_FV(C258,"Industrie")</f>
        <v>Insurance</v>
      </c>
    </row>
    <row r="259" spans="1:7" x14ac:dyDescent="0.2">
      <c r="A259">
        <v>258</v>
      </c>
      <c r="C259" t="e" vm="514">
        <v>#VALUE!</v>
      </c>
      <c r="D259" s="1" cm="1" vm="515">
        <f t="array" aca="1" ref="D259" ca="1">_xlfn.STOCKHISTORY(C259,$J$1,$J$1,0,0,1)</f>
        <v>54.25</v>
      </c>
      <c r="E259" s="1">
        <f t="shared" ca="1" si="9"/>
        <v>57.377407407407411</v>
      </c>
      <c r="F259" s="2">
        <f t="shared" ca="1" si="10"/>
        <v>0.94549409691516206</v>
      </c>
      <c r="G259" t="str" cm="1">
        <f t="array" aca="1" ref="G259" ca="1">_FV(C259,"Industrie")</f>
        <v>Machinery, Equipment &amp; Components</v>
      </c>
    </row>
    <row r="260" spans="1:7" x14ac:dyDescent="0.2">
      <c r="A260">
        <v>259</v>
      </c>
      <c r="C260" t="e" vm="516">
        <v>#VALUE!</v>
      </c>
      <c r="D260" s="1" cm="1" vm="517">
        <f t="array" aca="1" ref="D260" ca="1">_xlfn.STOCKHISTORY(C260,$J$1,$J$1,0,0,1)</f>
        <v>102.34</v>
      </c>
      <c r="E260" s="1">
        <f t="shared" ca="1" si="9"/>
        <v>108.24259259259262</v>
      </c>
      <c r="F260" s="2">
        <f t="shared" ca="1" si="10"/>
        <v>0.94546885425399041</v>
      </c>
      <c r="G260" t="str" cm="1">
        <f t="array" aca="1" ref="G260" ca="1">_FV(C260,"Industrie")</f>
        <v>Computers, Phones &amp; Household Electronics</v>
      </c>
    </row>
    <row r="261" spans="1:7" x14ac:dyDescent="0.2">
      <c r="A261">
        <v>260</v>
      </c>
      <c r="C261" t="e" vm="518">
        <v>#VALUE!</v>
      </c>
      <c r="D261" s="1" cm="1" vm="519">
        <f t="array" aca="1" ref="D261" ca="1">_xlfn.STOCKHISTORY(C261,$J$1,$J$1,0,0,1)</f>
        <v>93.43</v>
      </c>
      <c r="E261" s="1">
        <f t="shared" ca="1" si="9"/>
        <v>98.854629629629628</v>
      </c>
      <c r="F261" s="2">
        <f t="shared" ca="1" si="10"/>
        <v>0.94512518381836408</v>
      </c>
      <c r="G261" t="str" cm="1">
        <f t="array" aca="1" ref="G261" ca="1">_FV(C261,"Industrie")</f>
        <v>Software &amp; IT Services</v>
      </c>
    </row>
    <row r="262" spans="1:7" x14ac:dyDescent="0.2">
      <c r="A262">
        <v>261</v>
      </c>
      <c r="C262" t="e" vm="520">
        <v>#VALUE!</v>
      </c>
      <c r="D262" s="1" cm="1" vm="521">
        <f t="array" aca="1" ref="D262" ca="1">_xlfn.STOCKHISTORY(C262,$J$1,$J$1,0,0,1)</f>
        <v>164.12</v>
      </c>
      <c r="E262" s="1">
        <f t="shared" ca="1" si="9"/>
        <v>173.66888888888892</v>
      </c>
      <c r="F262" s="2">
        <f t="shared" ca="1" si="10"/>
        <v>0.94501669844275815</v>
      </c>
      <c r="G262" t="str" cm="1">
        <f t="array" aca="1" ref="G262" ca="1">_FV(C262,"Industrie")</f>
        <v>Investment Banking &amp; Investment Services</v>
      </c>
    </row>
    <row r="263" spans="1:7" x14ac:dyDescent="0.2">
      <c r="A263">
        <v>262</v>
      </c>
      <c r="C263" t="e" vm="522">
        <v>#VALUE!</v>
      </c>
      <c r="D263" s="1" cm="1" vm="523">
        <f t="array" aca="1" ref="D263" ca="1">_xlfn.STOCKHISTORY(C263,$J$1,$J$1,0,0,1)</f>
        <v>25.16</v>
      </c>
      <c r="E263" s="1">
        <f t="shared" ca="1" si="9"/>
        <v>26.665925925925922</v>
      </c>
      <c r="F263" s="2">
        <f t="shared" ca="1" si="10"/>
        <v>0.94352620906136297</v>
      </c>
      <c r="G263" t="str" cm="1">
        <f t="array" aca="1" ref="G263" ca="1">_FV(C263,"Industrie")</f>
        <v>Banking Services</v>
      </c>
    </row>
    <row r="264" spans="1:7" x14ac:dyDescent="0.2">
      <c r="A264">
        <v>263</v>
      </c>
      <c r="C264" t="e" vm="524">
        <v>#VALUE!</v>
      </c>
      <c r="D264" s="1" cm="1" vm="525">
        <f t="array" aca="1" ref="D264" ca="1">_xlfn.STOCKHISTORY(C264,$J$1,$J$1,0,0,1)</f>
        <v>167.78</v>
      </c>
      <c r="E264" s="1">
        <f t="shared" ca="1" si="9"/>
        <v>178.02111111111117</v>
      </c>
      <c r="F264" s="2">
        <f t="shared" ca="1" si="10"/>
        <v>0.94247249077824702</v>
      </c>
      <c r="G264" t="str" cm="1">
        <f t="array" aca="1" ref="G264" ca="1">_FV(C264,"Industrie")</f>
        <v>Containers &amp; Packaging</v>
      </c>
    </row>
    <row r="265" spans="1:7" x14ac:dyDescent="0.2">
      <c r="A265">
        <v>264</v>
      </c>
      <c r="C265" t="e" vm="526">
        <v>#VALUE!</v>
      </c>
      <c r="D265" s="1" cm="1" vm="527">
        <f t="array" aca="1" ref="D265" ca="1">_xlfn.STOCKHISTORY(C265,$J$1,$J$1,0,0,1)</f>
        <v>24.24</v>
      </c>
      <c r="E265" s="1">
        <f t="shared" ca="1" si="9"/>
        <v>25.732962962962961</v>
      </c>
      <c r="F265" s="2">
        <f t="shared" ca="1" si="10"/>
        <v>0.94198246952316522</v>
      </c>
      <c r="G265" t="str" cm="1">
        <f t="array" aca="1" ref="G265" ca="1">_FV(C265,"Industrie")</f>
        <v>Media &amp; Publishing</v>
      </c>
    </row>
    <row r="266" spans="1:7" x14ac:dyDescent="0.2">
      <c r="A266">
        <v>265</v>
      </c>
      <c r="C266" t="e" vm="528">
        <v>#VALUE!</v>
      </c>
      <c r="D266" s="1" cm="1" vm="529">
        <f t="array" aca="1" ref="D266" ca="1">_xlfn.STOCKHISTORY(C266,$J$1,$J$1,0,0,1)</f>
        <v>201.99</v>
      </c>
      <c r="E266" s="1">
        <f t="shared" ca="1" si="9"/>
        <v>214.81925925925918</v>
      </c>
      <c r="F266" s="2">
        <f t="shared" ca="1" si="10"/>
        <v>0.94027882181748001</v>
      </c>
      <c r="G266" t="str" cm="1">
        <f t="array" aca="1" ref="G266" ca="1">_FV(C266,"Industrie")</f>
        <v>Semiconductors &amp; Semiconductor Equipment</v>
      </c>
    </row>
    <row r="267" spans="1:7" x14ac:dyDescent="0.2">
      <c r="A267">
        <v>266</v>
      </c>
      <c r="C267" t="e" vm="530">
        <v>#VALUE!</v>
      </c>
      <c r="D267" s="1" cm="1" vm="531">
        <f t="array" aca="1" ref="D267" ca="1">_xlfn.STOCKHISTORY(C267,$J$1,$J$1,0,0,1)</f>
        <v>261.95999999999998</v>
      </c>
      <c r="E267" s="1">
        <f t="shared" ca="1" si="9"/>
        <v>278.60518518518518</v>
      </c>
      <c r="F267" s="2">
        <f t="shared" ca="1" si="10"/>
        <v>0.94025529290087917</v>
      </c>
      <c r="G267" t="str" cm="1">
        <f t="array" aca="1" ref="G267" ca="1">_FV(C267,"Industrie")</f>
        <v>Healthcare Providers &amp; Services</v>
      </c>
    </row>
    <row r="268" spans="1:7" x14ac:dyDescent="0.2">
      <c r="A268">
        <v>267</v>
      </c>
      <c r="C268" t="e" vm="532">
        <v>#VALUE!</v>
      </c>
      <c r="D268" s="1" cm="1" vm="533">
        <f t="array" aca="1" ref="D268" ca="1">_xlfn.STOCKHISTORY(C268,$J$1,$J$1,0,0,1)</f>
        <v>22.75</v>
      </c>
      <c r="E268" s="1">
        <f t="shared" ca="1" si="9"/>
        <v>24.208148148148148</v>
      </c>
      <c r="F268" s="2">
        <f t="shared" ca="1" si="10"/>
        <v>0.9397662250237141</v>
      </c>
      <c r="G268" t="str" cm="1">
        <f t="array" aca="1" ref="G268" ca="1">_FV(C268,"Industrie")</f>
        <v>Investment Banking &amp; Investment Services</v>
      </c>
    </row>
    <row r="269" spans="1:7" x14ac:dyDescent="0.2">
      <c r="A269">
        <v>268</v>
      </c>
      <c r="C269" t="e" vm="534">
        <v>#VALUE!</v>
      </c>
      <c r="D269" s="1" cm="1" vm="535">
        <f t="array" aca="1" ref="D269" ca="1">_xlfn.STOCKHISTORY(C269,$J$1,$J$1,0,0,1)</f>
        <v>62</v>
      </c>
      <c r="E269" s="1">
        <f t="shared" ca="1" si="9"/>
        <v>66.050925925925938</v>
      </c>
      <c r="F269" s="2">
        <f t="shared" ca="1" si="10"/>
        <v>0.9386696572509986</v>
      </c>
      <c r="G269" t="str" cm="1">
        <f t="array" aca="1" ref="G269" ca="1">_FV(C269,"Industrie")</f>
        <v>Semiconductors &amp; Semiconductor Equipment</v>
      </c>
    </row>
    <row r="270" spans="1:7" x14ac:dyDescent="0.2">
      <c r="A270">
        <v>269</v>
      </c>
      <c r="C270" t="e" vm="536">
        <v>#VALUE!</v>
      </c>
      <c r="D270" s="1" cm="1" vm="537">
        <f t="array" aca="1" ref="D270" ca="1">_xlfn.STOCKHISTORY(C270,$J$1,$J$1,0,0,1)</f>
        <v>266.01</v>
      </c>
      <c r="E270" s="1">
        <f t="shared" ca="1" si="9"/>
        <v>283.41518518518524</v>
      </c>
      <c r="F270" s="2">
        <f t="shared" ca="1" si="10"/>
        <v>0.93858767597857329</v>
      </c>
      <c r="G270" t="str" cm="1">
        <f t="array" aca="1" ref="G270" ca="1">_FV(C270,"Industrie")</f>
        <v>Residential &amp; Commercial REIT</v>
      </c>
    </row>
    <row r="271" spans="1:7" x14ac:dyDescent="0.2">
      <c r="A271">
        <v>270</v>
      </c>
      <c r="C271" t="e" vm="538">
        <v>#VALUE!</v>
      </c>
      <c r="D271" s="1" cm="1" vm="539">
        <f t="array" aca="1" ref="D271" ca="1">_xlfn.STOCKHISTORY(C271,$J$1,$J$1,0,0,1)</f>
        <v>62.25</v>
      </c>
      <c r="E271" s="1">
        <f t="shared" ca="1" si="9"/>
        <v>66.469629629629623</v>
      </c>
      <c r="F271" s="2">
        <f t="shared" ca="1" si="10"/>
        <v>0.93651793077317413</v>
      </c>
      <c r="G271" t="str" cm="1">
        <f t="array" aca="1" ref="G271" ca="1">_FV(C271,"Industrie")</f>
        <v>Healthcare Equipment &amp; Supplies</v>
      </c>
    </row>
    <row r="272" spans="1:7" x14ac:dyDescent="0.2">
      <c r="A272">
        <v>271</v>
      </c>
      <c r="C272" t="e" vm="540">
        <v>#VALUE!</v>
      </c>
      <c r="D272" s="1" cm="1" vm="541">
        <f t="array" aca="1" ref="D272" ca="1">_xlfn.STOCKHISTORY(C272,$J$1,$J$1,0,0,1)</f>
        <v>90.11</v>
      </c>
      <c r="E272" s="1">
        <f t="shared" ca="1" si="9"/>
        <v>96.255925925925936</v>
      </c>
      <c r="F272" s="2">
        <f t="shared" ca="1" si="10"/>
        <v>0.93615015525739631</v>
      </c>
      <c r="G272" t="str" cm="1">
        <f t="array" aca="1" ref="G272" ca="1">_FV(C272,"Industrie")</f>
        <v>Specialty Retailers</v>
      </c>
    </row>
    <row r="273" spans="1:7" x14ac:dyDescent="0.2">
      <c r="A273">
        <v>272</v>
      </c>
      <c r="C273" t="e" vm="542">
        <v>#VALUE!</v>
      </c>
      <c r="D273" s="1" cm="1" vm="543">
        <f t="array" aca="1" ref="D273" ca="1">_xlfn.STOCKHISTORY(C273,$J$1,$J$1,0,0,1)</f>
        <v>239.61</v>
      </c>
      <c r="E273" s="1">
        <f t="shared" ca="1" si="9"/>
        <v>256.01518518518515</v>
      </c>
      <c r="F273" s="2">
        <f t="shared" ca="1" si="10"/>
        <v>0.93592104634997075</v>
      </c>
      <c r="G273" t="str" cm="1">
        <f t="array" aca="1" ref="G273" ca="1">_FV(C273,"Industrie")</f>
        <v>Residential &amp; Commercial REIT</v>
      </c>
    </row>
    <row r="274" spans="1:7" x14ac:dyDescent="0.2">
      <c r="A274">
        <v>273</v>
      </c>
      <c r="C274" t="e" vm="544">
        <v>#VALUE!</v>
      </c>
      <c r="D274" s="1" cm="1" vm="545">
        <f t="array" aca="1" ref="D274" ca="1">_xlfn.STOCKHISTORY(C274,$J$1,$J$1,0,0,1)</f>
        <v>44.53</v>
      </c>
      <c r="E274" s="1">
        <f t="shared" ca="1" si="9"/>
        <v>47.579629629629636</v>
      </c>
      <c r="F274" s="2">
        <f t="shared" ca="1" si="10"/>
        <v>0.93590472113026879</v>
      </c>
      <c r="G274" t="str" cm="1">
        <f t="array" aca="1" ref="G274" ca="1">_FV(C274,"Industrie")</f>
        <v>Banking Services</v>
      </c>
    </row>
    <row r="275" spans="1:7" x14ac:dyDescent="0.2">
      <c r="A275">
        <v>274</v>
      </c>
      <c r="C275" t="e" vm="546">
        <v>#VALUE!</v>
      </c>
      <c r="D275" s="1" cm="1" vm="547">
        <f t="array" aca="1" ref="D275" ca="1">_xlfn.STOCKHISTORY(C275,$J$1,$J$1,0,0,1)</f>
        <v>29.18</v>
      </c>
      <c r="E275" s="1">
        <f t="shared" ca="1" si="9"/>
        <v>31.187222222222225</v>
      </c>
      <c r="F275" s="2">
        <f t="shared" ca="1" si="10"/>
        <v>0.93563959598838542</v>
      </c>
      <c r="G275" t="str" cm="1">
        <f t="array" aca="1" ref="G275" ca="1">_FV(C275,"Industrie")</f>
        <v>Automobiles &amp; Auto Parts</v>
      </c>
    </row>
    <row r="276" spans="1:7" x14ac:dyDescent="0.2">
      <c r="A276">
        <v>275</v>
      </c>
      <c r="C276" t="e" vm="548">
        <v>#VALUE!</v>
      </c>
      <c r="D276" s="1" cm="1" vm="549">
        <f t="array" aca="1" ref="D276" ca="1">_xlfn.STOCKHISTORY(C276,$J$1,$J$1,0,0,1)</f>
        <v>158.38999999999999</v>
      </c>
      <c r="E276" s="1">
        <f t="shared" ca="1" si="9"/>
        <v>169.29814814814819</v>
      </c>
      <c r="F276" s="2">
        <f t="shared" ca="1" si="10"/>
        <v>0.93556841425930559</v>
      </c>
      <c r="G276" t="str" cm="1">
        <f t="array" aca="1" ref="G276" ca="1">_FV(C276,"Industrie")</f>
        <v>Investment Banking &amp; Investment Services</v>
      </c>
    </row>
    <row r="277" spans="1:7" x14ac:dyDescent="0.2">
      <c r="A277">
        <v>276</v>
      </c>
      <c r="C277" t="e" vm="550">
        <v>#VALUE!</v>
      </c>
      <c r="D277" s="1" cm="1" vm="551">
        <f t="array" aca="1" ref="D277" ca="1">_xlfn.STOCKHISTORY(C277,$J$1,$J$1,0,0,1)</f>
        <v>107</v>
      </c>
      <c r="E277" s="1">
        <f t="shared" ca="1" si="9"/>
        <v>114.37296296296297</v>
      </c>
      <c r="F277" s="2">
        <f t="shared" ca="1" si="10"/>
        <v>0.93553578772501911</v>
      </c>
      <c r="G277" t="str" cm="1">
        <f t="array" aca="1" ref="G277" ca="1">_FV(C277,"Industrie")</f>
        <v>Diversified Retail</v>
      </c>
    </row>
    <row r="278" spans="1:7" x14ac:dyDescent="0.2">
      <c r="A278">
        <v>277</v>
      </c>
      <c r="C278" t="e" vm="552">
        <v>#VALUE!</v>
      </c>
      <c r="D278" s="1" cm="1" vm="553">
        <f t="array" aca="1" ref="D278" ca="1">_xlfn.STOCKHISTORY(C278,$J$1,$J$1,0,0,1)</f>
        <v>64.2</v>
      </c>
      <c r="E278" s="1">
        <f t="shared" ca="1" si="9"/>
        <v>68.649814814814818</v>
      </c>
      <c r="F278" s="2">
        <f t="shared" ca="1" si="10"/>
        <v>0.93518096404457407</v>
      </c>
      <c r="G278" t="str" cm="1">
        <f t="array" aca="1" ref="G278" ca="1">_FV(C278,"Industrie")</f>
        <v>Investment Banking &amp; Investment Services</v>
      </c>
    </row>
    <row r="279" spans="1:7" x14ac:dyDescent="0.2">
      <c r="A279">
        <v>278</v>
      </c>
      <c r="C279" t="e" vm="554">
        <v>#VALUE!</v>
      </c>
      <c r="D279" s="1" cm="1" vm="555">
        <f t="array" aca="1" ref="D279" ca="1">_xlfn.STOCKHISTORY(C279,$J$1,$J$1,0,0,1)</f>
        <v>284.93</v>
      </c>
      <c r="E279" s="1">
        <f t="shared" ca="1" si="9"/>
        <v>305.31851851851849</v>
      </c>
      <c r="F279" s="2">
        <f t="shared" ca="1" si="10"/>
        <v>0.93322213596001757</v>
      </c>
      <c r="G279" t="str" cm="1">
        <f t="array" aca="1" ref="G279" ca="1">_FV(C279,"Industrie")</f>
        <v>Professional &amp; Commercial Services</v>
      </c>
    </row>
    <row r="280" spans="1:7" x14ac:dyDescent="0.2">
      <c r="A280">
        <v>279</v>
      </c>
      <c r="C280" t="e" vm="556">
        <v>#VALUE!</v>
      </c>
      <c r="D280" s="1" cm="1" vm="557">
        <f t="array" aca="1" ref="D280" ca="1">_xlfn.STOCKHISTORY(C280,$J$1,$J$1,0,0,1)</f>
        <v>209.4</v>
      </c>
      <c r="E280" s="1">
        <f t="shared" ca="1" si="9"/>
        <v>224.60777777777778</v>
      </c>
      <c r="F280" s="2">
        <f t="shared" ca="1" si="10"/>
        <v>0.93229184702221646</v>
      </c>
      <c r="G280" t="str" cm="1">
        <f t="array" aca="1" ref="G280" ca="1">_FV(C280,"Industrie")</f>
        <v>Pharmaceuticals</v>
      </c>
    </row>
    <row r="281" spans="1:7" x14ac:dyDescent="0.2">
      <c r="A281">
        <v>280</v>
      </c>
      <c r="C281" t="e" vm="558">
        <v>#VALUE!</v>
      </c>
      <c r="D281" s="1" cm="1" vm="559">
        <f t="array" aca="1" ref="D281" ca="1">_xlfn.STOCKHISTORY(C281,$J$1,$J$1,0,0,1)</f>
        <v>169.52</v>
      </c>
      <c r="E281" s="1">
        <f t="shared" ca="1" si="9"/>
        <v>181.8688888888889</v>
      </c>
      <c r="F281" s="2">
        <f t="shared" ca="1" si="10"/>
        <v>0.93210004765337662</v>
      </c>
      <c r="G281" t="str" cm="1">
        <f t="array" aca="1" ref="G281" ca="1">_FV(C281,"Industrie")</f>
        <v>Residential &amp; Commercial REIT</v>
      </c>
    </row>
    <row r="282" spans="1:7" x14ac:dyDescent="0.2">
      <c r="A282">
        <v>281</v>
      </c>
      <c r="C282" t="e" vm="560">
        <v>#VALUE!</v>
      </c>
      <c r="D282" s="1" cm="1" vm="561">
        <f t="array" aca="1" ref="D282" ca="1">_xlfn.STOCKHISTORY(C282,$J$1,$J$1,0,0,1)</f>
        <v>72.95</v>
      </c>
      <c r="E282" s="1">
        <f t="shared" ca="1" si="9"/>
        <v>78.348518518518532</v>
      </c>
      <c r="F282" s="2">
        <f t="shared" ca="1" si="10"/>
        <v>0.93109609957407768</v>
      </c>
      <c r="G282" t="str" cm="1">
        <f t="array" aca="1" ref="G282" ca="1">_FV(C282,"Industrie")</f>
        <v>Insurance</v>
      </c>
    </row>
    <row r="283" spans="1:7" x14ac:dyDescent="0.2">
      <c r="A283">
        <v>282</v>
      </c>
      <c r="C283" t="e" vm="562">
        <v>#VALUE!</v>
      </c>
      <c r="D283" s="1" cm="1" vm="563">
        <f t="array" aca="1" ref="D283" ca="1">_xlfn.STOCKHISTORY(C283,$J$1,$J$1,0,0,1)</f>
        <v>523.4</v>
      </c>
      <c r="E283" s="1">
        <f t="shared" ca="1" si="9"/>
        <v>562.77518518518514</v>
      </c>
      <c r="F283" s="2">
        <f t="shared" ca="1" si="10"/>
        <v>0.93003389946515058</v>
      </c>
      <c r="G283" t="str" cm="1">
        <f t="array" aca="1" ref="G283" ca="1">_FV(C283,"Industrie")</f>
        <v>Professional &amp; Commercial Services</v>
      </c>
    </row>
    <row r="284" spans="1:7" x14ac:dyDescent="0.2">
      <c r="A284">
        <v>283</v>
      </c>
      <c r="C284" t="e" vm="564">
        <v>#VALUE!</v>
      </c>
      <c r="D284" s="1" cm="1" vm="565">
        <f t="array" aca="1" ref="D284" ca="1">_xlfn.STOCKHISTORY(C284,$J$1,$J$1,0,0,1)</f>
        <v>315.37</v>
      </c>
      <c r="E284" s="1">
        <f t="shared" ca="1" si="9"/>
        <v>339.14629629629638</v>
      </c>
      <c r="F284" s="2">
        <f t="shared" ca="1" si="10"/>
        <v>0.92989368730854682</v>
      </c>
      <c r="G284" t="str" cm="1">
        <f t="array" aca="1" ref="G284" ca="1">_FV(C284,"Industrie")</f>
        <v>Chemicals</v>
      </c>
    </row>
    <row r="285" spans="1:7" x14ac:dyDescent="0.2">
      <c r="A285">
        <v>284</v>
      </c>
      <c r="C285" t="e" vm="566">
        <v>#VALUE!</v>
      </c>
      <c r="D285" s="1" cm="1" vm="567">
        <f t="array" aca="1" ref="D285" ca="1">_xlfn.STOCKHISTORY(C285,$J$1,$J$1,0,0,1)</f>
        <v>33.58</v>
      </c>
      <c r="E285" s="1">
        <f t="shared" ca="1" si="9"/>
        <v>36.148888888888891</v>
      </c>
      <c r="F285" s="2">
        <f t="shared" ca="1" si="10"/>
        <v>0.92893588246142489</v>
      </c>
      <c r="G285" t="str" cm="1">
        <f t="array" aca="1" ref="G285" ca="1">_FV(C285,"Industrie")</f>
        <v>Residential &amp; Commercial REIT</v>
      </c>
    </row>
    <row r="286" spans="1:7" x14ac:dyDescent="0.2">
      <c r="A286">
        <v>285</v>
      </c>
      <c r="C286" t="e" vm="568">
        <v>#VALUE!</v>
      </c>
      <c r="D286" s="1" cm="1" vm="569">
        <f t="array" aca="1" ref="D286" ca="1">_xlfn.STOCKHISTORY(C286,$J$1,$J$1,0,0,1)</f>
        <v>128.96</v>
      </c>
      <c r="E286" s="1">
        <f t="shared" ca="1" si="9"/>
        <v>138.94370370370368</v>
      </c>
      <c r="F286" s="2">
        <f t="shared" ca="1" si="10"/>
        <v>0.92814569183362328</v>
      </c>
      <c r="G286" t="str" cm="1">
        <f t="array" aca="1" ref="G286" ca="1">_FV(C286,"Industrie")</f>
        <v>Residential &amp; Commercial REIT</v>
      </c>
    </row>
    <row r="287" spans="1:7" x14ac:dyDescent="0.2">
      <c r="A287">
        <v>286</v>
      </c>
      <c r="C287" t="e" vm="570">
        <v>#VALUE!</v>
      </c>
      <c r="D287" s="1" cm="1" vm="571">
        <f t="array" aca="1" ref="D287" ca="1">_xlfn.STOCKHISTORY(C287,$J$1,$J$1,0,0,1)</f>
        <v>117.16</v>
      </c>
      <c r="E287" s="1">
        <f t="shared" ca="1" si="9"/>
        <v>126.26666666666667</v>
      </c>
      <c r="F287" s="2">
        <f t="shared" ca="1" si="10"/>
        <v>0.92787750791974655</v>
      </c>
      <c r="G287" t="str" cm="1">
        <f t="array" aca="1" ref="G287" ca="1">_FV(C287,"Industrie")</f>
        <v>Diversified Retail</v>
      </c>
    </row>
    <row r="288" spans="1:7" x14ac:dyDescent="0.2">
      <c r="A288">
        <v>287</v>
      </c>
      <c r="C288" t="e" vm="572">
        <v>#VALUE!</v>
      </c>
      <c r="D288" s="1" cm="1" vm="573">
        <f t="array" aca="1" ref="D288" ca="1">_xlfn.STOCKHISTORY(C288,$J$1,$J$1,0,0,1)</f>
        <v>43.4</v>
      </c>
      <c r="E288" s="1">
        <f t="shared" ca="1" si="9"/>
        <v>46.912962962962965</v>
      </c>
      <c r="F288" s="2">
        <f t="shared" ca="1" si="10"/>
        <v>0.92511743575573357</v>
      </c>
      <c r="G288" t="str" cm="1">
        <f t="array" aca="1" ref="G288" ca="1">_FV(C288,"Industrie")</f>
        <v>Beverages</v>
      </c>
    </row>
    <row r="289" spans="1:7" x14ac:dyDescent="0.2">
      <c r="A289">
        <v>288</v>
      </c>
      <c r="C289" t="e" vm="574">
        <v>#VALUE!</v>
      </c>
      <c r="D289" s="1" cm="1" vm="575">
        <f t="array" aca="1" ref="D289" ca="1">_xlfn.STOCKHISTORY(C289,$J$1,$J$1,0,0,1)</f>
        <v>29.74</v>
      </c>
      <c r="E289" s="1">
        <f t="shared" ca="1" si="9"/>
        <v>32.168333333333337</v>
      </c>
      <c r="F289" s="2">
        <f t="shared" ca="1" si="10"/>
        <v>0.92451168333246969</v>
      </c>
      <c r="G289" t="str" cm="1">
        <f t="array" aca="1" ref="G289" ca="1">_FV(C289,"Industrie")</f>
        <v>Software &amp; IT Services</v>
      </c>
    </row>
    <row r="290" spans="1:7" x14ac:dyDescent="0.2">
      <c r="A290">
        <v>289</v>
      </c>
      <c r="C290" t="e" vm="576">
        <v>#VALUE!</v>
      </c>
      <c r="D290" s="1" cm="1" vm="577">
        <f t="array" aca="1" ref="D290" ca="1">_xlfn.STOCKHISTORY(C290,$J$1,$J$1,0,0,1)</f>
        <v>274.33999999999997</v>
      </c>
      <c r="E290" s="1">
        <f t="shared" ca="1" si="9"/>
        <v>297.04777777777775</v>
      </c>
      <c r="F290" s="2">
        <f t="shared" ca="1" si="10"/>
        <v>0.92355513329318517</v>
      </c>
      <c r="G290" t="str" cm="1">
        <f t="array" aca="1" ref="G290" ca="1">_FV(C290,"Industrie")</f>
        <v>Software &amp; IT Services</v>
      </c>
    </row>
    <row r="291" spans="1:7" x14ac:dyDescent="0.2">
      <c r="A291">
        <v>290</v>
      </c>
      <c r="C291" t="e" vm="578">
        <v>#VALUE!</v>
      </c>
      <c r="D291" s="1" cm="1" vm="579">
        <f t="array" aca="1" ref="D291" ca="1">_xlfn.STOCKHISTORY(C291,$J$1,$J$1,0,0,1)</f>
        <v>90.3</v>
      </c>
      <c r="E291" s="1">
        <f t="shared" ca="1" si="9"/>
        <v>97.824444444444481</v>
      </c>
      <c r="F291" s="2">
        <f t="shared" ca="1" si="10"/>
        <v>0.92308216533018295</v>
      </c>
      <c r="G291" t="str" cm="1">
        <f t="array" aca="1" ref="G291" ca="1">_FV(C291,"Industrie")</f>
        <v>Pharmaceuticals</v>
      </c>
    </row>
    <row r="292" spans="1:7" x14ac:dyDescent="0.2">
      <c r="A292">
        <v>291</v>
      </c>
      <c r="C292" t="e" vm="580">
        <v>#VALUE!</v>
      </c>
      <c r="D292" s="1" cm="1" vm="581">
        <f t="array" aca="1" ref="D292" ca="1">_xlfn.STOCKHISTORY(C292,$J$1,$J$1,0,0,1)</f>
        <v>96.96</v>
      </c>
      <c r="E292" s="1">
        <f t="shared" ca="1" si="9"/>
        <v>105.11148148148149</v>
      </c>
      <c r="F292" s="2">
        <f t="shared" ca="1" si="10"/>
        <v>0.9224491809401657</v>
      </c>
      <c r="G292" t="str" cm="1">
        <f t="array" aca="1" ref="G292" ca="1">_FV(C292,"Industrie")</f>
        <v>Residential &amp; Commercial REIT</v>
      </c>
    </row>
    <row r="293" spans="1:7" x14ac:dyDescent="0.2">
      <c r="A293">
        <v>292</v>
      </c>
      <c r="C293" t="e" vm="582">
        <v>#VALUE!</v>
      </c>
      <c r="D293" s="1" cm="1" vm="583">
        <f t="array" aca="1" ref="D293" ca="1">_xlfn.STOCKHISTORY(C293,$J$1,$J$1,0,0,1)</f>
        <v>282.81</v>
      </c>
      <c r="E293" s="1">
        <f t="shared" ca="1" si="9"/>
        <v>306.77481481481482</v>
      </c>
      <c r="F293" s="2">
        <f t="shared" ca="1" si="10"/>
        <v>0.92188141380093014</v>
      </c>
      <c r="G293" t="str" cm="1">
        <f t="array" aca="1" ref="G293" ca="1">_FV(C293,"Industrie")</f>
        <v>Aerospace &amp; Defense</v>
      </c>
    </row>
    <row r="294" spans="1:7" x14ac:dyDescent="0.2">
      <c r="A294">
        <v>293</v>
      </c>
      <c r="C294" t="e" vm="584">
        <v>#VALUE!</v>
      </c>
      <c r="D294" s="1" cm="1" vm="585">
        <f t="array" aca="1" ref="D294" ca="1">_xlfn.STOCKHISTORY(C294,$J$1,$J$1,0,0,1)</f>
        <v>98.66</v>
      </c>
      <c r="E294" s="1">
        <f t="shared" ca="1" si="9"/>
        <v>107.02685185185184</v>
      </c>
      <c r="F294" s="2">
        <f t="shared" ca="1" si="10"/>
        <v>0.92182474110858303</v>
      </c>
      <c r="G294" t="str" cm="1">
        <f t="array" aca="1" ref="G294" ca="1">_FV(C294,"Industrie")</f>
        <v>Personal &amp; Household Products &amp; Services</v>
      </c>
    </row>
    <row r="295" spans="1:7" x14ac:dyDescent="0.2">
      <c r="A295">
        <v>294</v>
      </c>
      <c r="C295" t="e" vm="586">
        <v>#VALUE!</v>
      </c>
      <c r="D295" s="1" cm="1" vm="587">
        <f t="array" aca="1" ref="D295" ca="1">_xlfn.STOCKHISTORY(C295,$J$1,$J$1,0,0,1)</f>
        <v>23.2</v>
      </c>
      <c r="E295" s="1">
        <f t="shared" ca="1" si="9"/>
        <v>25.167777777777776</v>
      </c>
      <c r="F295" s="2">
        <f t="shared" ca="1" si="10"/>
        <v>0.9218136064632908</v>
      </c>
      <c r="G295" t="str" cm="1">
        <f t="array" aca="1" ref="G295" ca="1">_FV(C295,"Industrie")</f>
        <v>Investment Banking &amp; Investment Services</v>
      </c>
    </row>
    <row r="296" spans="1:7" x14ac:dyDescent="0.2">
      <c r="A296">
        <v>295</v>
      </c>
      <c r="C296" t="e" vm="588">
        <v>#VALUE!</v>
      </c>
      <c r="D296" s="1" cm="1" vm="589">
        <f t="array" aca="1" ref="D296" ca="1">_xlfn.STOCKHISTORY(C296,$J$1,$J$1,0,0,1)</f>
        <v>282.83999999999997</v>
      </c>
      <c r="E296" s="1">
        <f t="shared" ca="1" si="9"/>
        <v>307.14111111111117</v>
      </c>
      <c r="F296" s="2">
        <f t="shared" ca="1" si="10"/>
        <v>0.92087965357942581</v>
      </c>
      <c r="G296" t="str" cm="1">
        <f t="array" aca="1" ref="G296" ca="1">_FV(C296,"Industrie")</f>
        <v>Banking Services</v>
      </c>
    </row>
    <row r="297" spans="1:7" x14ac:dyDescent="0.2">
      <c r="A297">
        <v>296</v>
      </c>
      <c r="C297" t="e" vm="590">
        <v>#VALUE!</v>
      </c>
      <c r="D297" s="1" cm="1" vm="591">
        <f t="array" aca="1" ref="D297" ca="1">_xlfn.STOCKHISTORY(C297,$J$1,$J$1,0,0,1)</f>
        <v>273.76</v>
      </c>
      <c r="E297" s="1">
        <f t="shared" ca="1" si="9"/>
        <v>297.38481481481489</v>
      </c>
      <c r="F297" s="2">
        <f t="shared" ca="1" si="10"/>
        <v>0.92055809968129554</v>
      </c>
      <c r="G297" t="str" cm="1">
        <f t="array" aca="1" ref="G297" ca="1">_FV(C297,"Industrie")</f>
        <v>Software &amp; IT Services</v>
      </c>
    </row>
    <row r="298" spans="1:7" x14ac:dyDescent="0.2">
      <c r="A298">
        <v>297</v>
      </c>
      <c r="C298" t="e" vm="592">
        <v>#VALUE!</v>
      </c>
      <c r="D298" s="1" cm="1" vm="593">
        <f t="array" aca="1" ref="D298" ca="1">_xlfn.STOCKHISTORY(C298,$J$1,$J$1,0,0,1)</f>
        <v>64.42</v>
      </c>
      <c r="E298" s="1">
        <f t="shared" ca="1" si="9"/>
        <v>70.060370370370364</v>
      </c>
      <c r="F298" s="2">
        <f t="shared" ca="1" si="10"/>
        <v>0.91949271263407761</v>
      </c>
      <c r="G298" t="str" cm="1">
        <f t="array" aca="1" ref="G298" ca="1">_FV(C298,"Industrie")</f>
        <v>Machinery, Equipment &amp; Components</v>
      </c>
    </row>
    <row r="299" spans="1:7" x14ac:dyDescent="0.2">
      <c r="A299">
        <v>298</v>
      </c>
      <c r="C299" t="e" vm="594">
        <v>#VALUE!</v>
      </c>
      <c r="D299" s="1" cm="1" vm="595">
        <f t="array" aca="1" ref="D299" ca="1">_xlfn.STOCKHISTORY(C299,$J$1,$J$1,0,0,1)</f>
        <v>53.38</v>
      </c>
      <c r="E299" s="1">
        <f t="shared" ca="1" si="9"/>
        <v>58.09851851851851</v>
      </c>
      <c r="F299" s="2">
        <f t="shared" ca="1" si="10"/>
        <v>0.91878418522815664</v>
      </c>
      <c r="G299" t="str" cm="1">
        <f t="array" aca="1" ref="G299" ca="1">_FV(C299,"Industrie")</f>
        <v>Media &amp; Publishing</v>
      </c>
    </row>
    <row r="300" spans="1:7" x14ac:dyDescent="0.2">
      <c r="A300">
        <v>299</v>
      </c>
      <c r="C300" t="e" vm="596">
        <v>#VALUE!</v>
      </c>
      <c r="D300" s="1" cm="1" vm="597">
        <f t="array" aca="1" ref="D300" ca="1">_xlfn.STOCKHISTORY(C300,$J$1,$J$1,0,0,1)</f>
        <v>230.31</v>
      </c>
      <c r="E300" s="1">
        <f t="shared" ca="1" si="9"/>
        <v>250.7503703703704</v>
      </c>
      <c r="F300" s="2">
        <f t="shared" ca="1" si="10"/>
        <v>0.91848318971501819</v>
      </c>
      <c r="G300" t="str" cm="1">
        <f t="array" aca="1" ref="G300" ca="1">_FV(C300,"Industrie")</f>
        <v>Specialty Retailers</v>
      </c>
    </row>
    <row r="301" spans="1:7" x14ac:dyDescent="0.2">
      <c r="A301">
        <v>300</v>
      </c>
      <c r="C301" t="e" vm="598">
        <v>#VALUE!</v>
      </c>
      <c r="D301" s="1" cm="1" vm="599">
        <f t="array" aca="1" ref="D301" ca="1">_xlfn.STOCKHISTORY(C301,$J$1,$J$1,0,0,1)</f>
        <v>169.17</v>
      </c>
      <c r="E301" s="1">
        <f t="shared" ca="1" si="9"/>
        <v>184.34185185185183</v>
      </c>
      <c r="F301" s="2">
        <f t="shared" ca="1" si="10"/>
        <v>0.91769719301699948</v>
      </c>
      <c r="G301" t="str" cm="1">
        <f t="array" aca="1" ref="G301" ca="1">_FV(C301,"Industrie")</f>
        <v>Insurance</v>
      </c>
    </row>
    <row r="302" spans="1:7" x14ac:dyDescent="0.2">
      <c r="A302">
        <v>301</v>
      </c>
      <c r="C302" t="e" vm="600">
        <v>#VALUE!</v>
      </c>
      <c r="D302" s="1" cm="1" vm="601">
        <f t="array" aca="1" ref="D302" ca="1">_xlfn.STOCKHISTORY(C302,$J$1,$J$1,0,0,1)</f>
        <v>351.5</v>
      </c>
      <c r="E302" s="1">
        <f t="shared" ca="1" si="9"/>
        <v>383.20962962962972</v>
      </c>
      <c r="F302" s="2">
        <f t="shared" ca="1" si="10"/>
        <v>0.91725252400291479</v>
      </c>
      <c r="G302" t="str" cm="1">
        <f t="array" aca="1" ref="G302" ca="1">_FV(C302,"Industrie")</f>
        <v>Machinery, Equipment &amp; Components</v>
      </c>
    </row>
    <row r="303" spans="1:7" x14ac:dyDescent="0.2">
      <c r="A303">
        <v>302</v>
      </c>
      <c r="C303" t="e" vm="602">
        <v>#VALUE!</v>
      </c>
      <c r="D303" s="1" cm="1" vm="603">
        <f t="array" aca="1" ref="D303" ca="1">_xlfn.STOCKHISTORY(C303,$J$1,$J$1,0,0,1)</f>
        <v>225.81</v>
      </c>
      <c r="E303" s="1">
        <f t="shared" ca="1" si="9"/>
        <v>246.46703703703704</v>
      </c>
      <c r="F303" s="2">
        <f t="shared" ca="1" si="10"/>
        <v>0.91618742495803662</v>
      </c>
      <c r="G303" t="str" cm="1">
        <f t="array" aca="1" ref="G303" ca="1">_FV(C303,"Industrie")</f>
        <v>Hotels &amp; Entertainment Services</v>
      </c>
    </row>
    <row r="304" spans="1:7" x14ac:dyDescent="0.2">
      <c r="A304">
        <v>303</v>
      </c>
      <c r="C304" t="e" vm="604">
        <v>#VALUE!</v>
      </c>
      <c r="D304" s="1" cm="1" vm="605">
        <f t="array" aca="1" ref="D304" ca="1">_xlfn.STOCKHISTORY(C304,$J$1,$J$1,0,0,1)</f>
        <v>59.11</v>
      </c>
      <c r="E304" s="1">
        <f t="shared" ca="1" si="9"/>
        <v>64.58259259259259</v>
      </c>
      <c r="F304" s="2">
        <f t="shared" ca="1" si="10"/>
        <v>0.91526211053316742</v>
      </c>
      <c r="G304" t="str" cm="1">
        <f t="array" aca="1" ref="G304" ca="1">_FV(C304,"Industrie")</f>
        <v>Media &amp; Publishing</v>
      </c>
    </row>
    <row r="305" spans="1:7" x14ac:dyDescent="0.2">
      <c r="A305">
        <v>304</v>
      </c>
      <c r="C305" t="e" vm="606">
        <v>#VALUE!</v>
      </c>
      <c r="D305" s="1" cm="1" vm="607">
        <f t="array" aca="1" ref="D305" ca="1">_xlfn.STOCKHISTORY(C305,$J$1,$J$1,0,0,1)</f>
        <v>313.66000000000003</v>
      </c>
      <c r="E305" s="1">
        <f t="shared" ca="1" si="9"/>
        <v>342.97962962962953</v>
      </c>
      <c r="F305" s="2">
        <f t="shared" ca="1" si="10"/>
        <v>0.91451495337699606</v>
      </c>
      <c r="G305" t="str" cm="1">
        <f t="array" aca="1" ref="G305" ca="1">_FV(C305,"Industrie")</f>
        <v>Insurance</v>
      </c>
    </row>
    <row r="306" spans="1:7" x14ac:dyDescent="0.2">
      <c r="A306">
        <v>305</v>
      </c>
      <c r="C306" t="e" vm="608">
        <v>#VALUE!</v>
      </c>
      <c r="D306" s="1" cm="1" vm="609">
        <f t="array" aca="1" ref="D306" ca="1">_xlfn.STOCKHISTORY(C306,$J$1,$J$1,0,0,1)</f>
        <v>68.819999999999993</v>
      </c>
      <c r="E306" s="1">
        <f t="shared" ca="1" si="9"/>
        <v>75.301851851851836</v>
      </c>
      <c r="F306" s="2">
        <f t="shared" ca="1" si="10"/>
        <v>0.9139217470427663</v>
      </c>
      <c r="G306" t="str" cm="1">
        <f t="array" aca="1" ref="G306" ca="1">_FV(C306,"Industrie")</f>
        <v>Machinery, Equipment &amp; Components</v>
      </c>
    </row>
    <row r="307" spans="1:7" x14ac:dyDescent="0.2">
      <c r="A307">
        <v>306</v>
      </c>
      <c r="C307" t="e" vm="610">
        <v>#VALUE!</v>
      </c>
      <c r="D307" s="1" cm="1" vm="611">
        <f t="array" aca="1" ref="D307" ca="1">_xlfn.STOCKHISTORY(C307,$J$1,$J$1,0,0,1)</f>
        <v>125.4</v>
      </c>
      <c r="E307" s="1">
        <f t="shared" ca="1" si="9"/>
        <v>137.2385185185185</v>
      </c>
      <c r="F307" s="2">
        <f t="shared" ca="1" si="10"/>
        <v>0.91373763979446454</v>
      </c>
      <c r="G307" t="str" cm="1">
        <f t="array" aca="1" ref="G307" ca="1">_FV(C307,"Industrie")</f>
        <v>Machinery, Equipment &amp; Components</v>
      </c>
    </row>
    <row r="308" spans="1:7" x14ac:dyDescent="0.2">
      <c r="A308">
        <v>307</v>
      </c>
      <c r="C308" t="e" vm="612">
        <v>#VALUE!</v>
      </c>
      <c r="D308" s="1" cm="1" vm="613">
        <f t="array" aca="1" ref="D308" ca="1">_xlfn.STOCKHISTORY(C308,$J$1,$J$1,0,0,1)</f>
        <v>198.84</v>
      </c>
      <c r="E308" s="1">
        <f t="shared" ca="1" si="9"/>
        <v>217.63074074074072</v>
      </c>
      <c r="F308" s="2">
        <f t="shared" ca="1" si="10"/>
        <v>0.91365769065168156</v>
      </c>
      <c r="G308" t="str" cm="1">
        <f t="array" aca="1" ref="G308" ca="1">_FV(C308,"Industrie")</f>
        <v>Insurance</v>
      </c>
    </row>
    <row r="309" spans="1:7" x14ac:dyDescent="0.2">
      <c r="A309">
        <v>308</v>
      </c>
      <c r="C309" t="e" vm="614">
        <v>#VALUE!</v>
      </c>
      <c r="D309" s="1" cm="1" vm="615">
        <f t="array" aca="1" ref="D309" ca="1">_xlfn.STOCKHISTORY(C309,$J$1,$J$1,0,0,1)</f>
        <v>147.74</v>
      </c>
      <c r="E309" s="1">
        <f t="shared" ca="1" si="9"/>
        <v>161.78111111111113</v>
      </c>
      <c r="F309" s="2">
        <f t="shared" ca="1" si="10"/>
        <v>0.9132092058542749</v>
      </c>
      <c r="G309" t="str" cm="1">
        <f t="array" aca="1" ref="G309" ca="1">_FV(C309,"Industrie")</f>
        <v>Electrical Utilities &amp; IPPs</v>
      </c>
    </row>
    <row r="310" spans="1:7" x14ac:dyDescent="0.2">
      <c r="A310">
        <v>309</v>
      </c>
      <c r="C310" t="e" vm="616">
        <v>#VALUE!</v>
      </c>
      <c r="D310" s="1" cm="1" vm="617">
        <f t="array" aca="1" ref="D310" ca="1">_xlfn.STOCKHISTORY(C310,$J$1,$J$1,0,0,1)</f>
        <v>64.739999999999995</v>
      </c>
      <c r="E310" s="1">
        <f t="shared" ca="1" si="9"/>
        <v>70.929248148148147</v>
      </c>
      <c r="F310" s="2">
        <f t="shared" ca="1" si="10"/>
        <v>0.91274053638323049</v>
      </c>
      <c r="G310" t="str" cm="1">
        <f t="array" aca="1" ref="G310" ca="1">_FV(C310,"Industrie")</f>
        <v>Insurance</v>
      </c>
    </row>
    <row r="311" spans="1:7" x14ac:dyDescent="0.2">
      <c r="A311">
        <v>310</v>
      </c>
      <c r="C311" t="e" vm="618">
        <v>#VALUE!</v>
      </c>
      <c r="D311" s="1" cm="1" vm="619">
        <f t="array" aca="1" ref="D311" ca="1">_xlfn.STOCKHISTORY(C311,$J$1,$J$1,0,0,1)</f>
        <v>167.52</v>
      </c>
      <c r="E311" s="1">
        <f t="shared" ca="1" si="9"/>
        <v>183.56851851851854</v>
      </c>
      <c r="F311" s="2">
        <f t="shared" ca="1" si="10"/>
        <v>0.91257477781028373</v>
      </c>
      <c r="G311" t="str" cm="1">
        <f t="array" aca="1" ref="G311" ca="1">_FV(C311,"Industrie")</f>
        <v>Semiconductors &amp; Semiconductor Equipment</v>
      </c>
    </row>
    <row r="312" spans="1:7" x14ac:dyDescent="0.2">
      <c r="A312">
        <v>311</v>
      </c>
      <c r="C312" t="e" vm="620">
        <v>#VALUE!</v>
      </c>
      <c r="D312" s="1" cm="1" vm="621">
        <f t="array" aca="1" ref="D312" ca="1">_xlfn.STOCKHISTORY(C312,$J$1,$J$1,0,0,1)</f>
        <v>436.81</v>
      </c>
      <c r="E312" s="1">
        <f t="shared" ca="1" si="9"/>
        <v>479.00629629629634</v>
      </c>
      <c r="F312" s="2">
        <f t="shared" ca="1" si="10"/>
        <v>0.91190868132097536</v>
      </c>
      <c r="G312" t="str" cm="1">
        <f t="array" aca="1" ref="G312" ca="1">_FV(C312,"Industrie")</f>
        <v>Investment Banking &amp; Investment Services</v>
      </c>
    </row>
    <row r="313" spans="1:7" x14ac:dyDescent="0.2">
      <c r="A313">
        <v>312</v>
      </c>
      <c r="C313" t="e" vm="622">
        <v>#VALUE!</v>
      </c>
      <c r="D313" s="1" cm="1" vm="623">
        <f t="array" aca="1" ref="D313" ca="1">_xlfn.STOCKHISTORY(C313,$J$1,$J$1,0,0,1)</f>
        <v>114.63</v>
      </c>
      <c r="E313" s="1">
        <f t="shared" ca="1" si="9"/>
        <v>125.7214814814815</v>
      </c>
      <c r="F313" s="2">
        <f t="shared" ca="1" si="10"/>
        <v>0.91177735617826572</v>
      </c>
      <c r="G313" t="str" cm="1">
        <f t="array" aca="1" ref="G313" ca="1">_FV(C313,"Industrie")</f>
        <v>Homebuilding &amp; Construction Supplies</v>
      </c>
    </row>
    <row r="314" spans="1:7" x14ac:dyDescent="0.2">
      <c r="A314">
        <v>313</v>
      </c>
      <c r="C314" t="e" vm="624">
        <v>#VALUE!</v>
      </c>
      <c r="D314" s="1" cm="1" vm="625">
        <f t="array" aca="1" ref="D314" ca="1">_xlfn.STOCKHISTORY(C314,$J$1,$J$1,0,0,1)</f>
        <v>153.31</v>
      </c>
      <c r="E314" s="1">
        <f t="shared" ca="1" si="9"/>
        <v>168.44296296296301</v>
      </c>
      <c r="F314" s="2">
        <f t="shared" ca="1" si="10"/>
        <v>0.91015971996235656</v>
      </c>
      <c r="G314" t="str" cm="1">
        <f t="array" aca="1" ref="G314" ca="1">_FV(C314,"Industrie")</f>
        <v>Software &amp; IT Services</v>
      </c>
    </row>
    <row r="315" spans="1:7" x14ac:dyDescent="0.2">
      <c r="A315">
        <v>314</v>
      </c>
      <c r="C315" t="e" vm="626">
        <v>#VALUE!</v>
      </c>
      <c r="D315" s="1" cm="1" vm="627">
        <f t="array" aca="1" ref="D315" ca="1">_xlfn.STOCKHISTORY(C315,$J$1,$J$1,0,0,1)</f>
        <v>26.61</v>
      </c>
      <c r="E315" s="1">
        <f t="shared" ca="1" si="9"/>
        <v>29.261481481481482</v>
      </c>
      <c r="F315" s="2">
        <f t="shared" ca="1" si="10"/>
        <v>0.90938662886363053</v>
      </c>
      <c r="G315" t="str" cm="1">
        <f t="array" aca="1" ref="G315" ca="1">_FV(C315,"Industrie")</f>
        <v>Residential &amp; Commercial REIT</v>
      </c>
    </row>
    <row r="316" spans="1:7" x14ac:dyDescent="0.2">
      <c r="A316">
        <v>315</v>
      </c>
      <c r="C316" t="e" vm="628">
        <v>#VALUE!</v>
      </c>
      <c r="D316" s="1" cm="1" vm="629">
        <f t="array" aca="1" ref="D316" ca="1">_xlfn.STOCKHISTORY(C316,$J$1,$J$1,0,0,1)</f>
        <v>312.45</v>
      </c>
      <c r="E316" s="1">
        <f t="shared" ca="1" si="9"/>
        <v>344.11259259259265</v>
      </c>
      <c r="F316" s="2">
        <f t="shared" ca="1" si="10"/>
        <v>0.90798769567238957</v>
      </c>
      <c r="G316" t="str" cm="1">
        <f t="array" aca="1" ref="G316" ca="1">_FV(C316,"Industrie")</f>
        <v>Healthcare Equipment &amp; Supplies</v>
      </c>
    </row>
    <row r="317" spans="1:7" x14ac:dyDescent="0.2">
      <c r="A317">
        <v>316</v>
      </c>
      <c r="C317" t="e" vm="630">
        <v>#VALUE!</v>
      </c>
      <c r="D317" s="1" cm="1" vm="631">
        <f t="array" aca="1" ref="D317" ca="1">_xlfn.STOCKHISTORY(C317,$J$1,$J$1,0,0,1)</f>
        <v>123.62</v>
      </c>
      <c r="E317" s="1">
        <f t="shared" ca="1" si="9"/>
        <v>136.20407407407404</v>
      </c>
      <c r="F317" s="2">
        <f t="shared" ca="1" si="10"/>
        <v>0.90760868087374358</v>
      </c>
      <c r="G317" t="str" cm="1">
        <f t="array" aca="1" ref="G317" ca="1">_FV(C317,"Industrie")</f>
        <v>Electronic Equipment &amp; Parts</v>
      </c>
    </row>
    <row r="318" spans="1:7" x14ac:dyDescent="0.2">
      <c r="A318">
        <v>317</v>
      </c>
      <c r="C318" t="e" vm="632">
        <v>#VALUE!</v>
      </c>
      <c r="D318" s="1" cm="1" vm="633">
        <f t="array" aca="1" ref="D318" ca="1">_xlfn.STOCKHISTORY(C318,$J$1,$J$1,0,0,1)</f>
        <v>81.48</v>
      </c>
      <c r="E318" s="1">
        <f t="shared" ca="1" si="9"/>
        <v>89.788518518518515</v>
      </c>
      <c r="F318" s="2">
        <f t="shared" ca="1" si="10"/>
        <v>0.90746569098581453</v>
      </c>
      <c r="G318" t="str" cm="1">
        <f t="array" aca="1" ref="G318" ca="1">_FV(C318,"Industrie")</f>
        <v>Investment Banking &amp; Investment Services</v>
      </c>
    </row>
    <row r="319" spans="1:7" x14ac:dyDescent="0.2">
      <c r="A319">
        <v>318</v>
      </c>
      <c r="C319" t="e" vm="634">
        <v>#VALUE!</v>
      </c>
      <c r="D319" s="1" cm="1" vm="635">
        <f t="array" aca="1" ref="D319" ca="1">_xlfn.STOCKHISTORY(C319,$J$1,$J$1,0,0,1)</f>
        <v>84.04</v>
      </c>
      <c r="E319" s="1">
        <f t="shared" ca="1" si="9"/>
        <v>92.623333333333335</v>
      </c>
      <c r="F319" s="2">
        <f t="shared" ca="1" si="10"/>
        <v>0.90733076618562647</v>
      </c>
      <c r="G319" t="str" cm="1">
        <f t="array" aca="1" ref="G319" ca="1">_FV(C319,"Industrie")</f>
        <v>Specialty Retailers</v>
      </c>
    </row>
    <row r="320" spans="1:7" x14ac:dyDescent="0.2">
      <c r="A320">
        <v>319</v>
      </c>
      <c r="C320" t="e" vm="636">
        <v>#VALUE!</v>
      </c>
      <c r="D320" s="1" cm="1" vm="637">
        <f t="array" aca="1" ref="D320" ca="1">_xlfn.STOCKHISTORY(C320,$J$1,$J$1,0,0,1)</f>
        <v>38.619999999999997</v>
      </c>
      <c r="E320" s="1">
        <f t="shared" ca="1" si="9"/>
        <v>42.574074074074069</v>
      </c>
      <c r="F320" s="2">
        <f t="shared" ca="1" si="10"/>
        <v>0.90712483688560253</v>
      </c>
      <c r="G320" t="str" cm="1">
        <f t="array" aca="1" ref="G320" ca="1">_FV(C320,"Industrie")</f>
        <v>Containers &amp; Packaging</v>
      </c>
    </row>
    <row r="321" spans="1:7" x14ac:dyDescent="0.2">
      <c r="A321">
        <v>320</v>
      </c>
      <c r="C321" t="e" vm="638">
        <v>#VALUE!</v>
      </c>
      <c r="D321" s="1" cm="1" vm="639">
        <f t="array" aca="1" ref="D321" ca="1">_xlfn.STOCKHISTORY(C321,$J$1,$J$1,0,0,1)</f>
        <v>175.29</v>
      </c>
      <c r="E321" s="1">
        <f t="shared" ca="1" si="9"/>
        <v>193.2625925925926</v>
      </c>
      <c r="F321" s="2">
        <f t="shared" ca="1" si="10"/>
        <v>0.9070042870092313</v>
      </c>
      <c r="G321" t="str" cm="1">
        <f t="array" aca="1" ref="G321" ca="1">_FV(C321,"Industrie")</f>
        <v>Specialty Retailers</v>
      </c>
    </row>
    <row r="322" spans="1:7" x14ac:dyDescent="0.2">
      <c r="A322">
        <v>321</v>
      </c>
      <c r="C322" t="e" vm="640">
        <v>#VALUE!</v>
      </c>
      <c r="D322" s="1" cm="1" vm="641">
        <f t="array" aca="1" ref="D322" ca="1">_xlfn.STOCKHISTORY(C322,$J$1,$J$1,0,0,1)</f>
        <v>120.57</v>
      </c>
      <c r="E322" s="1">
        <f t="shared" ref="E322:E385" ca="1" si="11">AVERAGE(_xlfn.STOCKHISTORY(C322,$J$1-182,$J$1,1,0,1))</f>
        <v>132.97518518518521</v>
      </c>
      <c r="F322" s="2">
        <f t="shared" ref="F322:F385" ca="1" si="12">D322/E322</f>
        <v>0.90671052521634476</v>
      </c>
      <c r="G322" t="str" cm="1">
        <f t="array" aca="1" ref="G322" ca="1">_FV(C322,"Industrie")</f>
        <v>Residential &amp; Commercial REIT</v>
      </c>
    </row>
    <row r="323" spans="1:7" x14ac:dyDescent="0.2">
      <c r="A323">
        <v>322</v>
      </c>
      <c r="C323" t="e" vm="642">
        <v>#VALUE!</v>
      </c>
      <c r="D323" s="1" cm="1" vm="643">
        <f t="array" aca="1" ref="D323" ca="1">_xlfn.STOCKHISTORY(C323,$J$1,$J$1,0,0,1)</f>
        <v>570.94000000000005</v>
      </c>
      <c r="E323" s="1">
        <f t="shared" ca="1" si="11"/>
        <v>630.2455555555556</v>
      </c>
      <c r="F323" s="2">
        <f t="shared" ca="1" si="12"/>
        <v>0.90590087461500901</v>
      </c>
      <c r="G323" t="str" cm="1">
        <f t="array" aca="1" ref="G323" ca="1">_FV(C323,"Industrie")</f>
        <v>Construction Materials</v>
      </c>
    </row>
    <row r="324" spans="1:7" x14ac:dyDescent="0.2">
      <c r="A324">
        <v>323</v>
      </c>
      <c r="C324" t="e" vm="644">
        <v>#VALUE!</v>
      </c>
      <c r="D324" s="1" cm="1" vm="645">
        <f t="array" aca="1" ref="D324" ca="1">_xlfn.STOCKHISTORY(C324,$J$1,$J$1,0,0,1)</f>
        <v>327.44</v>
      </c>
      <c r="E324" s="1">
        <f t="shared" ca="1" si="11"/>
        <v>361.56925925925924</v>
      </c>
      <c r="F324" s="2">
        <f t="shared" ca="1" si="12"/>
        <v>0.90560796200103055</v>
      </c>
      <c r="G324" t="str" cm="1">
        <f t="array" aca="1" ref="G324" ca="1">_FV(C324,"Industrie")</f>
        <v>Healthcare Equipment &amp; Supplies</v>
      </c>
    </row>
    <row r="325" spans="1:7" x14ac:dyDescent="0.2">
      <c r="A325">
        <v>324</v>
      </c>
      <c r="C325" t="e" vm="646">
        <v>#VALUE!</v>
      </c>
      <c r="D325" s="1" cm="1" vm="647">
        <f t="array" aca="1" ref="D325" ca="1">_xlfn.STOCKHISTORY(C325,$J$1,$J$1,0,0,1)</f>
        <v>22.04</v>
      </c>
      <c r="E325" s="1">
        <f t="shared" ca="1" si="11"/>
        <v>24.354814814814812</v>
      </c>
      <c r="F325" s="2">
        <f t="shared" ca="1" si="12"/>
        <v>0.90495453024727035</v>
      </c>
      <c r="G325" t="str" cm="1">
        <f t="array" aca="1" ref="G325" ca="1">_FV(C325,"Industrie")</f>
        <v>Food &amp; Tobacco</v>
      </c>
    </row>
    <row r="326" spans="1:7" x14ac:dyDescent="0.2">
      <c r="A326">
        <v>325</v>
      </c>
      <c r="C326" t="e" vm="648">
        <v>#VALUE!</v>
      </c>
      <c r="D326" s="1" cm="1" vm="649">
        <f t="array" aca="1" ref="D326" ca="1">_xlfn.STOCKHISTORY(C326,$J$1,$J$1,0,0,1)</f>
        <v>87.14</v>
      </c>
      <c r="E326" s="1">
        <f t="shared" ca="1" si="11"/>
        <v>96.330740740740723</v>
      </c>
      <c r="F326" s="2">
        <f t="shared" ca="1" si="12"/>
        <v>0.90459181908009845</v>
      </c>
      <c r="G326" t="str" cm="1">
        <f t="array" aca="1" ref="G326" ca="1">_FV(C326,"Industrie")</f>
        <v>Healthcare Equipment &amp; Supplies</v>
      </c>
    </row>
    <row r="327" spans="1:7" x14ac:dyDescent="0.2">
      <c r="A327">
        <v>326</v>
      </c>
      <c r="C327" t="e" vm="650">
        <v>#VALUE!</v>
      </c>
      <c r="D327" s="1" cm="1" vm="651">
        <f t="array" aca="1" ref="D327" ca="1">_xlfn.STOCKHISTORY(C327,$J$1,$J$1,0,0,1)</f>
        <v>301.49</v>
      </c>
      <c r="E327" s="1">
        <f t="shared" ca="1" si="11"/>
        <v>333.50296296296301</v>
      </c>
      <c r="F327" s="2">
        <f t="shared" ca="1" si="12"/>
        <v>0.90400995937622841</v>
      </c>
      <c r="G327" t="str" cm="1">
        <f t="array" aca="1" ref="G327" ca="1">_FV(C327,"Industrie")</f>
        <v>Electrical Utilities &amp; IPPs</v>
      </c>
    </row>
    <row r="328" spans="1:7" x14ac:dyDescent="0.2">
      <c r="A328">
        <v>327</v>
      </c>
      <c r="C328" t="e" vm="652">
        <v>#VALUE!</v>
      </c>
      <c r="D328" s="1" cm="1" vm="653">
        <f t="array" aca="1" ref="D328" ca="1">_xlfn.STOCKHISTORY(C328,$J$1,$J$1,0,0,1)</f>
        <v>1232.04</v>
      </c>
      <c r="E328" s="1">
        <f t="shared" ca="1" si="11"/>
        <v>1364.0759259259257</v>
      </c>
      <c r="F328" s="2">
        <f t="shared" ca="1" si="12"/>
        <v>0.90320485581746435</v>
      </c>
      <c r="G328" t="str" cm="1">
        <f t="array" aca="1" ref="G328" ca="1">_FV(C328,"Industrie")</f>
        <v>Office Equipment</v>
      </c>
    </row>
    <row r="329" spans="1:7" x14ac:dyDescent="0.2">
      <c r="A329">
        <v>328</v>
      </c>
      <c r="C329" t="e" vm="654">
        <v>#VALUE!</v>
      </c>
      <c r="D329" s="1" cm="1" vm="655">
        <f t="array" aca="1" ref="D329" ca="1">_xlfn.STOCKHISTORY(C329,$J$1,$J$1,0,0,1)</f>
        <v>24.47</v>
      </c>
      <c r="E329" s="1">
        <f t="shared" ca="1" si="11"/>
        <v>27.144444444444442</v>
      </c>
      <c r="F329" s="2">
        <f t="shared" ca="1" si="12"/>
        <v>0.90147359803520266</v>
      </c>
      <c r="G329" t="str" cm="1">
        <f t="array" aca="1" ref="G329" ca="1">_FV(C329,"Industrie")</f>
        <v>Residential &amp; Commercial REIT</v>
      </c>
    </row>
    <row r="330" spans="1:7" x14ac:dyDescent="0.2">
      <c r="A330">
        <v>329</v>
      </c>
      <c r="C330" t="e" vm="656">
        <v>#VALUE!</v>
      </c>
      <c r="D330" s="1" cm="1" vm="657">
        <f t="array" aca="1" ref="D330" ca="1">_xlfn.STOCKHISTORY(C330,$J$1,$J$1,0,0,1)</f>
        <v>261.8</v>
      </c>
      <c r="E330" s="1">
        <f t="shared" ca="1" si="11"/>
        <v>290.94111111111107</v>
      </c>
      <c r="F330" s="2">
        <f t="shared" ca="1" si="12"/>
        <v>0.89983845528113759</v>
      </c>
      <c r="G330" t="str" cm="1">
        <f t="array" aca="1" ref="G330" ca="1">_FV(C330,"Industrie")</f>
        <v>Hotels &amp; Entertainment Services</v>
      </c>
    </row>
    <row r="331" spans="1:7" x14ac:dyDescent="0.2">
      <c r="A331">
        <v>330</v>
      </c>
      <c r="C331" t="e" vm="658">
        <v>#VALUE!</v>
      </c>
      <c r="D331" s="1" cm="1" vm="659">
        <f t="array" aca="1" ref="D331" ca="1">_xlfn.STOCKHISTORY(C331,$J$1,$J$1,0,0,1)</f>
        <v>15.08</v>
      </c>
      <c r="E331" s="1">
        <f t="shared" ca="1" si="11"/>
        <v>16.76259259259259</v>
      </c>
      <c r="F331" s="2">
        <f t="shared" ca="1" si="12"/>
        <v>0.89962217459510829</v>
      </c>
      <c r="G331" t="str" cm="1">
        <f t="array" aca="1" ref="G331" ca="1">_FV(C331,"Industrie")</f>
        <v>Banking Services</v>
      </c>
    </row>
    <row r="332" spans="1:7" x14ac:dyDescent="0.2">
      <c r="A332">
        <v>331</v>
      </c>
      <c r="C332" t="e" vm="660">
        <v>#VALUE!</v>
      </c>
      <c r="D332" s="1" cm="1" vm="661">
        <f t="array" aca="1" ref="D332" ca="1">_xlfn.STOCKHISTORY(C332,$J$1,$J$1,0,0,1)</f>
        <v>878.24</v>
      </c>
      <c r="E332" s="1">
        <f t="shared" ca="1" si="11"/>
        <v>976.46925925925962</v>
      </c>
      <c r="F332" s="2">
        <f t="shared" ca="1" si="12"/>
        <v>0.89940363372649801</v>
      </c>
      <c r="G332" t="str" cm="1">
        <f t="array" aca="1" ref="G332" ca="1">_FV(C332,"Industrie")</f>
        <v>Pharmaceuticals</v>
      </c>
    </row>
    <row r="333" spans="1:7" x14ac:dyDescent="0.2">
      <c r="A333">
        <v>332</v>
      </c>
      <c r="C333" t="e" vm="662">
        <v>#VALUE!</v>
      </c>
      <c r="D333" s="1" cm="1" vm="663">
        <f t="array" aca="1" ref="D333" ca="1">_xlfn.STOCKHISTORY(C333,$J$1,$J$1,0,0,1)</f>
        <v>160.81</v>
      </c>
      <c r="E333" s="1">
        <f t="shared" ca="1" si="11"/>
        <v>178.80740740740745</v>
      </c>
      <c r="F333" s="2">
        <f t="shared" ca="1" si="12"/>
        <v>0.89934752889514868</v>
      </c>
      <c r="G333" t="str" cm="1">
        <f t="array" aca="1" ref="G333" ca="1">_FV(C333,"Industrie")</f>
        <v>Residential &amp; Commercial REIT</v>
      </c>
    </row>
    <row r="334" spans="1:7" x14ac:dyDescent="0.2">
      <c r="A334">
        <v>333</v>
      </c>
      <c r="C334" t="e" vm="664">
        <v>#VALUE!</v>
      </c>
      <c r="D334" s="1" cm="1" vm="665">
        <f t="array" aca="1" ref="D334" ca="1">_xlfn.STOCKHISTORY(C334,$J$1,$J$1,0,0,1)</f>
        <v>46.97</v>
      </c>
      <c r="E334" s="1">
        <f t="shared" ca="1" si="11"/>
        <v>52.277777777777786</v>
      </c>
      <c r="F334" s="2">
        <f t="shared" ca="1" si="12"/>
        <v>0.89846971307120072</v>
      </c>
      <c r="G334" t="str" cm="1">
        <f t="array" aca="1" ref="G334" ca="1">_FV(C334,"Industrie")</f>
        <v>Banking Services</v>
      </c>
    </row>
    <row r="335" spans="1:7" x14ac:dyDescent="0.2">
      <c r="A335">
        <v>334</v>
      </c>
      <c r="C335" t="e" vm="666">
        <v>#VALUE!</v>
      </c>
      <c r="D335" s="1" cm="1" vm="667">
        <f t="array" aca="1" ref="D335" ca="1">_xlfn.STOCKHISTORY(C335,$J$1,$J$1,0,0,1)</f>
        <v>70.08</v>
      </c>
      <c r="E335" s="1">
        <f t="shared" ca="1" si="11"/>
        <v>78.03407407407407</v>
      </c>
      <c r="F335" s="2">
        <f t="shared" ca="1" si="12"/>
        <v>0.89806921952423446</v>
      </c>
      <c r="G335" t="str" cm="1">
        <f t="array" aca="1" ref="G335" ca="1">_FV(C335,"Industrie")</f>
        <v>Healthcare Providers &amp; Services</v>
      </c>
    </row>
    <row r="336" spans="1:7" x14ac:dyDescent="0.2">
      <c r="A336">
        <v>335</v>
      </c>
      <c r="C336" t="e" vm="668">
        <v>#VALUE!</v>
      </c>
      <c r="D336" s="1" cm="1" vm="669">
        <f t="array" aca="1" ref="D336" ca="1">_xlfn.STOCKHISTORY(C336,$J$1,$J$1,0,0,1)</f>
        <v>155.47999999999999</v>
      </c>
      <c r="E336" s="1">
        <f t="shared" ca="1" si="11"/>
        <v>173.12962962962959</v>
      </c>
      <c r="F336" s="2">
        <f t="shared" ca="1" si="12"/>
        <v>0.89805540699540076</v>
      </c>
      <c r="G336" t="str" cm="1">
        <f t="array" aca="1" ref="G336" ca="1">_FV(C336,"Industrie")</f>
        <v>Electrical Utilities &amp; IPPs</v>
      </c>
    </row>
    <row r="337" spans="1:7" x14ac:dyDescent="0.2">
      <c r="A337">
        <v>336</v>
      </c>
      <c r="C337" t="e" vm="670">
        <v>#VALUE!</v>
      </c>
      <c r="D337" s="1" cm="1" vm="671">
        <f t="array" aca="1" ref="D337" ca="1">_xlfn.STOCKHISTORY(C337,$J$1,$J$1,0,0,1)</f>
        <v>202.14</v>
      </c>
      <c r="E337" s="1">
        <f t="shared" ca="1" si="11"/>
        <v>225.2807407407407</v>
      </c>
      <c r="F337" s="2">
        <f t="shared" ca="1" si="12"/>
        <v>0.89728043034370297</v>
      </c>
      <c r="G337" t="str" cm="1">
        <f t="array" aca="1" ref="G337" ca="1">_FV(C337,"Industrie")</f>
        <v>Electronic Equipment &amp; Parts</v>
      </c>
    </row>
    <row r="338" spans="1:7" x14ac:dyDescent="0.2">
      <c r="A338">
        <v>337</v>
      </c>
      <c r="C338" t="e" vm="672">
        <v>#VALUE!</v>
      </c>
      <c r="D338" s="1" cm="1" vm="673">
        <f t="array" aca="1" ref="D338" ca="1">_xlfn.STOCKHISTORY(C338,$J$1,$J$1,0,0,1)</f>
        <v>59.5</v>
      </c>
      <c r="E338" s="1">
        <f t="shared" ca="1" si="11"/>
        <v>66.331851851851852</v>
      </c>
      <c r="F338" s="2">
        <f t="shared" ca="1" si="12"/>
        <v>0.89700495823468973</v>
      </c>
      <c r="G338" t="str" cm="1">
        <f t="array" aca="1" ref="G338" ca="1">_FV(C338,"Industrie")</f>
        <v>Homebuilding &amp; Construction Supplies</v>
      </c>
    </row>
    <row r="339" spans="1:7" x14ac:dyDescent="0.2">
      <c r="A339">
        <v>338</v>
      </c>
      <c r="C339" t="e" vm="674">
        <v>#VALUE!</v>
      </c>
      <c r="D339" s="1" cm="1" vm="675">
        <f t="array" aca="1" ref="D339" ca="1">_xlfn.STOCKHISTORY(C339,$J$1,$J$1,0,0,1)</f>
        <v>3316.71</v>
      </c>
      <c r="E339" s="1">
        <f t="shared" ca="1" si="11"/>
        <v>3704.9592592592589</v>
      </c>
      <c r="F339" s="2">
        <f t="shared" ca="1" si="12"/>
        <v>0.89520822441192449</v>
      </c>
      <c r="G339" t="str" cm="1">
        <f t="array" aca="1" ref="G339" ca="1">_FV(C339,"Industrie")</f>
        <v>Specialty Retailers</v>
      </c>
    </row>
    <row r="340" spans="1:7" x14ac:dyDescent="0.2">
      <c r="A340">
        <v>339</v>
      </c>
      <c r="C340" t="e" vm="676">
        <v>#VALUE!</v>
      </c>
      <c r="D340" s="1" cm="1" vm="677">
        <f t="array" aca="1" ref="D340" ca="1">_xlfn.STOCKHISTORY(C340,$J$1,$J$1,0,0,1)</f>
        <v>77.19</v>
      </c>
      <c r="E340" s="1">
        <f t="shared" ca="1" si="11"/>
        <v>86.231851851851857</v>
      </c>
      <c r="F340" s="2">
        <f t="shared" ca="1" si="12"/>
        <v>0.89514487213627336</v>
      </c>
      <c r="G340" t="str" cm="1">
        <f t="array" aca="1" ref="G340" ca="1">_FV(C340,"Industrie")</f>
        <v>Banking Services</v>
      </c>
    </row>
    <row r="341" spans="1:7" x14ac:dyDescent="0.2">
      <c r="A341">
        <v>340</v>
      </c>
      <c r="C341" t="e" vm="678">
        <v>#VALUE!</v>
      </c>
      <c r="D341" s="1" cm="1" vm="679">
        <f t="array" aca="1" ref="D341" ca="1">_xlfn.STOCKHISTORY(C341,$J$1,$J$1,0,0,1)</f>
        <v>199.34</v>
      </c>
      <c r="E341" s="1">
        <f t="shared" ca="1" si="11"/>
        <v>223.40740740740742</v>
      </c>
      <c r="F341" s="2">
        <f t="shared" ca="1" si="12"/>
        <v>0.89227122015915117</v>
      </c>
      <c r="G341" t="str" cm="1">
        <f t="array" aca="1" ref="G341" ca="1">_FV(C341,"Industrie")</f>
        <v>Diversified Retail</v>
      </c>
    </row>
    <row r="342" spans="1:7" x14ac:dyDescent="0.2">
      <c r="A342">
        <v>341</v>
      </c>
      <c r="C342" t="e" vm="680">
        <v>#VALUE!</v>
      </c>
      <c r="D342" s="1" cm="1" vm="681">
        <f t="array" aca="1" ref="D342" ca="1">_xlfn.STOCKHISTORY(C342,$J$1,$J$1,0,0,1)</f>
        <v>120.77</v>
      </c>
      <c r="E342" s="1">
        <f t="shared" ca="1" si="11"/>
        <v>135.38407407407408</v>
      </c>
      <c r="F342" s="2">
        <f t="shared" ca="1" si="12"/>
        <v>0.89205470308067303</v>
      </c>
      <c r="G342" t="str" cm="1">
        <f t="array" aca="1" ref="G342" ca="1">_FV(C342,"Industrie")</f>
        <v>Communications &amp; Networking</v>
      </c>
    </row>
    <row r="343" spans="1:7" x14ac:dyDescent="0.2">
      <c r="A343">
        <v>342</v>
      </c>
      <c r="C343" t="e" vm="682">
        <v>#VALUE!</v>
      </c>
      <c r="D343" s="1" cm="1" vm="683">
        <f t="array" aca="1" ref="D343" ca="1">_xlfn.STOCKHISTORY(C343,$J$1,$J$1,0,0,1)</f>
        <v>295.52</v>
      </c>
      <c r="E343" s="1">
        <f t="shared" ca="1" si="11"/>
        <v>331.61481481481485</v>
      </c>
      <c r="F343" s="2">
        <f t="shared" ca="1" si="12"/>
        <v>0.89115439599714064</v>
      </c>
      <c r="G343" t="str" cm="1">
        <f t="array" aca="1" ref="G343" ca="1">_FV(C343,"Industrie")</f>
        <v>Professional &amp; Commercial Services</v>
      </c>
    </row>
    <row r="344" spans="1:7" x14ac:dyDescent="0.2">
      <c r="A344">
        <v>343</v>
      </c>
      <c r="C344" t="e" vm="684">
        <v>#VALUE!</v>
      </c>
      <c r="D344" s="1" cm="1" vm="685">
        <f t="array" aca="1" ref="D344" ca="1">_xlfn.STOCKHISTORY(C344,$J$1,$J$1,0,0,1)</f>
        <v>24.84</v>
      </c>
      <c r="E344" s="1">
        <f t="shared" ca="1" si="11"/>
        <v>27.903333333333329</v>
      </c>
      <c r="F344" s="2">
        <f t="shared" ca="1" si="12"/>
        <v>0.89021622267351586</v>
      </c>
      <c r="G344" t="str" cm="1">
        <f t="array" aca="1" ref="G344" ca="1">_FV(C344,"Industrie")</f>
        <v>Professional &amp; Commercial Services</v>
      </c>
    </row>
    <row r="345" spans="1:7" x14ac:dyDescent="0.2">
      <c r="A345">
        <v>344</v>
      </c>
      <c r="C345" t="e" vm="686">
        <v>#VALUE!</v>
      </c>
      <c r="D345" s="1" cm="1" vm="687">
        <f t="array" aca="1" ref="D345" ca="1">_xlfn.STOCKHISTORY(C345,$J$1,$J$1,0,0,1)</f>
        <v>484.24</v>
      </c>
      <c r="E345" s="1">
        <f t="shared" ca="1" si="11"/>
        <v>544.47777777777765</v>
      </c>
      <c r="F345" s="2">
        <f t="shared" ca="1" si="12"/>
        <v>0.88936595718629496</v>
      </c>
      <c r="G345" t="str" cm="1">
        <f t="array" aca="1" ref="G345" ca="1">_FV(C345,"Industrie")</f>
        <v>Software &amp; IT Services</v>
      </c>
    </row>
    <row r="346" spans="1:7" x14ac:dyDescent="0.2">
      <c r="A346">
        <v>345</v>
      </c>
      <c r="C346" t="e" vm="688">
        <v>#VALUE!</v>
      </c>
      <c r="D346" s="1" cm="1" vm="689">
        <f t="array" aca="1" ref="D346" ca="1">_xlfn.STOCKHISTORY(C346,$J$1,$J$1,0,0,1)</f>
        <v>261.45999999999998</v>
      </c>
      <c r="E346" s="1">
        <f t="shared" ca="1" si="11"/>
        <v>294.46740740740739</v>
      </c>
      <c r="F346" s="2">
        <f t="shared" ca="1" si="12"/>
        <v>0.88790811282642101</v>
      </c>
      <c r="G346" t="str" cm="1">
        <f t="array" aca="1" ref="G346" ca="1">_FV(C346,"Industrie")</f>
        <v>Construction Materials</v>
      </c>
    </row>
    <row r="347" spans="1:7" x14ac:dyDescent="0.2">
      <c r="A347">
        <v>346</v>
      </c>
      <c r="C347" t="e" vm="690">
        <v>#VALUE!</v>
      </c>
      <c r="D347" s="1" cm="1" vm="691">
        <f t="array" aca="1" ref="D347" ca="1">_xlfn.STOCKHISTORY(C347,$J$1,$J$1,0,0,1)</f>
        <v>113.35</v>
      </c>
      <c r="E347" s="1">
        <f t="shared" ca="1" si="11"/>
        <v>127.73444444444448</v>
      </c>
      <c r="F347" s="2">
        <f t="shared" ca="1" si="12"/>
        <v>0.88738789676498964</v>
      </c>
      <c r="G347" t="str" cm="1">
        <f t="array" aca="1" ref="G347" ca="1">_FV(C347,"Industrie")</f>
        <v>Pharmaceuticals</v>
      </c>
    </row>
    <row r="348" spans="1:7" x14ac:dyDescent="0.2">
      <c r="A348">
        <v>347</v>
      </c>
      <c r="C348" t="e" vm="692">
        <v>#VALUE!</v>
      </c>
      <c r="D348" s="1" cm="1" vm="693">
        <f t="array" aca="1" ref="D348" ca="1">_xlfn.STOCKHISTORY(C348,$J$1,$J$1,0,0,1)</f>
        <v>52.46</v>
      </c>
      <c r="E348" s="1">
        <f t="shared" ca="1" si="11"/>
        <v>59.179259259259254</v>
      </c>
      <c r="F348" s="2">
        <f t="shared" ca="1" si="12"/>
        <v>0.88645921994692845</v>
      </c>
      <c r="G348" t="str" cm="1">
        <f t="array" aca="1" ref="G348" ca="1">_FV(C348,"Industrie")</f>
        <v>Professional &amp; Commercial Services</v>
      </c>
    </row>
    <row r="349" spans="1:7" x14ac:dyDescent="0.2">
      <c r="A349">
        <v>348</v>
      </c>
      <c r="C349" t="e" vm="694">
        <v>#VALUE!</v>
      </c>
      <c r="D349" s="1" cm="1" vm="695">
        <f t="array" aca="1" ref="D349" ca="1">_xlfn.STOCKHISTORY(C349,$J$1,$J$1,0,0,1)</f>
        <v>143.04</v>
      </c>
      <c r="E349" s="1">
        <f t="shared" ca="1" si="11"/>
        <v>161.37037037037038</v>
      </c>
      <c r="F349" s="2">
        <f t="shared" ca="1" si="12"/>
        <v>0.88640807895340823</v>
      </c>
      <c r="G349" t="str" cm="1">
        <f t="array" aca="1" ref="G349" ca="1">_FV(C349,"Industrie")</f>
        <v>Consumer Goods Conglomerates</v>
      </c>
    </row>
    <row r="350" spans="1:7" x14ac:dyDescent="0.2">
      <c r="A350">
        <v>349</v>
      </c>
      <c r="C350" t="e" vm="696">
        <v>#VALUE!</v>
      </c>
      <c r="D350" s="1" cm="1" vm="697">
        <f t="array" aca="1" ref="D350" ca="1">_xlfn.STOCKHISTORY(C350,$J$1,$J$1,0,0,1)</f>
        <v>69.23</v>
      </c>
      <c r="E350" s="1">
        <f t="shared" ca="1" si="11"/>
        <v>78.138148148148147</v>
      </c>
      <c r="F350" s="2">
        <f t="shared" ca="1" si="12"/>
        <v>0.88599489034141821</v>
      </c>
      <c r="G350" t="str" cm="1">
        <f t="array" aca="1" ref="G350" ca="1">_FV(C350,"Industrie")</f>
        <v>Healthcare Equipment &amp; Supplies</v>
      </c>
    </row>
    <row r="351" spans="1:7" x14ac:dyDescent="0.2">
      <c r="A351">
        <v>350</v>
      </c>
      <c r="C351" t="e" vm="698">
        <v>#VALUE!</v>
      </c>
      <c r="D351" s="1" cm="1" vm="699">
        <f t="array" aca="1" ref="D351" ca="1">_xlfn.STOCKHISTORY(C351,$J$1,$J$1,0,0,1)</f>
        <v>93.29</v>
      </c>
      <c r="E351" s="1">
        <f t="shared" ca="1" si="11"/>
        <v>105.4655555555556</v>
      </c>
      <c r="F351" s="2">
        <f t="shared" ca="1" si="12"/>
        <v>0.88455419884322395</v>
      </c>
      <c r="G351" t="str" cm="1">
        <f t="array" aca="1" ref="G351" ca="1">_FV(C351,"Industrie")</f>
        <v>Insurance</v>
      </c>
    </row>
    <row r="352" spans="1:7" x14ac:dyDescent="0.2">
      <c r="A352">
        <v>351</v>
      </c>
      <c r="C352" t="e" vm="700">
        <v>#VALUE!</v>
      </c>
      <c r="D352" s="1" cm="1" vm="701">
        <f t="array" aca="1" ref="D352" ca="1">_xlfn.STOCKHISTORY(C352,$J$1,$J$1,0,0,1)</f>
        <v>282.18</v>
      </c>
      <c r="E352" s="1">
        <f t="shared" ca="1" si="11"/>
        <v>319.01925925925934</v>
      </c>
      <c r="F352" s="2">
        <f t="shared" ca="1" si="12"/>
        <v>0.88452340042166244</v>
      </c>
      <c r="G352" t="str" cm="1">
        <f t="array" aca="1" ref="G352" ca="1">_FV(C352,"Industrie")</f>
        <v>Insurance</v>
      </c>
    </row>
    <row r="353" spans="1:7" x14ac:dyDescent="0.2">
      <c r="A353">
        <v>352</v>
      </c>
      <c r="C353" t="e" vm="702">
        <v>#VALUE!</v>
      </c>
      <c r="D353" s="1" cm="1" vm="703">
        <f t="array" aca="1" ref="D353" ca="1">_xlfn.STOCKHISTORY(C353,$J$1,$J$1,0,0,1)</f>
        <v>191.66</v>
      </c>
      <c r="E353" s="1">
        <f t="shared" ca="1" si="11"/>
        <v>216.96092592592592</v>
      </c>
      <c r="F353" s="2">
        <f t="shared" ca="1" si="12"/>
        <v>0.88338487302287749</v>
      </c>
      <c r="G353" t="str" cm="1">
        <f t="array" aca="1" ref="G353" ca="1">_FV(C353,"Industrie")</f>
        <v>Semiconductors &amp; Semiconductor Equipment</v>
      </c>
    </row>
    <row r="354" spans="1:7" x14ac:dyDescent="0.2">
      <c r="A354">
        <v>353</v>
      </c>
      <c r="C354" t="e" vm="704">
        <v>#VALUE!</v>
      </c>
      <c r="D354" s="1" cm="1" vm="705">
        <f t="array" aca="1" ref="D354" ca="1">_xlfn.STOCKHISTORY(C354,$J$1,$J$1,0,0,1)</f>
        <v>219.4</v>
      </c>
      <c r="E354" s="1">
        <f t="shared" ca="1" si="11"/>
        <v>248.38185185185188</v>
      </c>
      <c r="F354" s="2">
        <f t="shared" ca="1" si="12"/>
        <v>0.88331735335825512</v>
      </c>
      <c r="G354" t="str" cm="1">
        <f t="array" aca="1" ref="G354" ca="1">_FV(C354,"Industrie")</f>
        <v>Healthcare Equipment &amp; Supplies</v>
      </c>
    </row>
    <row r="355" spans="1:7" x14ac:dyDescent="0.2">
      <c r="A355">
        <v>354</v>
      </c>
      <c r="C355" t="e" vm="706">
        <v>#VALUE!</v>
      </c>
      <c r="D355" s="1" cm="1" vm="707">
        <f t="array" aca="1" ref="D355" ca="1">_xlfn.STOCKHISTORY(C355,$J$1,$J$1,0,0,1)</f>
        <v>62.98</v>
      </c>
      <c r="E355" s="1">
        <f t="shared" ca="1" si="11"/>
        <v>71.315185185185172</v>
      </c>
      <c r="F355" s="2">
        <f t="shared" ca="1" si="12"/>
        <v>0.8831218742047563</v>
      </c>
      <c r="G355" t="str" cm="1">
        <f t="array" aca="1" ref="G355" ca="1">_FV(C355,"Industrie")</f>
        <v>Specialty Retailers</v>
      </c>
    </row>
    <row r="356" spans="1:7" x14ac:dyDescent="0.2">
      <c r="A356">
        <v>355</v>
      </c>
      <c r="C356" t="e" vm="708">
        <v>#VALUE!</v>
      </c>
      <c r="D356" s="1" cm="1" vm="709">
        <f t="array" aca="1" ref="D356" ca="1">_xlfn.STOCKHISTORY(C356,$J$1,$J$1,0,0,1)</f>
        <v>144.5</v>
      </c>
      <c r="E356" s="1">
        <f t="shared" ca="1" si="11"/>
        <v>163.71851851851849</v>
      </c>
      <c r="F356" s="2">
        <f t="shared" ca="1" si="12"/>
        <v>0.88261243326395811</v>
      </c>
      <c r="G356" t="str" cm="1">
        <f t="array" aca="1" ref="G356" ca="1">_FV(C356,"Industrie")</f>
        <v>Communications &amp; Networking</v>
      </c>
    </row>
    <row r="357" spans="1:7" x14ac:dyDescent="0.2">
      <c r="A357">
        <v>356</v>
      </c>
      <c r="C357" t="e" vm="710">
        <v>#VALUE!</v>
      </c>
      <c r="D357" s="1" cm="1" vm="711">
        <f t="array" aca="1" ref="D357" ca="1">_xlfn.STOCKHISTORY(C357,$J$1,$J$1,0,0,1)</f>
        <v>88.45</v>
      </c>
      <c r="E357" s="1">
        <f t="shared" ca="1" si="11"/>
        <v>100.23185185185186</v>
      </c>
      <c r="F357" s="2">
        <f t="shared" ca="1" si="12"/>
        <v>0.88245401402673795</v>
      </c>
      <c r="G357" t="str" cm="1">
        <f t="array" aca="1" ref="G357" ca="1">_FV(C357,"Industrie")</f>
        <v>Investment Banking &amp; Investment Services</v>
      </c>
    </row>
    <row r="358" spans="1:7" x14ac:dyDescent="0.2">
      <c r="A358">
        <v>357</v>
      </c>
      <c r="C358" t="e" vm="712">
        <v>#VALUE!</v>
      </c>
      <c r="D358" s="1" cm="1" vm="713">
        <f t="array" aca="1" ref="D358" ca="1">_xlfn.STOCKHISTORY(C358,$J$1,$J$1,0,0,1)</f>
        <v>424.84</v>
      </c>
      <c r="E358" s="1">
        <f t="shared" ca="1" si="11"/>
        <v>481.7607407407408</v>
      </c>
      <c r="F358" s="2">
        <f t="shared" ca="1" si="12"/>
        <v>0.8818485278538446</v>
      </c>
      <c r="G358" t="str" cm="1">
        <f t="array" aca="1" ref="G358" ca="1">_FV(C358,"Industrie")</f>
        <v>Professional &amp; Commercial Services</v>
      </c>
    </row>
    <row r="359" spans="1:7" x14ac:dyDescent="0.2">
      <c r="A359">
        <v>358</v>
      </c>
      <c r="C359" t="e" vm="714">
        <v>#VALUE!</v>
      </c>
      <c r="D359" s="1" cm="1" vm="715">
        <f t="array" aca="1" ref="D359" ca="1">_xlfn.STOCKHISTORY(C359,$J$1,$J$1,0,0,1)</f>
        <v>300.68</v>
      </c>
      <c r="E359" s="1">
        <f t="shared" ca="1" si="11"/>
        <v>341.4111111111111</v>
      </c>
      <c r="F359" s="2">
        <f t="shared" ca="1" si="12"/>
        <v>0.88069775767240543</v>
      </c>
      <c r="G359" t="str" cm="1">
        <f t="array" aca="1" ref="G359" ca="1">_FV(C359,"Industrie")</f>
        <v>Semiconductors &amp; Semiconductor Equipment</v>
      </c>
    </row>
    <row r="360" spans="1:7" x14ac:dyDescent="0.2">
      <c r="A360">
        <v>359</v>
      </c>
      <c r="C360" t="e" vm="716">
        <v>#VALUE!</v>
      </c>
      <c r="D360" s="1" cm="1" vm="717">
        <f t="array" aca="1" ref="D360" ca="1">_xlfn.STOCKHISTORY(C360,$J$1,$J$1,0,0,1)</f>
        <v>51.69</v>
      </c>
      <c r="E360" s="1">
        <f t="shared" ca="1" si="11"/>
        <v>58.709259259259269</v>
      </c>
      <c r="F360" s="2">
        <f t="shared" ca="1" si="12"/>
        <v>0.88044033687663614</v>
      </c>
      <c r="G360" t="str" cm="1">
        <f t="array" aca="1" ref="G360" ca="1">_FV(C360,"Industrie")</f>
        <v>Hotels &amp; Entertainment Services</v>
      </c>
    </row>
    <row r="361" spans="1:7" x14ac:dyDescent="0.2">
      <c r="A361">
        <v>360</v>
      </c>
      <c r="C361" t="e" vm="718">
        <v>#VALUE!</v>
      </c>
      <c r="D361" s="1" cm="1" vm="719">
        <f t="array" aca="1" ref="D361" ca="1">_xlfn.STOCKHISTORY(C361,$J$1,$J$1,0,0,1)</f>
        <v>141.32</v>
      </c>
      <c r="E361" s="1">
        <f t="shared" ca="1" si="11"/>
        <v>160.56814814814814</v>
      </c>
      <c r="F361" s="2">
        <f t="shared" ca="1" si="12"/>
        <v>0.88012474223474979</v>
      </c>
      <c r="G361" t="str" cm="1">
        <f t="array" aca="1" ref="G361" ca="1">_FV(C361,"Industrie")</f>
        <v>Investment Banking &amp; Investment Services</v>
      </c>
    </row>
    <row r="362" spans="1:7" x14ac:dyDescent="0.2">
      <c r="A362">
        <v>361</v>
      </c>
      <c r="C362" t="e" vm="720">
        <v>#VALUE!</v>
      </c>
      <c r="D362" s="1" cm="1" vm="721">
        <f t="array" aca="1" ref="D362" ca="1">_xlfn.STOCKHISTORY(C362,$J$1,$J$1,0,0,1)</f>
        <v>190.52</v>
      </c>
      <c r="E362" s="1">
        <f t="shared" ca="1" si="11"/>
        <v>216.52814814814815</v>
      </c>
      <c r="F362" s="2">
        <f t="shared" ca="1" si="12"/>
        <v>0.87988560207722544</v>
      </c>
      <c r="G362" t="str" cm="1">
        <f t="array" aca="1" ref="G362" ca="1">_FV(C362,"Industrie")</f>
        <v>Aerospace &amp; Defense</v>
      </c>
    </row>
    <row r="363" spans="1:7" x14ac:dyDescent="0.2">
      <c r="A363">
        <v>362</v>
      </c>
      <c r="C363" t="e" vm="722">
        <v>#VALUE!</v>
      </c>
      <c r="D363" s="1" cm="1" vm="723">
        <f t="array" aca="1" ref="D363" ca="1">_xlfn.STOCKHISTORY(C363,$J$1,$J$1,0,0,1)</f>
        <v>134.19</v>
      </c>
      <c r="E363" s="1">
        <f t="shared" ca="1" si="11"/>
        <v>152.5137037037037</v>
      </c>
      <c r="F363" s="2">
        <f t="shared" ca="1" si="12"/>
        <v>0.87985536211682258</v>
      </c>
      <c r="G363" t="str" cm="1">
        <f t="array" aca="1" ref="G363" ca="1">_FV(C363,"Industrie")</f>
        <v>Homebuilding &amp; Construction Supplies</v>
      </c>
    </row>
    <row r="364" spans="1:7" x14ac:dyDescent="0.2">
      <c r="A364">
        <v>363</v>
      </c>
      <c r="C364" t="e" vm="724">
        <v>#VALUE!</v>
      </c>
      <c r="D364" s="1" cm="1" vm="725">
        <f t="array" aca="1" ref="D364" ca="1">_xlfn.STOCKHISTORY(C364,$J$1,$J$1,0,0,1)</f>
        <v>15.62</v>
      </c>
      <c r="E364" s="1">
        <f t="shared" ca="1" si="11"/>
        <v>17.768888888888888</v>
      </c>
      <c r="F364" s="2">
        <f t="shared" ca="1" si="12"/>
        <v>0.87906453226613301</v>
      </c>
      <c r="G364" t="str" cm="1">
        <f t="array" aca="1" ref="G364" ca="1">_FV(C364,"Industrie")</f>
        <v>Food &amp; Tobacco</v>
      </c>
    </row>
    <row r="365" spans="1:7" x14ac:dyDescent="0.2">
      <c r="A365">
        <v>364</v>
      </c>
      <c r="C365" t="e" vm="726">
        <v>#VALUE!</v>
      </c>
      <c r="D365" s="1" cm="1" vm="727">
        <f t="array" aca="1" ref="D365" ca="1">_xlfn.STOCKHISTORY(C365,$J$1,$J$1,0,0,1)</f>
        <v>78.59</v>
      </c>
      <c r="E365" s="1">
        <f t="shared" ca="1" si="11"/>
        <v>89.48037037037038</v>
      </c>
      <c r="F365" s="2">
        <f t="shared" ca="1" si="12"/>
        <v>0.87829319072670597</v>
      </c>
      <c r="G365" t="str" cm="1">
        <f t="array" aca="1" ref="G365" ca="1">_FV(C365,"Industrie")</f>
        <v>Residential &amp; Commercial REIT</v>
      </c>
    </row>
    <row r="366" spans="1:7" x14ac:dyDescent="0.2">
      <c r="A366">
        <v>365</v>
      </c>
      <c r="C366" t="e" vm="728">
        <v>#VALUE!</v>
      </c>
      <c r="D366" s="1" cm="1" vm="729">
        <f t="array" aca="1" ref="D366" ca="1">_xlfn.STOCKHISTORY(C366,$J$1,$J$1,0,0,1)</f>
        <v>67.7</v>
      </c>
      <c r="E366" s="1">
        <f t="shared" ca="1" si="11"/>
        <v>77.108888888888856</v>
      </c>
      <c r="F366" s="2">
        <f t="shared" ca="1" si="12"/>
        <v>0.87797919248393363</v>
      </c>
      <c r="G366" t="str" cm="1">
        <f t="array" aca="1" ref="G366" ca="1">_FV(C366,"Industrie")</f>
        <v>Insurance</v>
      </c>
    </row>
    <row r="367" spans="1:7" x14ac:dyDescent="0.2">
      <c r="A367">
        <v>366</v>
      </c>
      <c r="C367" t="e" vm="730">
        <v>#VALUE!</v>
      </c>
      <c r="D367" s="1" cm="1" vm="731">
        <f t="array" aca="1" ref="D367" ca="1">_xlfn.STOCKHISTORY(C367,$J$1,$J$1,0,0,1)</f>
        <v>452.66</v>
      </c>
      <c r="E367" s="1">
        <f t="shared" ca="1" si="11"/>
        <v>516.60925925925915</v>
      </c>
      <c r="F367" s="2">
        <f t="shared" ca="1" si="12"/>
        <v>0.87621348608626792</v>
      </c>
      <c r="G367" t="str" cm="1">
        <f t="array" aca="1" ref="G367" ca="1">_FV(C367,"Industrie")</f>
        <v>Healthcare Equipment &amp; Supplies</v>
      </c>
    </row>
    <row r="368" spans="1:7" x14ac:dyDescent="0.2">
      <c r="A368">
        <v>367</v>
      </c>
      <c r="C368" t="e" vm="732">
        <v>#VALUE!</v>
      </c>
      <c r="D368" s="1" cm="1" vm="733">
        <f t="array" aca="1" ref="D368" ca="1">_xlfn.STOCKHISTORY(C368,$J$1,$J$1,0,0,1)</f>
        <v>104.56</v>
      </c>
      <c r="E368" s="1">
        <f t="shared" ca="1" si="11"/>
        <v>119.34962962962963</v>
      </c>
      <c r="F368" s="2">
        <f t="shared" ca="1" si="12"/>
        <v>0.87608147863109942</v>
      </c>
      <c r="G368" t="str" cm="1">
        <f t="array" aca="1" ref="G368" ca="1">_FV(C368,"Industrie")</f>
        <v>Homebuilding &amp; Construction Supplies</v>
      </c>
    </row>
    <row r="369" spans="1:7" x14ac:dyDescent="0.2">
      <c r="A369">
        <v>368</v>
      </c>
      <c r="C369" t="e" vm="734">
        <v>#VALUE!</v>
      </c>
      <c r="D369" s="1" cm="1" vm="735">
        <f t="array" aca="1" ref="D369" ca="1">_xlfn.STOCKHISTORY(C369,$J$1,$J$1,0,0,1)</f>
        <v>321.64999999999998</v>
      </c>
      <c r="E369" s="1">
        <f t="shared" ca="1" si="11"/>
        <v>367.38259259259252</v>
      </c>
      <c r="F369" s="2">
        <f t="shared" ca="1" si="12"/>
        <v>0.87551780210961838</v>
      </c>
      <c r="G369" t="str" cm="1">
        <f t="array" aca="1" ref="G369" ca="1">_FV(C369,"Industrie")</f>
        <v>Specialty Retailers</v>
      </c>
    </row>
    <row r="370" spans="1:7" x14ac:dyDescent="0.2">
      <c r="A370">
        <v>369</v>
      </c>
      <c r="C370" t="e" vm="736">
        <v>#VALUE!</v>
      </c>
      <c r="D370" s="1" cm="1" vm="737">
        <f t="array" aca="1" ref="D370" ca="1">_xlfn.STOCKHISTORY(C370,$J$1,$J$1,0,0,1)</f>
        <v>167.06</v>
      </c>
      <c r="E370" s="1">
        <f t="shared" ca="1" si="11"/>
        <v>190.98814814814813</v>
      </c>
      <c r="F370" s="2">
        <f t="shared" ca="1" si="12"/>
        <v>0.87471396324767114</v>
      </c>
      <c r="G370" t="str" cm="1">
        <f t="array" aca="1" ref="G370" ca="1">_FV(C370,"Industrie")</f>
        <v>Residential &amp; Commercial REIT</v>
      </c>
    </row>
    <row r="371" spans="1:7" x14ac:dyDescent="0.2">
      <c r="A371">
        <v>370</v>
      </c>
      <c r="C371" t="e" vm="738">
        <v>#VALUE!</v>
      </c>
      <c r="D371" s="1" cm="1" vm="739">
        <f t="array" aca="1" ref="D371" ca="1">_xlfn.STOCKHISTORY(C371,$J$1,$J$1,0,0,1)</f>
        <v>65.36</v>
      </c>
      <c r="E371" s="1">
        <f t="shared" ca="1" si="11"/>
        <v>74.816296296296287</v>
      </c>
      <c r="F371" s="2">
        <f t="shared" ca="1" si="12"/>
        <v>0.87360646323835178</v>
      </c>
      <c r="G371" t="str" cm="1">
        <f t="array" aca="1" ref="G371" ca="1">_FV(C371,"Industrie")</f>
        <v>Banking Services</v>
      </c>
    </row>
    <row r="372" spans="1:7" x14ac:dyDescent="0.2">
      <c r="A372">
        <v>371</v>
      </c>
      <c r="C372" t="e" vm="740">
        <v>#VALUE!</v>
      </c>
      <c r="D372" s="1" cm="1" vm="741">
        <f t="array" aca="1" ref="D372" ca="1">_xlfn.STOCKHISTORY(C372,$J$1,$J$1,0,0,1)</f>
        <v>159.16</v>
      </c>
      <c r="E372" s="1">
        <f t="shared" ca="1" si="11"/>
        <v>182.29703703703703</v>
      </c>
      <c r="F372" s="2">
        <f t="shared" ca="1" si="12"/>
        <v>0.87308056448368765</v>
      </c>
      <c r="G372" t="str" cm="1">
        <f t="array" aca="1" ref="G372" ca="1">_FV(C372,"Industrie")</f>
        <v>Biotechnology &amp; Medical Research</v>
      </c>
    </row>
    <row r="373" spans="1:7" x14ac:dyDescent="0.2">
      <c r="A373">
        <v>372</v>
      </c>
      <c r="C373" t="e" vm="742">
        <v>#VALUE!</v>
      </c>
      <c r="D373" s="1" cm="1" vm="743">
        <f t="array" aca="1" ref="D373" ca="1">_xlfn.STOCKHISTORY(C373,$J$1,$J$1,0,0,1)</f>
        <v>6450.76</v>
      </c>
      <c r="E373" s="1">
        <f t="shared" ca="1" si="11"/>
        <v>7398.6529629629631</v>
      </c>
      <c r="F373" s="2">
        <f t="shared" ca="1" si="12"/>
        <v>0.87188303496487329</v>
      </c>
      <c r="G373" t="str" cm="1">
        <f t="array" aca="1" ref="G373" ca="1">_FV(C373,"Industrie")</f>
        <v>Homebuilding &amp; Construction Supplies</v>
      </c>
    </row>
    <row r="374" spans="1:7" x14ac:dyDescent="0.2">
      <c r="A374">
        <v>373</v>
      </c>
      <c r="C374" t="e" vm="744">
        <v>#VALUE!</v>
      </c>
      <c r="D374" s="1" cm="1" vm="745">
        <f t="array" aca="1" ref="D374" ca="1">_xlfn.STOCKHISTORY(C374,$J$1,$J$1,0,0,1)</f>
        <v>220.47</v>
      </c>
      <c r="E374" s="1">
        <f t="shared" ca="1" si="11"/>
        <v>253.02407407407409</v>
      </c>
      <c r="F374" s="2">
        <f t="shared" ca="1" si="12"/>
        <v>0.87134001302759945</v>
      </c>
      <c r="G374" t="str" cm="1">
        <f t="array" aca="1" ref="G374" ca="1">_FV(C374,"Industrie")</f>
        <v>Healthcare Equipment &amp; Supplies</v>
      </c>
    </row>
    <row r="375" spans="1:7" x14ac:dyDescent="0.2">
      <c r="A375">
        <v>374</v>
      </c>
      <c r="C375" t="e" vm="746">
        <v>#VALUE!</v>
      </c>
      <c r="D375" s="1" cm="1" vm="747">
        <f t="array" aca="1" ref="D375" ca="1">_xlfn.STOCKHISTORY(C375,$J$1,$J$1,0,0,1)</f>
        <v>11.37</v>
      </c>
      <c r="E375" s="1">
        <f t="shared" ca="1" si="11"/>
        <v>13.050740740740737</v>
      </c>
      <c r="F375" s="2">
        <f t="shared" ca="1" si="12"/>
        <v>0.87121491613928559</v>
      </c>
      <c r="G375" t="str" cm="1">
        <f t="array" aca="1" ref="G375" ca="1">_FV(C375,"Industrie")</f>
        <v>Automobiles &amp; Auto Parts</v>
      </c>
    </row>
    <row r="376" spans="1:7" x14ac:dyDescent="0.2">
      <c r="A376">
        <v>375</v>
      </c>
      <c r="C376" t="e" vm="748">
        <v>#VALUE!</v>
      </c>
      <c r="D376" s="1" cm="1" vm="749">
        <f t="array" aca="1" ref="D376" ca="1">_xlfn.STOCKHISTORY(C376,$J$1,$J$1,0,0,1)</f>
        <v>933.85</v>
      </c>
      <c r="E376" s="1">
        <f t="shared" ca="1" si="11"/>
        <v>1073.3351851851849</v>
      </c>
      <c r="F376" s="2">
        <f t="shared" ca="1" si="12"/>
        <v>0.87004508273795278</v>
      </c>
      <c r="G376" t="str" cm="1">
        <f t="array" aca="1" ref="G376" ca="1">_FV(C376,"Industrie")</f>
        <v>Investment Banking &amp; Investment Services</v>
      </c>
    </row>
    <row r="377" spans="1:7" x14ac:dyDescent="0.2">
      <c r="A377">
        <v>376</v>
      </c>
      <c r="C377" t="e" vm="750">
        <v>#VALUE!</v>
      </c>
      <c r="D377" s="1" cm="1" vm="751">
        <f t="array" aca="1" ref="D377" ca="1">_xlfn.STOCKHISTORY(C377,$J$1,$J$1,0,0,1)</f>
        <v>165.71</v>
      </c>
      <c r="E377" s="1">
        <f t="shared" ca="1" si="11"/>
        <v>190.54740740740741</v>
      </c>
      <c r="F377" s="2">
        <f t="shared" ca="1" si="12"/>
        <v>0.86965234665039137</v>
      </c>
      <c r="G377" t="str" cm="1">
        <f t="array" aca="1" ref="G377" ca="1">_FV(C377,"Industrie")</f>
        <v>Professional &amp; Commercial Services</v>
      </c>
    </row>
    <row r="378" spans="1:7" x14ac:dyDescent="0.2">
      <c r="A378">
        <v>377</v>
      </c>
      <c r="C378" t="e" vm="752">
        <v>#VALUE!</v>
      </c>
      <c r="D378" s="1" cm="1" vm="753">
        <f t="array" aca="1" ref="D378" ca="1">_xlfn.STOCKHISTORY(C378,$J$1,$J$1,0,0,1)</f>
        <v>1140.03</v>
      </c>
      <c r="E378" s="1">
        <f t="shared" ca="1" si="11"/>
        <v>1312.7596296296294</v>
      </c>
      <c r="F378" s="2">
        <f t="shared" ca="1" si="12"/>
        <v>0.86842250040979563</v>
      </c>
      <c r="G378" t="str" cm="1">
        <f t="array" aca="1" ref="G378" ca="1">_FV(C378,"Industrie")</f>
        <v>Aerospace &amp; Defense</v>
      </c>
    </row>
    <row r="379" spans="1:7" x14ac:dyDescent="0.2">
      <c r="A379">
        <v>378</v>
      </c>
      <c r="C379" t="e" vm="754">
        <v>#VALUE!</v>
      </c>
      <c r="D379" s="1" cm="1" vm="755">
        <f t="array" aca="1" ref="D379" ca="1">_xlfn.STOCKHISTORY(C379,$J$1,$J$1,0,0,1)</f>
        <v>271.77</v>
      </c>
      <c r="E379" s="1">
        <f t="shared" ca="1" si="11"/>
        <v>313.75481481481478</v>
      </c>
      <c r="F379" s="2">
        <f t="shared" ca="1" si="12"/>
        <v>0.86618591067807138</v>
      </c>
      <c r="G379" t="str" cm="1">
        <f t="array" aca="1" ref="G379" ca="1">_FV(C379,"Industrie")</f>
        <v>Software &amp; IT Services</v>
      </c>
    </row>
    <row r="380" spans="1:7" x14ac:dyDescent="0.2">
      <c r="A380">
        <v>379</v>
      </c>
      <c r="C380" t="e" vm="756">
        <v>#VALUE!</v>
      </c>
      <c r="D380" s="1" cm="1" vm="757">
        <f t="array" aca="1" ref="D380" ca="1">_xlfn.STOCKHISTORY(C380,$J$1,$J$1,0,0,1)</f>
        <v>83.9</v>
      </c>
      <c r="E380" s="1">
        <f t="shared" ca="1" si="11"/>
        <v>96.902962962962988</v>
      </c>
      <c r="F380" s="2">
        <f t="shared" ca="1" si="12"/>
        <v>0.86581459879681066</v>
      </c>
      <c r="G380" t="str" cm="1">
        <f t="array" aca="1" ref="G380" ca="1">_FV(C380,"Industrie")</f>
        <v>Healthcare Equipment &amp; Supplies</v>
      </c>
    </row>
    <row r="381" spans="1:7" x14ac:dyDescent="0.2">
      <c r="A381">
        <v>380</v>
      </c>
      <c r="C381" t="e" vm="758">
        <v>#VALUE!</v>
      </c>
      <c r="D381" s="1" cm="1" vm="759">
        <f t="array" aca="1" ref="D381" ca="1">_xlfn.STOCKHISTORY(C381,$J$1,$J$1,0,0,1)</f>
        <v>85.03</v>
      </c>
      <c r="E381" s="1">
        <f t="shared" ca="1" si="11"/>
        <v>98.389999999999986</v>
      </c>
      <c r="F381" s="2">
        <f t="shared" ca="1" si="12"/>
        <v>0.86421384287021052</v>
      </c>
      <c r="G381" t="str" cm="1">
        <f t="array" aca="1" ref="G381" ca="1">_FV(C381,"Industrie")</f>
        <v>Professional &amp; Commercial Services</v>
      </c>
    </row>
    <row r="382" spans="1:7" x14ac:dyDescent="0.2">
      <c r="A382">
        <v>381</v>
      </c>
      <c r="C382" t="e" vm="760">
        <v>#VALUE!</v>
      </c>
      <c r="D382" s="1" cm="1" vm="761">
        <f t="array" aca="1" ref="D382" ca="1">_xlfn.STOCKHISTORY(C382,$J$1,$J$1,0,0,1)</f>
        <v>88.44</v>
      </c>
      <c r="E382" s="1">
        <f t="shared" ca="1" si="11"/>
        <v>102.38185185185185</v>
      </c>
      <c r="F382" s="2">
        <f t="shared" ca="1" si="12"/>
        <v>0.8638249689796007</v>
      </c>
      <c r="G382" t="str" cm="1">
        <f t="array" aca="1" ref="G382" ca="1">_FV(C382,"Industrie")</f>
        <v>Passenger Transportation Services</v>
      </c>
    </row>
    <row r="383" spans="1:7" x14ac:dyDescent="0.2">
      <c r="A383">
        <v>382</v>
      </c>
      <c r="C383" t="e" vm="762">
        <v>#VALUE!</v>
      </c>
      <c r="D383" s="1" cm="1" vm="763">
        <f t="array" aca="1" ref="D383" ca="1">_xlfn.STOCKHISTORY(C383,$J$1,$J$1,0,0,1)</f>
        <v>510.34</v>
      </c>
      <c r="E383" s="1">
        <f t="shared" ca="1" si="11"/>
        <v>592.06703703703693</v>
      </c>
      <c r="F383" s="2">
        <f t="shared" ca="1" si="12"/>
        <v>0.86196320361620726</v>
      </c>
      <c r="G383" t="str" cm="1">
        <f t="array" aca="1" ref="G383" ca="1">_FV(C383,"Industrie")</f>
        <v>Specialty Retailers</v>
      </c>
    </row>
    <row r="384" spans="1:7" x14ac:dyDescent="0.2">
      <c r="A384">
        <v>383</v>
      </c>
      <c r="C384" t="e" vm="764">
        <v>#VALUE!</v>
      </c>
      <c r="D384" s="1" cm="1" vm="765">
        <f t="array" aca="1" ref="D384" ca="1">_xlfn.STOCKHISTORY(C384,$J$1,$J$1,0,0,1)</f>
        <v>101.74</v>
      </c>
      <c r="E384" s="1">
        <f t="shared" ca="1" si="11"/>
        <v>118.14518518518517</v>
      </c>
      <c r="F384" s="2">
        <f t="shared" ca="1" si="12"/>
        <v>0.86114385313738284</v>
      </c>
      <c r="G384" t="str" cm="1">
        <f t="array" aca="1" ref="G384" ca="1">_FV(C384,"Industrie")</f>
        <v>Construction Materials</v>
      </c>
    </row>
    <row r="385" spans="1:7" x14ac:dyDescent="0.2">
      <c r="A385">
        <v>384</v>
      </c>
      <c r="C385" t="e" vm="766">
        <v>#VALUE!</v>
      </c>
      <c r="D385" s="1" cm="1" vm="767">
        <f t="array" aca="1" ref="D385" ca="1">_xlfn.STOCKHISTORY(C385,$J$1,$J$1,0,0,1)</f>
        <v>143.06</v>
      </c>
      <c r="E385" s="1">
        <f t="shared" ca="1" si="11"/>
        <v>166.15111111111113</v>
      </c>
      <c r="F385" s="2">
        <f t="shared" ca="1" si="12"/>
        <v>0.86102343248448521</v>
      </c>
      <c r="G385" t="str" cm="1">
        <f t="array" aca="1" ref="G385" ca="1">_FV(C385,"Industrie")</f>
        <v>Software &amp; IT Services</v>
      </c>
    </row>
    <row r="386" spans="1:7" x14ac:dyDescent="0.2">
      <c r="A386">
        <v>385</v>
      </c>
      <c r="C386" t="e" vm="768">
        <v>#VALUE!</v>
      </c>
      <c r="D386" s="1" cm="1" vm="769">
        <f t="array" aca="1" ref="D386" ca="1">_xlfn.STOCKHISTORY(C386,$J$1,$J$1,0,0,1)</f>
        <v>103.99</v>
      </c>
      <c r="E386" s="1">
        <f t="shared" ref="E386:E449" ca="1" si="13">AVERAGE(_xlfn.STOCKHISTORY(C386,$J$1-182,$J$1,1,0,1))</f>
        <v>120.82259259259261</v>
      </c>
      <c r="F386" s="2">
        <f t="shared" ref="F386:F449" ca="1" si="14">D386/E386</f>
        <v>0.86068340174298996</v>
      </c>
      <c r="G386" t="str" cm="1">
        <f t="array" aca="1" ref="G386" ca="1">_FV(C386,"Industrie")</f>
        <v>Healthcare Equipment &amp; Supplies</v>
      </c>
    </row>
    <row r="387" spans="1:7" x14ac:dyDescent="0.2">
      <c r="A387">
        <v>386</v>
      </c>
      <c r="C387" t="e" vm="770">
        <v>#VALUE!</v>
      </c>
      <c r="D387" s="1" cm="1" vm="771">
        <f t="array" aca="1" ref="D387" ca="1">_xlfn.STOCKHISTORY(C387,$J$1,$J$1,0,0,1)</f>
        <v>473.36</v>
      </c>
      <c r="E387" s="1">
        <f t="shared" ca="1" si="13"/>
        <v>550.46962962962959</v>
      </c>
      <c r="F387" s="2">
        <f t="shared" ca="1" si="14"/>
        <v>0.85992028355585948</v>
      </c>
      <c r="G387" t="str" cm="1">
        <f t="array" aca="1" ref="G387" ca="1">_FV(C387,"Industrie")</f>
        <v>Healthcare Equipment &amp; Supplies</v>
      </c>
    </row>
    <row r="388" spans="1:7" x14ac:dyDescent="0.2">
      <c r="A388">
        <v>387</v>
      </c>
      <c r="C388" t="e" vm="772">
        <v>#VALUE!</v>
      </c>
      <c r="D388" s="1" cm="1" vm="773">
        <f t="array" aca="1" ref="D388" ca="1">_xlfn.STOCKHISTORY(C388,$J$1,$J$1,0,0,1)</f>
        <v>55.98</v>
      </c>
      <c r="E388" s="1">
        <f t="shared" ca="1" si="13"/>
        <v>65.191851851851851</v>
      </c>
      <c r="F388" s="2">
        <f t="shared" ca="1" si="14"/>
        <v>0.85869626969968982</v>
      </c>
      <c r="G388" t="str" cm="1">
        <f t="array" aca="1" ref="G388" ca="1">_FV(C388,"Industrie")</f>
        <v>Professional &amp; Commercial Services</v>
      </c>
    </row>
    <row r="389" spans="1:7" x14ac:dyDescent="0.2">
      <c r="A389">
        <v>388</v>
      </c>
      <c r="C389" t="e" vm="774">
        <v>#VALUE!</v>
      </c>
      <c r="D389" s="1" cm="1" vm="775">
        <f t="array" aca="1" ref="D389" ca="1">_xlfn.STOCKHISTORY(C389,$J$1,$J$1,0,0,1)</f>
        <v>734.3</v>
      </c>
      <c r="E389" s="1">
        <f t="shared" ca="1" si="13"/>
        <v>856.00074074074075</v>
      </c>
      <c r="F389" s="2">
        <f t="shared" ca="1" si="14"/>
        <v>0.85782636048255401</v>
      </c>
      <c r="G389" t="str" cm="1">
        <f t="array" aca="1" ref="G389" ca="1">_FV(C389,"Industrie")</f>
        <v>Professional &amp; Commercial Services</v>
      </c>
    </row>
    <row r="390" spans="1:7" x14ac:dyDescent="0.2">
      <c r="A390">
        <v>389</v>
      </c>
      <c r="C390" t="e" vm="776">
        <v>#VALUE!</v>
      </c>
      <c r="D390" s="1" cm="1" vm="777">
        <f t="array" aca="1" ref="D390" ca="1">_xlfn.STOCKHISTORY(C390,$J$1,$J$1,0,0,1)</f>
        <v>75.95</v>
      </c>
      <c r="E390" s="1">
        <f t="shared" ca="1" si="13"/>
        <v>88.567777777777764</v>
      </c>
      <c r="F390" s="2">
        <f t="shared" ca="1" si="14"/>
        <v>0.85753534643901108</v>
      </c>
      <c r="G390" t="str" cm="1">
        <f t="array" aca="1" ref="G390" ca="1">_FV(C390,"Industrie")</f>
        <v>Machinery, Equipment &amp; Components</v>
      </c>
    </row>
    <row r="391" spans="1:7" x14ac:dyDescent="0.2">
      <c r="A391">
        <v>390</v>
      </c>
      <c r="C391" t="e" vm="778">
        <v>#VALUE!</v>
      </c>
      <c r="D391" s="1" cm="1" vm="779">
        <f t="array" aca="1" ref="D391" ca="1">_xlfn.STOCKHISTORY(C391,$J$1,$J$1,0,0,1)</f>
        <v>18.489999999999998</v>
      </c>
      <c r="E391" s="1">
        <f t="shared" ca="1" si="13"/>
        <v>21.584074074074078</v>
      </c>
      <c r="F391" s="2">
        <f t="shared" ca="1" si="14"/>
        <v>0.85665013641745436</v>
      </c>
      <c r="G391" t="str" cm="1">
        <f t="array" aca="1" ref="G391" ca="1">_FV(C391,"Industrie")</f>
        <v>Hotels &amp; Entertainment Services</v>
      </c>
    </row>
    <row r="392" spans="1:7" x14ac:dyDescent="0.2">
      <c r="A392">
        <v>391</v>
      </c>
      <c r="C392" t="e" vm="780">
        <v>#VALUE!</v>
      </c>
      <c r="D392" s="1" cm="1" vm="781">
        <f t="array" aca="1" ref="D392" ca="1">_xlfn.STOCKHISTORY(C392,$J$1,$J$1,0,0,1)</f>
        <v>118.17</v>
      </c>
      <c r="E392" s="1">
        <f t="shared" ca="1" si="13"/>
        <v>138.06370370370371</v>
      </c>
      <c r="F392" s="2">
        <f t="shared" ca="1" si="14"/>
        <v>0.85590924211045893</v>
      </c>
      <c r="G392" t="str" cm="1">
        <f t="array" aca="1" ref="G392" ca="1">_FV(C392,"Industrie")</f>
        <v>Integrated Hardware &amp; Software</v>
      </c>
    </row>
    <row r="393" spans="1:7" x14ac:dyDescent="0.2">
      <c r="A393">
        <v>392</v>
      </c>
      <c r="C393" t="e" vm="782">
        <v>#VALUE!</v>
      </c>
      <c r="D393" s="1" cm="1" vm="783">
        <f t="array" aca="1" ref="D393" ca="1">_xlfn.STOCKHISTORY(C393,$J$1,$J$1,0,0,1)</f>
        <v>19.440000000000001</v>
      </c>
      <c r="E393" s="1">
        <f t="shared" ca="1" si="13"/>
        <v>22.717777777777783</v>
      </c>
      <c r="F393" s="2">
        <f t="shared" ca="1" si="14"/>
        <v>0.85571749975545319</v>
      </c>
      <c r="G393" t="str" cm="1">
        <f t="array" aca="1" ref="G393" ca="1">_FV(C393,"Industrie")</f>
        <v>Computers, Phones &amp; Household Electronics</v>
      </c>
    </row>
    <row r="394" spans="1:7" x14ac:dyDescent="0.2">
      <c r="A394">
        <v>393</v>
      </c>
      <c r="C394" t="e" vm="784">
        <v>#VALUE!</v>
      </c>
      <c r="D394" s="1" cm="1" vm="785">
        <f t="array" aca="1" ref="D394" ca="1">_xlfn.STOCKHISTORY(C394,$J$1,$J$1,0,0,1)</f>
        <v>286.39</v>
      </c>
      <c r="E394" s="1">
        <f t="shared" ca="1" si="13"/>
        <v>334.86148148148141</v>
      </c>
      <c r="F394" s="2">
        <f t="shared" ca="1" si="14"/>
        <v>0.85524915775013677</v>
      </c>
      <c r="G394" t="str" cm="1">
        <f t="array" aca="1" ref="G394" ca="1">_FV(C394,"Industrie")</f>
        <v>Healthcare Providers &amp; Services</v>
      </c>
    </row>
    <row r="395" spans="1:7" x14ac:dyDescent="0.2">
      <c r="A395">
        <v>394</v>
      </c>
      <c r="C395" t="e" vm="786">
        <v>#VALUE!</v>
      </c>
      <c r="D395" s="1" cm="1" vm="787">
        <f t="array" aca="1" ref="D395" ca="1">_xlfn.STOCKHISTORY(C395,$J$1,$J$1,0,0,1)</f>
        <v>92.42</v>
      </c>
      <c r="E395" s="1">
        <f t="shared" ca="1" si="13"/>
        <v>108.08629629629628</v>
      </c>
      <c r="F395" s="2">
        <f t="shared" ca="1" si="14"/>
        <v>0.85505751577100619</v>
      </c>
      <c r="G395" t="str" cm="1">
        <f t="array" aca="1" ref="G395" ca="1">_FV(C395,"Industrie")</f>
        <v>Media &amp; Publishing</v>
      </c>
    </row>
    <row r="396" spans="1:7" x14ac:dyDescent="0.2">
      <c r="A396">
        <v>395</v>
      </c>
      <c r="C396" t="e" vm="788">
        <v>#VALUE!</v>
      </c>
      <c r="D396" s="1" cm="1" vm="789">
        <f t="array" aca="1" ref="D396" ca="1">_xlfn.STOCKHISTORY(C396,$J$1,$J$1,0,0,1)</f>
        <v>65.900000000000006</v>
      </c>
      <c r="E396" s="1">
        <f t="shared" ca="1" si="13"/>
        <v>77.137037037037032</v>
      </c>
      <c r="F396" s="2">
        <f t="shared" ca="1" si="14"/>
        <v>0.85432371440918053</v>
      </c>
      <c r="G396" t="str" cm="1">
        <f t="array" aca="1" ref="G396" ca="1">_FV(C396,"Industrie")</f>
        <v>Professional &amp; Commercial Services</v>
      </c>
    </row>
    <row r="397" spans="1:7" x14ac:dyDescent="0.2">
      <c r="A397">
        <v>396</v>
      </c>
      <c r="C397" t="e" vm="790">
        <v>#VALUE!</v>
      </c>
      <c r="D397" s="1" cm="1" vm="791">
        <f t="array" aca="1" ref="D397" ca="1">_xlfn.STOCKHISTORY(C397,$J$1,$J$1,0,0,1)</f>
        <v>117.55</v>
      </c>
      <c r="E397" s="1">
        <f t="shared" ca="1" si="13"/>
        <v>137.84370370370371</v>
      </c>
      <c r="F397" s="2">
        <f t="shared" ca="1" si="14"/>
        <v>0.85277743445340659</v>
      </c>
      <c r="G397" t="str" cm="1">
        <f t="array" aca="1" ref="G397" ca="1">_FV(C397,"Industrie")</f>
        <v>Machinery, Equipment &amp; Components</v>
      </c>
    </row>
    <row r="398" spans="1:7" x14ac:dyDescent="0.2">
      <c r="A398">
        <v>397</v>
      </c>
      <c r="C398" t="e" vm="792">
        <v>#VALUE!</v>
      </c>
      <c r="D398" s="1" cm="1" vm="793">
        <f t="array" aca="1" ref="D398" ca="1">_xlfn.STOCKHISTORY(C398,$J$1,$J$1,0,0,1)</f>
        <v>44.87</v>
      </c>
      <c r="E398" s="1">
        <f t="shared" ca="1" si="13"/>
        <v>52.622592592592589</v>
      </c>
      <c r="F398" s="2">
        <f t="shared" ca="1" si="14"/>
        <v>0.85267558646124397</v>
      </c>
      <c r="G398" t="str" cm="1">
        <f t="array" aca="1" ref="G398" ca="1">_FV(C398,"Industrie")</f>
        <v>Specialty Retailers</v>
      </c>
    </row>
    <row r="399" spans="1:7" x14ac:dyDescent="0.2">
      <c r="A399">
        <v>398</v>
      </c>
      <c r="C399" t="e" vm="794">
        <v>#VALUE!</v>
      </c>
      <c r="D399" s="1" cm="1" vm="795">
        <f t="array" aca="1" ref="D399" ca="1">_xlfn.STOCKHISTORY(C399,$J$1,$J$1,0,0,1)</f>
        <v>35.450000000000003</v>
      </c>
      <c r="E399" s="1">
        <f t="shared" ca="1" si="13"/>
        <v>41.592222222222233</v>
      </c>
      <c r="F399" s="2">
        <f t="shared" ca="1" si="14"/>
        <v>0.852322816765955</v>
      </c>
      <c r="G399" t="str" cm="1">
        <f t="array" aca="1" ref="G399" ca="1">_FV(C399,"Industrie")</f>
        <v>Containers &amp; Packaging</v>
      </c>
    </row>
    <row r="400" spans="1:7" x14ac:dyDescent="0.2">
      <c r="A400">
        <v>399</v>
      </c>
      <c r="C400" t="e" vm="796">
        <v>#VALUE!</v>
      </c>
      <c r="D400" s="1" cm="1" vm="797">
        <f t="array" aca="1" ref="D400" ca="1">_xlfn.STOCKHISTORY(C400,$J$1,$J$1,0,0,1)</f>
        <v>380.47</v>
      </c>
      <c r="E400" s="1">
        <f t="shared" ca="1" si="13"/>
        <v>446.99462962962957</v>
      </c>
      <c r="F400" s="2">
        <f t="shared" ca="1" si="14"/>
        <v>0.85117353717481914</v>
      </c>
      <c r="G400" t="str" cm="1">
        <f t="array" aca="1" ref="G400" ca="1">_FV(C400,"Industrie")</f>
        <v>Software &amp; IT Services</v>
      </c>
    </row>
    <row r="401" spans="1:7" x14ac:dyDescent="0.2">
      <c r="A401">
        <v>400</v>
      </c>
      <c r="C401" t="e" vm="798">
        <v>#VALUE!</v>
      </c>
      <c r="D401" s="1" cm="1" vm="799">
        <f t="array" aca="1" ref="D401" ca="1">_xlfn.STOCKHISTORY(C401,$J$1,$J$1,0,0,1)</f>
        <v>131.77000000000001</v>
      </c>
      <c r="E401" s="1">
        <f t="shared" ca="1" si="13"/>
        <v>155.05851851851855</v>
      </c>
      <c r="F401" s="2">
        <f t="shared" ca="1" si="14"/>
        <v>0.84980819666649132</v>
      </c>
      <c r="G401" t="str" cm="1">
        <f t="array" aca="1" ref="G401" ca="1">_FV(C401,"Industrie")</f>
        <v>Real Estate Operations</v>
      </c>
    </row>
    <row r="402" spans="1:7" x14ac:dyDescent="0.2">
      <c r="A402">
        <v>401</v>
      </c>
      <c r="C402" t="e" vm="800">
        <v>#VALUE!</v>
      </c>
      <c r="D402" s="1" cm="1" vm="801">
        <f t="array" aca="1" ref="D402" ca="1">_xlfn.STOCKHISTORY(C402,$J$1,$J$1,0,0,1)</f>
        <v>361.83</v>
      </c>
      <c r="E402" s="1">
        <f t="shared" ca="1" si="13"/>
        <v>425.90518518518519</v>
      </c>
      <c r="F402" s="2">
        <f t="shared" ca="1" si="14"/>
        <v>0.84955528269202674</v>
      </c>
      <c r="G402" t="str" cm="1">
        <f t="array" aca="1" ref="G402" ca="1">_FV(C402,"Industrie")</f>
        <v>Automobiles &amp; Auto Parts</v>
      </c>
    </row>
    <row r="403" spans="1:7" x14ac:dyDescent="0.2">
      <c r="A403">
        <v>402</v>
      </c>
      <c r="C403" t="e" vm="802">
        <v>#VALUE!</v>
      </c>
      <c r="D403" s="1" cm="1" vm="803">
        <f t="array" aca="1" ref="D403" ca="1">_xlfn.STOCKHISTORY(C403,$J$1,$J$1,0,0,1)</f>
        <v>24.19</v>
      </c>
      <c r="E403" s="1">
        <f t="shared" ca="1" si="13"/>
        <v>28.583333333333332</v>
      </c>
      <c r="F403" s="2">
        <f t="shared" ca="1" si="14"/>
        <v>0.84629737609329458</v>
      </c>
      <c r="G403" t="str" cm="1">
        <f t="array" aca="1" ref="G403" ca="1">_FV(C403,"Industrie")</f>
        <v>Hotels &amp; Entertainment Services</v>
      </c>
    </row>
    <row r="404" spans="1:7" x14ac:dyDescent="0.2">
      <c r="A404">
        <v>403</v>
      </c>
      <c r="C404" t="e" vm="804">
        <v>#VALUE!</v>
      </c>
      <c r="D404" s="1" cm="1" vm="805">
        <f t="array" aca="1" ref="D404" ca="1">_xlfn.STOCKHISTORY(C404,$J$1,$J$1,0,0,1)</f>
        <v>558.32000000000005</v>
      </c>
      <c r="E404" s="1">
        <f t="shared" ca="1" si="13"/>
        <v>659.88111111111118</v>
      </c>
      <c r="F404" s="2">
        <f t="shared" ca="1" si="14"/>
        <v>0.846091804415947</v>
      </c>
      <c r="G404" t="str" cm="1">
        <f t="array" aca="1" ref="G404" ca="1">_FV(C404,"Industrie")</f>
        <v>Healthcare Equipment &amp; Supplies</v>
      </c>
    </row>
    <row r="405" spans="1:7" x14ac:dyDescent="0.2">
      <c r="A405">
        <v>404</v>
      </c>
      <c r="C405" t="e" vm="806">
        <v>#VALUE!</v>
      </c>
      <c r="D405" s="1" cm="1" vm="807">
        <f t="array" aca="1" ref="D405" ca="1">_xlfn.STOCKHISTORY(C405,$J$1,$J$1,0,0,1)</f>
        <v>182.75</v>
      </c>
      <c r="E405" s="1">
        <f t="shared" ca="1" si="13"/>
        <v>216.05296296296297</v>
      </c>
      <c r="F405" s="2">
        <f t="shared" ca="1" si="14"/>
        <v>0.84585741150575222</v>
      </c>
      <c r="G405" t="str" cm="1">
        <f t="array" aca="1" ref="G405" ca="1">_FV(C405,"Industrie")</f>
        <v>Software &amp; IT Services</v>
      </c>
    </row>
    <row r="406" spans="1:7" x14ac:dyDescent="0.2">
      <c r="A406">
        <v>405</v>
      </c>
      <c r="C406" t="e" vm="808">
        <v>#VALUE!</v>
      </c>
      <c r="D406" s="1" cm="1" vm="809">
        <f t="array" aca="1" ref="D406" ca="1">_xlfn.STOCKHISTORY(C406,$J$1,$J$1,0,0,1)</f>
        <v>181.52</v>
      </c>
      <c r="E406" s="1">
        <f t="shared" ca="1" si="13"/>
        <v>214.9807407407408</v>
      </c>
      <c r="F406" s="2">
        <f t="shared" ca="1" si="14"/>
        <v>0.8443547053310545</v>
      </c>
      <c r="G406" t="str" cm="1">
        <f t="array" aca="1" ref="G406" ca="1">_FV(C406,"Industrie")</f>
        <v>Healthcare Equipment &amp; Supplies</v>
      </c>
    </row>
    <row r="407" spans="1:7" x14ac:dyDescent="0.2">
      <c r="A407">
        <v>406</v>
      </c>
      <c r="C407" t="e" vm="810">
        <v>#VALUE!</v>
      </c>
      <c r="D407" s="1" cm="1" vm="811">
        <f t="array" aca="1" ref="D407" ca="1">_xlfn.STOCKHISTORY(C407,$J$1,$J$1,0,0,1)</f>
        <v>406.24</v>
      </c>
      <c r="E407" s="1">
        <f t="shared" ca="1" si="13"/>
        <v>481.60518518518535</v>
      </c>
      <c r="F407" s="2">
        <f t="shared" ca="1" si="14"/>
        <v>0.84351251293898311</v>
      </c>
      <c r="G407" t="str" cm="1">
        <f t="array" aca="1" ref="G407" ca="1">_FV(C407,"Industrie")</f>
        <v>Professional &amp; Commercial Services</v>
      </c>
    </row>
    <row r="408" spans="1:7" x14ac:dyDescent="0.2">
      <c r="A408">
        <v>407</v>
      </c>
      <c r="C408" t="e" vm="812">
        <v>#VALUE!</v>
      </c>
      <c r="D408" s="1" cm="1" vm="813">
        <f t="array" aca="1" ref="D408" ca="1">_xlfn.STOCKHISTORY(C408,$J$1,$J$1,0,0,1)</f>
        <v>292.27</v>
      </c>
      <c r="E408" s="1">
        <f t="shared" ca="1" si="13"/>
        <v>347.21814814814815</v>
      </c>
      <c r="F408" s="2">
        <f t="shared" ca="1" si="14"/>
        <v>0.84174747650372428</v>
      </c>
      <c r="G408" t="str" cm="1">
        <f t="array" aca="1" ref="G408" ca="1">_FV(C408,"Industrie")</f>
        <v>Banking Services</v>
      </c>
    </row>
    <row r="409" spans="1:7" x14ac:dyDescent="0.2">
      <c r="A409">
        <v>408</v>
      </c>
      <c r="C409" t="e" vm="814">
        <v>#VALUE!</v>
      </c>
      <c r="D409" s="1" cm="1" vm="815">
        <f t="array" aca="1" ref="D409" ca="1">_xlfn.STOCKHISTORY(C409,$J$1,$J$1,0,0,1)</f>
        <v>30.86</v>
      </c>
      <c r="E409" s="1">
        <f t="shared" ca="1" si="13"/>
        <v>36.67074074074074</v>
      </c>
      <c r="F409" s="2">
        <f t="shared" ca="1" si="14"/>
        <v>0.8415428588742665</v>
      </c>
      <c r="G409" t="str" cm="1">
        <f t="array" aca="1" ref="G409" ca="1">_FV(C409,"Industrie")</f>
        <v>Hotels &amp; Entertainment Services</v>
      </c>
    </row>
    <row r="410" spans="1:7" x14ac:dyDescent="0.2">
      <c r="A410">
        <v>409</v>
      </c>
      <c r="C410" t="e" vm="816">
        <v>#VALUE!</v>
      </c>
      <c r="D410" s="1" cm="1" vm="817">
        <f t="array" aca="1" ref="D410" ca="1">_xlfn.STOCKHISTORY(C410,$J$1,$J$1,0,0,1)</f>
        <v>155.53</v>
      </c>
      <c r="E410" s="1">
        <f t="shared" ca="1" si="13"/>
        <v>184.94740740740741</v>
      </c>
      <c r="F410" s="2">
        <f t="shared" ca="1" si="14"/>
        <v>0.8409417692316935</v>
      </c>
      <c r="G410" t="str" cm="1">
        <f t="array" aca="1" ref="G410" ca="1">_FV(C410,"Industrie")</f>
        <v>Software &amp; IT Services</v>
      </c>
    </row>
    <row r="411" spans="1:7" x14ac:dyDescent="0.2">
      <c r="A411">
        <v>410</v>
      </c>
      <c r="C411" t="e" vm="818">
        <v>#VALUE!</v>
      </c>
      <c r="D411" s="1" cm="1" vm="819">
        <f t="array" aca="1" ref="D411" ca="1">_xlfn.STOCKHISTORY(C411,$J$1,$J$1,0,0,1)</f>
        <v>108.42</v>
      </c>
      <c r="E411" s="1">
        <f t="shared" ca="1" si="13"/>
        <v>128.9425925925926</v>
      </c>
      <c r="F411" s="2">
        <f t="shared" ca="1" si="14"/>
        <v>0.84083930546180463</v>
      </c>
      <c r="G411" t="str" cm="1">
        <f t="array" aca="1" ref="G411" ca="1">_FV(C411,"Industrie")</f>
        <v>Collective Investments</v>
      </c>
    </row>
    <row r="412" spans="1:7" x14ac:dyDescent="0.2">
      <c r="A412">
        <v>411</v>
      </c>
      <c r="C412" t="e" vm="820">
        <v>#VALUE!</v>
      </c>
      <c r="D412" s="1" cm="1" vm="821">
        <f t="array" aca="1" ref="D412" ca="1">_xlfn.STOCKHISTORY(C412,$J$1,$J$1,0,0,1)</f>
        <v>91.68</v>
      </c>
      <c r="E412" s="1">
        <f t="shared" ca="1" si="13"/>
        <v>109.13148148148149</v>
      </c>
      <c r="F412" s="2">
        <f t="shared" ca="1" si="14"/>
        <v>0.84008756002782914</v>
      </c>
      <c r="G412" t="str" cm="1">
        <f t="array" aca="1" ref="G412" ca="1">_FV(C412,"Industrie")</f>
        <v>Professional &amp; Commercial Services</v>
      </c>
    </row>
    <row r="413" spans="1:7" x14ac:dyDescent="0.2">
      <c r="A413">
        <v>412</v>
      </c>
      <c r="C413" t="e" vm="822">
        <v>#VALUE!</v>
      </c>
      <c r="D413" s="1" cm="1" vm="823">
        <f t="array" aca="1" ref="D413" ca="1">_xlfn.STOCKHISTORY(C413,$J$1,$J$1,0,0,1)</f>
        <v>53.65</v>
      </c>
      <c r="E413" s="1">
        <f t="shared" ca="1" si="13"/>
        <v>64.492407407407413</v>
      </c>
      <c r="F413" s="2">
        <f t="shared" ca="1" si="14"/>
        <v>0.83188087027183777</v>
      </c>
      <c r="G413" t="str" cm="1">
        <f t="array" aca="1" ref="G413" ca="1">_FV(C413,"Industrie")</f>
        <v>Semiconductors &amp; Semiconductor Equipment</v>
      </c>
    </row>
    <row r="414" spans="1:7" x14ac:dyDescent="0.2">
      <c r="A414">
        <v>413</v>
      </c>
      <c r="C414" t="e" vm="824">
        <v>#VALUE!</v>
      </c>
      <c r="D414" s="1" cm="1" vm="825">
        <f t="array" aca="1" ref="D414" ca="1">_xlfn.STOCKHISTORY(C414,$J$1,$J$1,0,0,1)</f>
        <v>62.76</v>
      </c>
      <c r="E414" s="1">
        <f t="shared" ca="1" si="13"/>
        <v>75.569259259259269</v>
      </c>
      <c r="F414" s="2">
        <f t="shared" ca="1" si="14"/>
        <v>0.8304964295691466</v>
      </c>
      <c r="G414" t="str" cm="1">
        <f t="array" aca="1" ref="G414" ca="1">_FV(C414,"Industrie")</f>
        <v>Healthcare Equipment &amp; Supplies</v>
      </c>
    </row>
    <row r="415" spans="1:7" x14ac:dyDescent="0.2">
      <c r="A415">
        <v>414</v>
      </c>
      <c r="C415" t="e" vm="826">
        <v>#VALUE!</v>
      </c>
      <c r="D415" s="1" cm="1" vm="827">
        <f t="array" aca="1" ref="D415" ca="1">_xlfn.STOCKHISTORY(C415,$J$1,$J$1,0,0,1)</f>
        <v>4062.14</v>
      </c>
      <c r="E415" s="1">
        <f t="shared" ca="1" si="13"/>
        <v>4909.3148148148148</v>
      </c>
      <c r="F415" s="2">
        <f t="shared" ca="1" si="14"/>
        <v>0.82743522329057007</v>
      </c>
      <c r="G415" t="str" cm="1">
        <f t="array" aca="1" ref="G415" ca="1">_FV(C415,"Industrie")</f>
        <v>Hotels &amp; Entertainment Services</v>
      </c>
    </row>
    <row r="416" spans="1:7" x14ac:dyDescent="0.2">
      <c r="A416">
        <v>415</v>
      </c>
      <c r="C416" t="e" vm="828">
        <v>#VALUE!</v>
      </c>
      <c r="D416" s="1" cm="1" vm="829">
        <f t="array" aca="1" ref="D416" ca="1">_xlfn.STOCKHISTORY(C416,$J$1,$J$1,0,0,1)</f>
        <v>84.92</v>
      </c>
      <c r="E416" s="1">
        <f t="shared" ca="1" si="13"/>
        <v>102.82074074074073</v>
      </c>
      <c r="F416" s="2">
        <f t="shared" ca="1" si="14"/>
        <v>0.82590340614373825</v>
      </c>
      <c r="G416" t="str" cm="1">
        <f t="array" aca="1" ref="G416" ca="1">_FV(C416,"Industrie")</f>
        <v>Machinery, Equipment &amp; Components</v>
      </c>
    </row>
    <row r="417" spans="1:7" x14ac:dyDescent="0.2">
      <c r="A417">
        <v>416</v>
      </c>
      <c r="C417" t="e" vm="830">
        <v>#VALUE!</v>
      </c>
      <c r="D417" s="1" cm="1" vm="831">
        <f t="array" aca="1" ref="D417" ca="1">_xlfn.STOCKHISTORY(C417,$J$1,$J$1,0,0,1)</f>
        <v>492</v>
      </c>
      <c r="E417" s="1">
        <f t="shared" ca="1" si="13"/>
        <v>595.83333333333326</v>
      </c>
      <c r="F417" s="2">
        <f t="shared" ca="1" si="14"/>
        <v>0.82573426573426589</v>
      </c>
      <c r="G417" t="str" cm="1">
        <f t="array" aca="1" ref="G417" ca="1">_FV(C417,"Industrie")</f>
        <v>Aerospace &amp; Defense</v>
      </c>
    </row>
    <row r="418" spans="1:7" x14ac:dyDescent="0.2">
      <c r="A418">
        <v>417</v>
      </c>
      <c r="C418" t="e" vm="832">
        <v>#VALUE!</v>
      </c>
      <c r="D418" s="1" cm="1" vm="833">
        <f t="array" aca="1" ref="D418" ca="1">_xlfn.STOCKHISTORY(C418,$J$1,$J$1,0,0,1)</f>
        <v>236.34</v>
      </c>
      <c r="E418" s="1">
        <f t="shared" ca="1" si="13"/>
        <v>286.31259259259264</v>
      </c>
      <c r="F418" s="2">
        <f t="shared" ca="1" si="14"/>
        <v>0.8254614226357101</v>
      </c>
      <c r="G418" t="str" cm="1">
        <f t="array" aca="1" ref="G418" ca="1">_FV(C418,"Industrie")</f>
        <v>Software &amp; IT Services</v>
      </c>
    </row>
    <row r="419" spans="1:7" x14ac:dyDescent="0.2">
      <c r="A419">
        <v>418</v>
      </c>
      <c r="C419" t="e" vm="834">
        <v>#VALUE!</v>
      </c>
      <c r="D419" s="1" cm="1" vm="835">
        <f t="array" aca="1" ref="D419" ca="1">_xlfn.STOCKHISTORY(C419,$J$1,$J$1,0,0,1)</f>
        <v>69.180000000000007</v>
      </c>
      <c r="E419" s="1">
        <f t="shared" ca="1" si="13"/>
        <v>83.86740740740737</v>
      </c>
      <c r="F419" s="2">
        <f t="shared" ca="1" si="14"/>
        <v>0.82487347753508666</v>
      </c>
      <c r="G419" t="str" cm="1">
        <f t="array" aca="1" ref="G419" ca="1">_FV(C419,"Industrie")</f>
        <v>Software &amp; IT Services</v>
      </c>
    </row>
    <row r="420" spans="1:7" x14ac:dyDescent="0.2">
      <c r="A420">
        <v>419</v>
      </c>
      <c r="C420" t="e" vm="836">
        <v>#VALUE!</v>
      </c>
      <c r="D420" s="1" cm="1" vm="837">
        <f t="array" aca="1" ref="D420" ca="1">_xlfn.STOCKHISTORY(C420,$J$1,$J$1,0,0,1)</f>
        <v>207.1</v>
      </c>
      <c r="E420" s="1">
        <f t="shared" ca="1" si="13"/>
        <v>251.07333333333335</v>
      </c>
      <c r="F420" s="2">
        <f t="shared" ca="1" si="14"/>
        <v>0.82485860704707781</v>
      </c>
      <c r="G420" t="str" cm="1">
        <f t="array" aca="1" ref="G420" ca="1">_FV(C420,"Industrie")</f>
        <v>Insurance</v>
      </c>
    </row>
    <row r="421" spans="1:7" x14ac:dyDescent="0.2">
      <c r="A421">
        <v>420</v>
      </c>
      <c r="C421" t="e" vm="838">
        <v>#VALUE!</v>
      </c>
      <c r="D421" s="1" cm="1" vm="839">
        <f t="array" aca="1" ref="D421" ca="1">_xlfn.STOCKHISTORY(C421,$J$1,$J$1,0,0,1)</f>
        <v>134.03</v>
      </c>
      <c r="E421" s="1">
        <f t="shared" ca="1" si="13"/>
        <v>162.86814814814812</v>
      </c>
      <c r="F421" s="2">
        <f t="shared" ca="1" si="14"/>
        <v>0.82293561708630492</v>
      </c>
      <c r="G421" t="str" cm="1">
        <f t="array" aca="1" ref="G421" ca="1">_FV(C421,"Industrie")</f>
        <v>Healthcare Providers &amp; Services</v>
      </c>
    </row>
    <row r="422" spans="1:7" x14ac:dyDescent="0.2">
      <c r="A422">
        <v>421</v>
      </c>
      <c r="C422" t="e" vm="840">
        <v>#VALUE!</v>
      </c>
      <c r="D422" s="1" cm="1" vm="841">
        <f t="array" aca="1" ref="D422" ca="1">_xlfn.STOCKHISTORY(C422,$J$1,$J$1,0,0,1)</f>
        <v>105.02</v>
      </c>
      <c r="E422" s="1">
        <f t="shared" ca="1" si="13"/>
        <v>127.65481481481484</v>
      </c>
      <c r="F422" s="2">
        <f t="shared" ca="1" si="14"/>
        <v>0.82268733970081331</v>
      </c>
      <c r="G422" t="str" cm="1">
        <f t="array" aca="1" ref="G422" ca="1">_FV(C422,"Industrie")</f>
        <v>Automobiles &amp; Auto Parts</v>
      </c>
    </row>
    <row r="423" spans="1:7" x14ac:dyDescent="0.2">
      <c r="A423">
        <v>422</v>
      </c>
      <c r="C423" t="e" vm="842">
        <v>#VALUE!</v>
      </c>
      <c r="D423" s="1" cm="1" vm="843">
        <f t="array" aca="1" ref="D423" ca="1">_xlfn.STOCKHISTORY(C423,$J$1,$J$1,0,0,1)</f>
        <v>229.84</v>
      </c>
      <c r="E423" s="1">
        <f t="shared" ca="1" si="13"/>
        <v>279.43740740740736</v>
      </c>
      <c r="F423" s="2">
        <f t="shared" ca="1" si="14"/>
        <v>0.82250977824491289</v>
      </c>
      <c r="G423" t="str" cm="1">
        <f t="array" aca="1" ref="G423" ca="1">_FV(C423,"Industrie")</f>
        <v>Software &amp; IT Services</v>
      </c>
    </row>
    <row r="424" spans="1:7" x14ac:dyDescent="0.2">
      <c r="A424">
        <v>423</v>
      </c>
      <c r="C424" t="e" vm="844">
        <v>#VALUE!</v>
      </c>
      <c r="D424" s="1" cm="1" vm="845">
        <f t="array" aca="1" ref="D424" ca="1">_xlfn.STOCKHISTORY(C424,$J$1,$J$1,0,0,1)</f>
        <v>302.04000000000002</v>
      </c>
      <c r="E424" s="1">
        <f t="shared" ca="1" si="13"/>
        <v>367.25888888888903</v>
      </c>
      <c r="F424" s="2">
        <f t="shared" ca="1" si="14"/>
        <v>0.82241712627786001</v>
      </c>
      <c r="G424" t="str" cm="1">
        <f t="array" aca="1" ref="G424" ca="1">_FV(C424,"Industrie")</f>
        <v>Specialty Retailers</v>
      </c>
    </row>
    <row r="425" spans="1:7" x14ac:dyDescent="0.2">
      <c r="A425">
        <v>424</v>
      </c>
      <c r="C425" t="e" vm="846">
        <v>#VALUE!</v>
      </c>
      <c r="D425" s="1" cm="1" vm="847">
        <f t="array" aca="1" ref="D425" ca="1">_xlfn.STOCKHISTORY(C425,$J$1,$J$1,0,0,1)</f>
        <v>344.42</v>
      </c>
      <c r="E425" s="1">
        <f t="shared" ca="1" si="13"/>
        <v>420.88037037037043</v>
      </c>
      <c r="F425" s="2">
        <f t="shared" ca="1" si="14"/>
        <v>0.81833229641219407</v>
      </c>
      <c r="G425" t="str" cm="1">
        <f t="array" aca="1" ref="G425" ca="1">_FV(C425,"Industrie")</f>
        <v>Software &amp; IT Services</v>
      </c>
    </row>
    <row r="426" spans="1:7" x14ac:dyDescent="0.2">
      <c r="A426">
        <v>425</v>
      </c>
      <c r="C426" t="e" vm="848">
        <v>#VALUE!</v>
      </c>
      <c r="D426" s="1" cm="1" vm="849">
        <f t="array" aca="1" ref="D426" ca="1">_xlfn.STOCKHISTORY(C426,$J$1,$J$1,0,0,1)</f>
        <v>110.24</v>
      </c>
      <c r="E426" s="1">
        <f t="shared" ca="1" si="13"/>
        <v>134.81</v>
      </c>
      <c r="F426" s="2">
        <f t="shared" ca="1" si="14"/>
        <v>0.81774349083895848</v>
      </c>
      <c r="G426" t="str" cm="1">
        <f t="array" aca="1" ref="G426" ca="1">_FV(C426,"Industrie")</f>
        <v>Healthcare Equipment &amp; Supplies</v>
      </c>
    </row>
    <row r="427" spans="1:7" x14ac:dyDescent="0.2">
      <c r="A427">
        <v>426</v>
      </c>
      <c r="C427" t="e" vm="850">
        <v>#VALUE!</v>
      </c>
      <c r="D427" s="1" cm="1" vm="851">
        <f t="array" aca="1" ref="D427" ca="1">_xlfn.STOCKHISTORY(C427,$J$1,$J$1,0,0,1)</f>
        <v>289.16000000000003</v>
      </c>
      <c r="E427" s="1">
        <f t="shared" ca="1" si="13"/>
        <v>353.75037037037038</v>
      </c>
      <c r="F427" s="2">
        <f t="shared" ca="1" si="14"/>
        <v>0.81741257174446103</v>
      </c>
      <c r="G427" t="str" cm="1">
        <f t="array" aca="1" ref="G427" ca="1">_FV(C427,"Industrie")</f>
        <v>Healthcare Equipment &amp; Supplies</v>
      </c>
    </row>
    <row r="428" spans="1:7" x14ac:dyDescent="0.2">
      <c r="A428">
        <v>427</v>
      </c>
      <c r="C428" t="e" vm="852">
        <v>#VALUE!</v>
      </c>
      <c r="D428" s="1" cm="1" vm="853">
        <f t="array" aca="1" ref="D428" ca="1">_xlfn.STOCKHISTORY(C428,$J$1,$J$1,0,0,1)</f>
        <v>0.105</v>
      </c>
      <c r="E428" s="1">
        <f t="shared" ca="1" si="13"/>
        <v>0.1285185185185185</v>
      </c>
      <c r="F428" s="2">
        <f t="shared" ca="1" si="14"/>
        <v>0.81700288184438041</v>
      </c>
      <c r="G428" t="str" cm="1">
        <f t="array" aca="1" ref="G428" ca="1">_FV(C428,"Industrie")</f>
        <v>Software &amp; IT Services</v>
      </c>
    </row>
    <row r="429" spans="1:7" x14ac:dyDescent="0.2">
      <c r="A429">
        <v>428</v>
      </c>
      <c r="C429" t="e" vm="854">
        <v>#VALUE!</v>
      </c>
      <c r="D429" s="1" cm="1" vm="855">
        <f t="array" aca="1" ref="D429" ca="1">_xlfn.STOCKHISTORY(C429,$J$1,$J$1,0,0,1)</f>
        <v>114.48</v>
      </c>
      <c r="E429" s="1">
        <f t="shared" ca="1" si="13"/>
        <v>140.1398148148148</v>
      </c>
      <c r="F429" s="2">
        <f t="shared" ca="1" si="14"/>
        <v>0.81689846780001463</v>
      </c>
      <c r="G429" t="str" cm="1">
        <f t="array" aca="1" ref="G429" ca="1">_FV(C429,"Industrie")</f>
        <v>Software &amp; IT Services</v>
      </c>
    </row>
    <row r="430" spans="1:7" x14ac:dyDescent="0.2">
      <c r="A430">
        <v>429</v>
      </c>
      <c r="C430" t="e" vm="856">
        <v>#VALUE!</v>
      </c>
      <c r="D430" s="1" cm="1" vm="857">
        <f t="array" aca="1" ref="D430" ca="1">_xlfn.STOCKHISTORY(C430,$J$1,$J$1,0,0,1)</f>
        <v>32.43</v>
      </c>
      <c r="E430" s="1">
        <f t="shared" ca="1" si="13"/>
        <v>39.744074074074078</v>
      </c>
      <c r="F430" s="2">
        <f t="shared" ca="1" si="14"/>
        <v>0.81597070143231221</v>
      </c>
      <c r="G430" t="str" cm="1">
        <f t="array" aca="1" ref="G430" ca="1">_FV(C430,"Industrie")</f>
        <v>Software &amp; IT Services</v>
      </c>
    </row>
    <row r="431" spans="1:7" x14ac:dyDescent="0.2">
      <c r="A431">
        <v>430</v>
      </c>
      <c r="C431" t="e" vm="858">
        <v>#VALUE!</v>
      </c>
      <c r="D431" s="1" cm="1" vm="859">
        <f t="array" aca="1" ref="D431" ca="1">_xlfn.STOCKHISTORY(C431,$J$1,$J$1,0,0,1)</f>
        <v>51.37</v>
      </c>
      <c r="E431" s="1">
        <f t="shared" ca="1" si="13"/>
        <v>63.073333333333331</v>
      </c>
      <c r="F431" s="2">
        <f t="shared" ca="1" si="14"/>
        <v>0.81444878976852342</v>
      </c>
      <c r="G431" t="str" cm="1">
        <f t="array" aca="1" ref="G431" ca="1">_FV(C431,"Industrie")</f>
        <v>Textiles &amp; Apparel</v>
      </c>
    </row>
    <row r="432" spans="1:7" x14ac:dyDescent="0.2">
      <c r="A432">
        <v>431</v>
      </c>
      <c r="C432" t="e" vm="860">
        <v>#VALUE!</v>
      </c>
      <c r="D432" s="1" cm="1" vm="861">
        <f t="array" aca="1" ref="D432" ca="1">_xlfn.STOCKHISTORY(C432,$J$1,$J$1,0,0,1)</f>
        <v>59.73</v>
      </c>
      <c r="E432" s="1">
        <f t="shared" ca="1" si="13"/>
        <v>73.387037037037032</v>
      </c>
      <c r="F432" s="2">
        <f t="shared" ca="1" si="14"/>
        <v>0.81390395922178205</v>
      </c>
      <c r="G432" t="str" cm="1">
        <f t="array" aca="1" ref="G432" ca="1">_FV(C432,"Industrie")</f>
        <v>Software &amp; IT Services</v>
      </c>
    </row>
    <row r="433" spans="1:7" x14ac:dyDescent="0.2">
      <c r="A433">
        <v>432</v>
      </c>
      <c r="C433" t="e" vm="862">
        <v>#VALUE!</v>
      </c>
      <c r="D433" s="1" cm="1" vm="863">
        <f t="array" aca="1" ref="D433" ca="1">_xlfn.STOCKHISTORY(C433,$J$1,$J$1,0,0,1)</f>
        <v>176.1</v>
      </c>
      <c r="E433" s="1">
        <f t="shared" ca="1" si="13"/>
        <v>216.53962962962964</v>
      </c>
      <c r="F433" s="2">
        <f t="shared" ca="1" si="14"/>
        <v>0.8132460570898834</v>
      </c>
      <c r="G433" t="str" cm="1">
        <f t="array" aca="1" ref="G433" ca="1">_FV(C433,"Industrie")</f>
        <v>Banking Services</v>
      </c>
    </row>
    <row r="434" spans="1:7" x14ac:dyDescent="0.2">
      <c r="A434">
        <v>433</v>
      </c>
      <c r="C434" t="e" vm="864">
        <v>#VALUE!</v>
      </c>
      <c r="D434" s="1" cm="1" vm="865">
        <f t="array" aca="1" ref="D434" ca="1">_xlfn.STOCKHISTORY(C434,$J$1,$J$1,0,0,1)</f>
        <v>189.69</v>
      </c>
      <c r="E434" s="1">
        <f t="shared" ca="1" si="13"/>
        <v>233.30962962962963</v>
      </c>
      <c r="F434" s="2">
        <f t="shared" ca="1" si="14"/>
        <v>0.81303973737014557</v>
      </c>
      <c r="G434" t="str" cm="1">
        <f t="array" aca="1" ref="G434" ca="1">_FV(C434,"Industrie")</f>
        <v>Software &amp; IT Services</v>
      </c>
    </row>
    <row r="435" spans="1:7" x14ac:dyDescent="0.2">
      <c r="A435">
        <v>434</v>
      </c>
      <c r="C435" t="e" vm="866">
        <v>#VALUE!</v>
      </c>
      <c r="D435" s="1" cm="1" vm="867">
        <f t="array" aca="1" ref="D435" ca="1">_xlfn.STOCKHISTORY(C435,$J$1,$J$1,0,0,1)</f>
        <v>171.85</v>
      </c>
      <c r="E435" s="1">
        <f t="shared" ca="1" si="13"/>
        <v>211.70259259259259</v>
      </c>
      <c r="F435" s="2">
        <f t="shared" ca="1" si="14"/>
        <v>0.81175198610209642</v>
      </c>
      <c r="G435" t="str" cm="1">
        <f t="array" aca="1" ref="G435" ca="1">_FV(C435,"Industrie")</f>
        <v>Professional &amp; Commercial Services</v>
      </c>
    </row>
    <row r="436" spans="1:7" x14ac:dyDescent="0.2">
      <c r="A436">
        <v>435</v>
      </c>
      <c r="C436" t="e" vm="868">
        <v>#VALUE!</v>
      </c>
      <c r="D436" s="1" cm="1" vm="869">
        <f t="array" aca="1" ref="D436" ca="1">_xlfn.STOCKHISTORY(C436,$J$1,$J$1,0,0,1)</f>
        <v>53.07</v>
      </c>
      <c r="E436" s="1">
        <f t="shared" ca="1" si="13"/>
        <v>65.407037037037014</v>
      </c>
      <c r="F436" s="2">
        <f t="shared" ca="1" si="14"/>
        <v>0.81138058539402858</v>
      </c>
      <c r="G436" t="str" cm="1">
        <f t="array" aca="1" ref="G436" ca="1">_FV(C436,"Industrie")</f>
        <v>Food &amp; Tobacco</v>
      </c>
    </row>
    <row r="437" spans="1:7" x14ac:dyDescent="0.2">
      <c r="A437">
        <v>436</v>
      </c>
      <c r="C437" t="e" vm="870">
        <v>#VALUE!</v>
      </c>
      <c r="D437" s="1" cm="1" vm="871">
        <f t="array" aca="1" ref="D437" ca="1">_xlfn.STOCKHISTORY(C437,$J$1,$J$1,0,0,1)</f>
        <v>46.04</v>
      </c>
      <c r="E437" s="1">
        <f t="shared" ca="1" si="13"/>
        <v>56.93037037037039</v>
      </c>
      <c r="F437" s="2">
        <f t="shared" ca="1" si="14"/>
        <v>0.80870719267200974</v>
      </c>
      <c r="G437" t="str" cm="1">
        <f t="array" aca="1" ref="G437" ca="1">_FV(C437,"Industrie")</f>
        <v>Residential &amp; Commercial REIT</v>
      </c>
    </row>
    <row r="438" spans="1:7" x14ac:dyDescent="0.2">
      <c r="A438">
        <v>437</v>
      </c>
      <c r="C438" t="e" vm="872">
        <v>#VALUE!</v>
      </c>
      <c r="D438" s="1" cm="1" vm="873">
        <f t="array" aca="1" ref="D438" ca="1">_xlfn.STOCKHISTORY(C438,$J$1,$J$1,0,0,1)</f>
        <v>15.97</v>
      </c>
      <c r="E438" s="1">
        <f t="shared" ca="1" si="13"/>
        <v>19.747777777777781</v>
      </c>
      <c r="F438" s="2">
        <f t="shared" ca="1" si="14"/>
        <v>0.80869858774545644</v>
      </c>
      <c r="G438" t="str" cm="1">
        <f t="array" aca="1" ref="G438" ca="1">_FV(C438,"Industrie")</f>
        <v>Healthcare Equipment &amp; Supplies</v>
      </c>
    </row>
    <row r="439" spans="1:7" x14ac:dyDescent="0.2">
      <c r="A439">
        <v>438</v>
      </c>
      <c r="C439" t="e" vm="874">
        <v>#VALUE!</v>
      </c>
      <c r="D439" s="1" cm="1" vm="875">
        <f t="array" aca="1" ref="D439" ca="1">_xlfn.STOCKHISTORY(C439,$J$1,$J$1,0,0,1)</f>
        <v>259.02</v>
      </c>
      <c r="E439" s="1">
        <f t="shared" ca="1" si="13"/>
        <v>320.67148148148146</v>
      </c>
      <c r="F439" s="2">
        <f t="shared" ca="1" si="14"/>
        <v>0.80774254948816893</v>
      </c>
      <c r="G439" t="str" cm="1">
        <f t="array" aca="1" ref="G439" ca="1">_FV(C439,"Industrie")</f>
        <v>Healthcare Providers &amp; Services</v>
      </c>
    </row>
    <row r="440" spans="1:7" x14ac:dyDescent="0.2">
      <c r="A440">
        <v>439</v>
      </c>
      <c r="C440" t="e" vm="876">
        <v>#VALUE!</v>
      </c>
      <c r="D440" s="1" cm="1" vm="877">
        <f t="array" aca="1" ref="D440" ca="1">_xlfn.STOCKHISTORY(C440,$J$1,$J$1,0,0,1)</f>
        <v>145.85</v>
      </c>
      <c r="E440" s="1">
        <f t="shared" ca="1" si="13"/>
        <v>180.68740740740739</v>
      </c>
      <c r="F440" s="2">
        <f t="shared" ca="1" si="14"/>
        <v>0.80719515594765667</v>
      </c>
      <c r="G440" t="str" cm="1">
        <f t="array" aca="1" ref="G440" ca="1">_FV(C440,"Industrie")</f>
        <v>Textiles &amp; Apparel</v>
      </c>
    </row>
    <row r="441" spans="1:7" x14ac:dyDescent="0.2">
      <c r="A441">
        <v>440</v>
      </c>
      <c r="C441" t="e" vm="878">
        <v>#VALUE!</v>
      </c>
      <c r="D441" s="1" cm="1" vm="879">
        <f t="array" aca="1" ref="D441" ca="1">_xlfn.STOCKHISTORY(C441,$J$1,$J$1,0,0,1)</f>
        <v>63.43</v>
      </c>
      <c r="E441" s="1">
        <f t="shared" ca="1" si="13"/>
        <v>78.767037037037042</v>
      </c>
      <c r="F441" s="2">
        <f t="shared" ca="1" si="14"/>
        <v>0.80528609918606664</v>
      </c>
      <c r="G441" t="str" cm="1">
        <f t="array" aca="1" ref="G441" ca="1">_FV(C441,"Industrie")</f>
        <v>Insurance</v>
      </c>
    </row>
    <row r="442" spans="1:7" x14ac:dyDescent="0.2">
      <c r="A442">
        <v>441</v>
      </c>
      <c r="C442" t="e" vm="880">
        <v>#VALUE!</v>
      </c>
      <c r="D442" s="1" cm="1" vm="881">
        <f t="array" aca="1" ref="D442" ca="1">_xlfn.STOCKHISTORY(C442,$J$1,$J$1,0,0,1)</f>
        <v>201.25</v>
      </c>
      <c r="E442" s="1">
        <f t="shared" ca="1" si="13"/>
        <v>250.06518518518516</v>
      </c>
      <c r="F442" s="2">
        <f t="shared" ca="1" si="14"/>
        <v>0.80479015841795332</v>
      </c>
      <c r="G442" t="str" cm="1">
        <f t="array" aca="1" ref="G442" ca="1">_FV(C442,"Industrie")</f>
        <v>Software &amp; IT Services</v>
      </c>
    </row>
    <row r="443" spans="1:7" x14ac:dyDescent="0.2">
      <c r="A443">
        <v>442</v>
      </c>
      <c r="C443" t="e" vm="882">
        <v>#VALUE!</v>
      </c>
      <c r="D443" s="1" cm="1" vm="883">
        <f t="array" aca="1" ref="D443" ca="1">_xlfn.STOCKHISTORY(C443,$J$1,$J$1,0,0,1)</f>
        <v>190.29</v>
      </c>
      <c r="E443" s="1">
        <f t="shared" ca="1" si="13"/>
        <v>236.48666666666662</v>
      </c>
      <c r="F443" s="2">
        <f t="shared" ca="1" si="14"/>
        <v>0.80465424407295705</v>
      </c>
      <c r="G443" t="str" cm="1">
        <f t="array" aca="1" ref="G443" ca="1">_FV(C443,"Industrie")</f>
        <v>Renewable Energy</v>
      </c>
    </row>
    <row r="444" spans="1:7" x14ac:dyDescent="0.2">
      <c r="A444">
        <v>443</v>
      </c>
      <c r="C444" t="e" vm="884">
        <v>#VALUE!</v>
      </c>
      <c r="D444" s="1" cm="1" vm="885">
        <f t="array" aca="1" ref="D444" ca="1">_xlfn.STOCKHISTORY(C444,$J$1,$J$1,0,0,1)</f>
        <v>525.72</v>
      </c>
      <c r="E444" s="1">
        <f t="shared" ca="1" si="13"/>
        <v>654.01166666666666</v>
      </c>
      <c r="F444" s="2">
        <f t="shared" ca="1" si="14"/>
        <v>0.80383887137589294</v>
      </c>
      <c r="G444" t="str" cm="1">
        <f t="array" aca="1" ref="G444" ca="1">_FV(C444,"Industrie")</f>
        <v>Software &amp; IT Services</v>
      </c>
    </row>
    <row r="445" spans="1:7" x14ac:dyDescent="0.2">
      <c r="A445">
        <v>444</v>
      </c>
      <c r="C445" t="e" vm="886">
        <v>#VALUE!</v>
      </c>
      <c r="D445" s="1" cm="1" vm="887">
        <f t="array" aca="1" ref="D445" ca="1">_xlfn.STOCKHISTORY(C445,$J$1,$J$1,0,0,1)</f>
        <v>41.6</v>
      </c>
      <c r="E445" s="1">
        <f t="shared" ca="1" si="13"/>
        <v>51.771481481481473</v>
      </c>
      <c r="F445" s="2">
        <f t="shared" ca="1" si="14"/>
        <v>0.80353118762653553</v>
      </c>
      <c r="G445" t="str" cm="1">
        <f t="array" aca="1" ref="G445" ca="1">_FV(C445,"Industrie")</f>
        <v>Food &amp; Tobacco</v>
      </c>
    </row>
    <row r="446" spans="1:7" x14ac:dyDescent="0.2">
      <c r="A446">
        <v>445</v>
      </c>
      <c r="C446" t="e" vm="888">
        <v>#VALUE!</v>
      </c>
      <c r="D446" s="1" cm="1" vm="889">
        <f t="array" aca="1" ref="D446" ca="1">_xlfn.STOCKHISTORY(C446,$J$1,$J$1,0,0,1)</f>
        <v>202.64</v>
      </c>
      <c r="E446" s="1">
        <f t="shared" ca="1" si="13"/>
        <v>253.16666666666663</v>
      </c>
      <c r="F446" s="2">
        <f t="shared" ca="1" si="14"/>
        <v>0.80042132982225156</v>
      </c>
      <c r="G446" t="str" cm="1">
        <f t="array" aca="1" ref="G446" ca="1">_FV(C446,"Industrie")</f>
        <v>Electronic Equipment &amp; Parts</v>
      </c>
    </row>
    <row r="447" spans="1:7" x14ac:dyDescent="0.2">
      <c r="A447">
        <v>446</v>
      </c>
      <c r="C447" t="e" vm="890">
        <v>#VALUE!</v>
      </c>
      <c r="D447" s="1" cm="1" vm="891">
        <f t="array" aca="1" ref="D447" ca="1">_xlfn.STOCKHISTORY(C447,$J$1,$J$1,0,0,1)</f>
        <v>127.11</v>
      </c>
      <c r="E447" s="1">
        <f t="shared" ca="1" si="13"/>
        <v>158.81740740740744</v>
      </c>
      <c r="F447" s="2">
        <f t="shared" ca="1" si="14"/>
        <v>0.80035307259443045</v>
      </c>
      <c r="G447" t="str" cm="1">
        <f t="array" aca="1" ref="G447" ca="1">_FV(C447,"Industrie")</f>
        <v>Semiconductors &amp; Semiconductor Equipment</v>
      </c>
    </row>
    <row r="448" spans="1:7" x14ac:dyDescent="0.2">
      <c r="A448">
        <v>447</v>
      </c>
      <c r="C448" t="e" vm="892">
        <v>#VALUE!</v>
      </c>
      <c r="D448" s="1" cm="1" vm="893">
        <f t="array" aca="1" ref="D448" ca="1">_xlfn.STOCKHISTORY(C448,$J$1,$J$1,0,0,1)</f>
        <v>163.85</v>
      </c>
      <c r="E448" s="1">
        <f t="shared" ca="1" si="13"/>
        <v>205.4259259259259</v>
      </c>
      <c r="F448" s="2">
        <f t="shared" ca="1" si="14"/>
        <v>0.79761110610294794</v>
      </c>
      <c r="G448" t="str" cm="1">
        <f t="array" aca="1" ref="G448" ca="1">_FV(C448,"Industrie")</f>
        <v>Biotechnology &amp; Medical Research</v>
      </c>
    </row>
    <row r="449" spans="1:7" x14ac:dyDescent="0.2">
      <c r="A449">
        <v>448</v>
      </c>
      <c r="C449" t="e" vm="894">
        <v>#VALUE!</v>
      </c>
      <c r="D449" s="1" cm="1" vm="895">
        <f t="array" aca="1" ref="D449" ca="1">_xlfn.STOCKHISTORY(C449,$J$1,$J$1,0,0,1)</f>
        <v>198.74</v>
      </c>
      <c r="E449" s="1">
        <f t="shared" ca="1" si="13"/>
        <v>249.92074074074068</v>
      </c>
      <c r="F449" s="2">
        <f t="shared" ca="1" si="14"/>
        <v>0.79521211169170691</v>
      </c>
      <c r="G449" t="str" cm="1">
        <f t="array" aca="1" ref="G449" ca="1">_FV(C449,"Industrie")</f>
        <v>Leisure Products</v>
      </c>
    </row>
    <row r="450" spans="1:7" x14ac:dyDescent="0.2">
      <c r="A450">
        <v>449</v>
      </c>
      <c r="C450" t="e" vm="896">
        <v>#VALUE!</v>
      </c>
      <c r="D450" s="1" cm="1" vm="897">
        <f t="array" aca="1" ref="D450" ca="1">_xlfn.STOCKHISTORY(C450,$J$1,$J$1,0,0,1)</f>
        <v>137.61000000000001</v>
      </c>
      <c r="E450" s="1">
        <f t="shared" ref="E450:E490" ca="1" si="15">AVERAGE(_xlfn.STOCKHISTORY(C450,$J$1-182,$J$1,1,0,1))</f>
        <v>173.09333333333336</v>
      </c>
      <c r="F450" s="2">
        <f t="shared" ref="F450:F513" ca="1" si="16">D450/E450</f>
        <v>0.79500462178400855</v>
      </c>
      <c r="G450" t="str" cm="1">
        <f t="array" aca="1" ref="G450" ca="1">_FV(C450,"Industrie")</f>
        <v>Software &amp; IT Services</v>
      </c>
    </row>
    <row r="451" spans="1:7" x14ac:dyDescent="0.2">
      <c r="A451">
        <v>450</v>
      </c>
      <c r="C451" t="e" vm="898">
        <v>#VALUE!</v>
      </c>
      <c r="D451" s="1" cm="1" vm="899">
        <f t="array" aca="1" ref="D451" ca="1">_xlfn.STOCKHISTORY(C451,$J$1,$J$1,0,0,1)</f>
        <v>36.450000000000003</v>
      </c>
      <c r="E451" s="1">
        <f t="shared" ca="1" si="15"/>
        <v>45.871851851851851</v>
      </c>
      <c r="F451" s="2">
        <f t="shared" ca="1" si="16"/>
        <v>0.79460493807224641</v>
      </c>
      <c r="G451" t="str" cm="1">
        <f t="array" aca="1" ref="G451" ca="1">_FV(C451,"Industrie")</f>
        <v>Food &amp; Tobacco</v>
      </c>
    </row>
    <row r="452" spans="1:7" x14ac:dyDescent="0.2">
      <c r="A452">
        <v>451</v>
      </c>
      <c r="C452" t="e" vm="900">
        <v>#VALUE!</v>
      </c>
      <c r="D452" s="1" cm="1" vm="901">
        <f t="array" aca="1" ref="D452" ca="1">_xlfn.STOCKHISTORY(C452,$J$1,$J$1,0,0,1)</f>
        <v>147.02000000000001</v>
      </c>
      <c r="E452" s="1">
        <f t="shared" ca="1" si="15"/>
        <v>185.14444444444447</v>
      </c>
      <c r="F452" s="2">
        <f t="shared" ca="1" si="16"/>
        <v>0.79408269819360255</v>
      </c>
      <c r="G452" t="str" cm="1">
        <f t="array" aca="1" ref="G452" ca="1">_FV(C452,"Industrie")</f>
        <v>Software &amp; IT Services</v>
      </c>
    </row>
    <row r="453" spans="1:7" x14ac:dyDescent="0.2">
      <c r="A453">
        <v>452</v>
      </c>
      <c r="C453" t="e" vm="902">
        <v>#VALUE!</v>
      </c>
      <c r="D453" s="1" cm="1" vm="903">
        <f t="array" aca="1" ref="D453" ca="1">_xlfn.STOCKHISTORY(C453,$J$1,$J$1,0,0,1)</f>
        <v>369.58</v>
      </c>
      <c r="E453" s="1">
        <f t="shared" ca="1" si="15"/>
        <v>466.05351851851844</v>
      </c>
      <c r="F453" s="2">
        <f t="shared" ca="1" si="16"/>
        <v>0.79299905550507044</v>
      </c>
      <c r="G453" t="str" cm="1">
        <f t="array" aca="1" ref="G453" ca="1">_FV(C453,"Industrie")</f>
        <v>Software &amp; IT Services</v>
      </c>
    </row>
    <row r="454" spans="1:7" x14ac:dyDescent="0.2">
      <c r="A454">
        <v>453</v>
      </c>
      <c r="C454" t="e" vm="904">
        <v>#VALUE!</v>
      </c>
      <c r="D454" s="1" cm="1" vm="905">
        <f t="array" aca="1" ref="D454" ca="1">_xlfn.STOCKHISTORY(C454,$J$1,$J$1,0,0,1)</f>
        <v>192.6</v>
      </c>
      <c r="E454" s="1">
        <f t="shared" ca="1" si="15"/>
        <v>244.45851851851853</v>
      </c>
      <c r="F454" s="2">
        <f t="shared" ca="1" si="16"/>
        <v>0.78786372905802382</v>
      </c>
      <c r="G454" t="str" cm="1">
        <f t="array" aca="1" ref="G454" ca="1">_FV(C454,"Industrie")</f>
        <v>Software &amp; IT Services</v>
      </c>
    </row>
    <row r="455" spans="1:7" x14ac:dyDescent="0.2">
      <c r="A455">
        <v>454</v>
      </c>
      <c r="C455" t="e" vm="906">
        <v>#VALUE!</v>
      </c>
      <c r="D455" s="1" cm="1" vm="907">
        <f t="array" aca="1" ref="D455" ca="1">_xlfn.STOCKHISTORY(C455,$J$1,$J$1,0,0,1)</f>
        <v>90.25</v>
      </c>
      <c r="E455" s="1">
        <f t="shared" ca="1" si="15"/>
        <v>115.28259259259261</v>
      </c>
      <c r="F455" s="2">
        <f t="shared" ca="1" si="16"/>
        <v>0.78285886854524944</v>
      </c>
      <c r="G455" t="str" cm="1">
        <f t="array" aca="1" ref="G455" ca="1">_FV(C455,"Industrie")</f>
        <v>Homebuilding &amp; Construction Supplies</v>
      </c>
    </row>
    <row r="456" spans="1:7" x14ac:dyDescent="0.2">
      <c r="A456">
        <v>455</v>
      </c>
      <c r="C456" t="e" vm="908">
        <v>#VALUE!</v>
      </c>
      <c r="D456" s="1" cm="1" vm="909">
        <f t="array" aca="1" ref="D456" ca="1">_xlfn.STOCKHISTORY(C456,$J$1,$J$1,0,0,1)</f>
        <v>179.31</v>
      </c>
      <c r="E456" s="1">
        <f t="shared" ca="1" si="15"/>
        <v>229.09</v>
      </c>
      <c r="F456" s="2">
        <f t="shared" ca="1" si="16"/>
        <v>0.78270548692653541</v>
      </c>
      <c r="G456" t="str" cm="1">
        <f t="array" aca="1" ref="G456" ca="1">_FV(C456,"Industrie")</f>
        <v>Software &amp; IT Services</v>
      </c>
    </row>
    <row r="457" spans="1:7" x14ac:dyDescent="0.2">
      <c r="A457">
        <v>456</v>
      </c>
      <c r="C457" t="e" vm="910">
        <v>#VALUE!</v>
      </c>
      <c r="D457" s="1" cm="1" vm="911">
        <f t="array" aca="1" ref="D457" ca="1">_xlfn.STOCKHISTORY(C457,$J$1,$J$1,0,0,1)</f>
        <v>21.99</v>
      </c>
      <c r="E457" s="1">
        <f t="shared" ca="1" si="15"/>
        <v>28.268148148148157</v>
      </c>
      <c r="F457" s="2">
        <f t="shared" ca="1" si="16"/>
        <v>0.77790734238247439</v>
      </c>
      <c r="G457" t="str" cm="1">
        <f t="array" aca="1" ref="G457" ca="1">_FV(C457,"Industrie")</f>
        <v>Food &amp; Tobacco</v>
      </c>
    </row>
    <row r="458" spans="1:7" x14ac:dyDescent="0.2">
      <c r="A458">
        <v>457</v>
      </c>
      <c r="C458" t="e" vm="912">
        <v>#VALUE!</v>
      </c>
      <c r="D458" s="1" cm="1" vm="913">
        <f t="array" aca="1" ref="D458" ca="1">_xlfn.STOCKHISTORY(C458,$J$1,$J$1,0,0,1)</f>
        <v>46.89</v>
      </c>
      <c r="E458" s="1">
        <f t="shared" ca="1" si="15"/>
        <v>60.337037037037042</v>
      </c>
      <c r="F458" s="2">
        <f t="shared" ca="1" si="16"/>
        <v>0.77713461420416174</v>
      </c>
      <c r="G458" t="str" cm="1">
        <f t="array" aca="1" ref="G458" ca="1">_FV(C458,"Industrie")</f>
        <v>Financial Technology (Fintech) &amp; Infrastructure</v>
      </c>
    </row>
    <row r="459" spans="1:7" x14ac:dyDescent="0.2">
      <c r="A459">
        <v>458</v>
      </c>
      <c r="C459" t="e" vm="914">
        <v>#VALUE!</v>
      </c>
      <c r="D459" s="1" cm="1" vm="915">
        <f t="array" aca="1" ref="D459" ca="1">_xlfn.STOCKHISTORY(C459,$J$1,$J$1,0,0,1)</f>
        <v>135.19</v>
      </c>
      <c r="E459" s="1">
        <f t="shared" ca="1" si="15"/>
        <v>174.52777777777774</v>
      </c>
      <c r="F459" s="2">
        <f t="shared" ca="1" si="16"/>
        <v>0.77460448830176676</v>
      </c>
      <c r="G459" t="str" cm="1">
        <f t="array" aca="1" ref="G459" ca="1">_FV(C459,"Industrie")</f>
        <v>Software &amp; IT Services</v>
      </c>
    </row>
    <row r="460" spans="1:7" x14ac:dyDescent="0.2">
      <c r="A460">
        <v>459</v>
      </c>
      <c r="C460" t="e" vm="916">
        <v>#VALUE!</v>
      </c>
      <c r="D460" s="1" cm="1" vm="917">
        <f t="array" aca="1" ref="D460" ca="1">_xlfn.STOCKHISTORY(C460,$J$1,$J$1,0,0,1)</f>
        <v>356.77</v>
      </c>
      <c r="E460" s="1">
        <f t="shared" ca="1" si="15"/>
        <v>460.93037037037033</v>
      </c>
      <c r="F460" s="2">
        <f t="shared" ca="1" si="16"/>
        <v>0.7740214638348204</v>
      </c>
      <c r="G460" t="str" cm="1">
        <f t="array" aca="1" ref="G460" ca="1">_FV(C460,"Industrie")</f>
        <v>Software &amp; IT Services</v>
      </c>
    </row>
    <row r="461" spans="1:7" x14ac:dyDescent="0.2">
      <c r="A461">
        <v>460</v>
      </c>
      <c r="C461" t="e" vm="918">
        <v>#VALUE!</v>
      </c>
      <c r="D461" s="1" cm="1" vm="919">
        <f t="array" aca="1" ref="D461" ca="1">_xlfn.STOCKHISTORY(C461,$J$1,$J$1,0,0,1)</f>
        <v>69.17</v>
      </c>
      <c r="E461" s="1">
        <f t="shared" ca="1" si="15"/>
        <v>89.738518518518518</v>
      </c>
      <c r="F461" s="2">
        <f t="shared" ca="1" si="16"/>
        <v>0.77079498460547935</v>
      </c>
      <c r="G461" t="str" cm="1">
        <f t="array" aca="1" ref="G461" ca="1">_FV(C461,"Industrie")</f>
        <v>Healthcare Equipment &amp; Supplies</v>
      </c>
    </row>
    <row r="462" spans="1:7" x14ac:dyDescent="0.2">
      <c r="A462">
        <v>461</v>
      </c>
      <c r="C462" t="e" vm="920">
        <v>#VALUE!</v>
      </c>
      <c r="D462" s="1" cm="1" vm="921">
        <f t="array" aca="1" ref="D462" ca="1">_xlfn.STOCKHISTORY(C462,$J$1,$J$1,0,0,1)</f>
        <v>43.59</v>
      </c>
      <c r="E462" s="1">
        <f t="shared" ca="1" si="15"/>
        <v>56.995925925925931</v>
      </c>
      <c r="F462" s="2">
        <f t="shared" ca="1" si="16"/>
        <v>0.76479150556569997</v>
      </c>
      <c r="G462" t="str" cm="1">
        <f t="array" aca="1" ref="G462" ca="1">_FV(C462,"Industrie")</f>
        <v>Professional &amp; Commercial Services</v>
      </c>
    </row>
    <row r="463" spans="1:7" x14ac:dyDescent="0.2">
      <c r="A463">
        <v>462</v>
      </c>
      <c r="C463" t="e" vm="922">
        <v>#VALUE!</v>
      </c>
      <c r="D463" s="1" cm="1" vm="923">
        <f t="array" aca="1" ref="D463" ca="1">_xlfn.STOCKHISTORY(C463,$J$1,$J$1,0,0,1)</f>
        <v>16.8</v>
      </c>
      <c r="E463" s="1">
        <f t="shared" ca="1" si="15"/>
        <v>21.971851851851849</v>
      </c>
      <c r="F463" s="2">
        <f t="shared" ca="1" si="16"/>
        <v>0.76461465848560461</v>
      </c>
      <c r="G463" t="str" cm="1">
        <f t="array" aca="1" ref="G463" ca="1">_FV(C463,"Industrie")</f>
        <v>Specialty Retailers</v>
      </c>
    </row>
    <row r="464" spans="1:7" x14ac:dyDescent="0.2">
      <c r="A464">
        <v>463</v>
      </c>
      <c r="C464" t="e" vm="924">
        <v>#VALUE!</v>
      </c>
      <c r="D464" s="1" cm="1" vm="925">
        <f t="array" aca="1" ref="D464" ca="1">_xlfn.STOCKHISTORY(C464,$J$1,$J$1,0,0,1)</f>
        <v>88.5</v>
      </c>
      <c r="E464" s="1">
        <f t="shared" ca="1" si="15"/>
        <v>115.77555555555554</v>
      </c>
      <c r="F464" s="2">
        <f t="shared" ca="1" si="16"/>
        <v>0.76441006545231205</v>
      </c>
      <c r="G464" t="str" cm="1">
        <f t="array" aca="1" ref="G464" ca="1">_FV(C464,"Industrie")</f>
        <v>Investment Banking &amp; Investment Services</v>
      </c>
    </row>
    <row r="465" spans="1:7" x14ac:dyDescent="0.2">
      <c r="A465">
        <v>464</v>
      </c>
      <c r="C465" t="e" vm="926">
        <v>#VALUE!</v>
      </c>
      <c r="D465" s="1" cm="1" vm="927">
        <f t="array" aca="1" ref="D465" ca="1">_xlfn.STOCKHISTORY(C465,$J$1,$J$1,0,0,1)</f>
        <v>198.33</v>
      </c>
      <c r="E465" s="1">
        <f t="shared" ca="1" si="15"/>
        <v>260.05814814814812</v>
      </c>
      <c r="F465" s="2">
        <f t="shared" ca="1" si="16"/>
        <v>0.76263713101201025</v>
      </c>
      <c r="G465" t="str" cm="1">
        <f t="array" aca="1" ref="G465" ca="1">_FV(C465,"Industrie")</f>
        <v>Professional &amp; Commercial Services</v>
      </c>
    </row>
    <row r="466" spans="1:7" x14ac:dyDescent="0.2">
      <c r="A466">
        <v>465</v>
      </c>
      <c r="C466" t="e" vm="928">
        <v>#VALUE!</v>
      </c>
      <c r="D466" s="1" cm="1" vm="929">
        <f t="array" aca="1" ref="D466" ca="1">_xlfn.STOCKHISTORY(C466,$J$1,$J$1,0,0,1)</f>
        <v>108.07</v>
      </c>
      <c r="E466" s="1">
        <f t="shared" ca="1" si="15"/>
        <v>142.3918518518519</v>
      </c>
      <c r="F466" s="2">
        <f t="shared" ca="1" si="16"/>
        <v>0.75896196723699305</v>
      </c>
      <c r="G466" t="str" cm="1">
        <f t="array" aca="1" ref="G466" ca="1">_FV(C466,"Industrie")</f>
        <v>Investment Banking &amp; Investment Services</v>
      </c>
    </row>
    <row r="467" spans="1:7" x14ac:dyDescent="0.2">
      <c r="A467">
        <v>466</v>
      </c>
      <c r="C467" t="e" vm="930">
        <v>#VALUE!</v>
      </c>
      <c r="D467" s="1" cm="1" vm="931">
        <f t="array" aca="1" ref="D467" ca="1">_xlfn.STOCKHISTORY(C467,$J$1,$J$1,0,0,1)</f>
        <v>234.84</v>
      </c>
      <c r="E467" s="1">
        <f t="shared" ca="1" si="15"/>
        <v>311.60851851851845</v>
      </c>
      <c r="F467" s="2">
        <f t="shared" ca="1" si="16"/>
        <v>0.75363793363705422</v>
      </c>
      <c r="G467" t="str" cm="1">
        <f t="array" aca="1" ref="G467" ca="1">_FV(C467,"Industrie")</f>
        <v>Software &amp; IT Services</v>
      </c>
    </row>
    <row r="468" spans="1:7" x14ac:dyDescent="0.2">
      <c r="A468">
        <v>467</v>
      </c>
      <c r="C468" t="e" vm="932">
        <v>#VALUE!</v>
      </c>
      <c r="D468" s="1" cm="1" vm="933">
        <f t="array" aca="1" ref="D468" ca="1">_xlfn.STOCKHISTORY(C468,$J$1,$J$1,0,0,1)</f>
        <v>429.94</v>
      </c>
      <c r="E468" s="1">
        <f t="shared" ca="1" si="15"/>
        <v>574.92592592592598</v>
      </c>
      <c r="F468" s="2">
        <f t="shared" ca="1" si="16"/>
        <v>0.7478180764027571</v>
      </c>
      <c r="G468" t="str" cm="1">
        <f t="array" aca="1" ref="G468" ca="1">_FV(C468,"Industrie")</f>
        <v>Aerospace &amp; Defense</v>
      </c>
    </row>
    <row r="469" spans="1:7" x14ac:dyDescent="0.2">
      <c r="A469">
        <v>468</v>
      </c>
      <c r="C469" t="e" vm="934">
        <v>#VALUE!</v>
      </c>
      <c r="D469" s="1" cm="1" vm="935">
        <f t="array" aca="1" ref="D469" ca="1">_xlfn.STOCKHISTORY(C469,$J$1,$J$1,0,0,1)</f>
        <v>157.41999999999999</v>
      </c>
      <c r="E469" s="1">
        <f t="shared" ca="1" si="15"/>
        <v>211.04814814814813</v>
      </c>
      <c r="F469" s="2">
        <f t="shared" ca="1" si="16"/>
        <v>0.74589614446413843</v>
      </c>
      <c r="G469" t="str" cm="1">
        <f t="array" aca="1" ref="G469" ca="1">_FV(C469,"Industrie")</f>
        <v>Professional &amp; Commercial Services</v>
      </c>
    </row>
    <row r="470" spans="1:7" x14ac:dyDescent="0.2">
      <c r="A470">
        <v>469</v>
      </c>
      <c r="C470" t="e" vm="936">
        <v>#VALUE!</v>
      </c>
      <c r="D470" s="1" cm="1" vm="937">
        <f t="array" aca="1" ref="D470" ca="1">_xlfn.STOCKHISTORY(C470,$J$1,$J$1,0,0,1)</f>
        <v>117.06</v>
      </c>
      <c r="E470" s="1">
        <f t="shared" ca="1" si="15"/>
        <v>157.8133333333333</v>
      </c>
      <c r="F470" s="2">
        <f t="shared" ca="1" si="16"/>
        <v>0.74176241973639756</v>
      </c>
      <c r="G470" t="str" cm="1">
        <f t="array" aca="1" ref="G470" ca="1">_FV(C470,"Industrie")</f>
        <v>Software &amp; IT Services</v>
      </c>
    </row>
    <row r="471" spans="1:7" x14ac:dyDescent="0.2">
      <c r="A471">
        <v>470</v>
      </c>
      <c r="C471" t="e" vm="938">
        <v>#VALUE!</v>
      </c>
      <c r="D471" s="1" cm="1" vm="939">
        <f t="array" aca="1" ref="D471" ca="1">_xlfn.STOCKHISTORY(C471,$J$1,$J$1,0,0,1)</f>
        <v>208.22</v>
      </c>
      <c r="E471" s="1">
        <f t="shared" ca="1" si="15"/>
        <v>282.81018518518528</v>
      </c>
      <c r="F471" s="2">
        <f t="shared" ca="1" si="16"/>
        <v>0.73625354003306731</v>
      </c>
      <c r="G471" t="str" cm="1">
        <f t="array" aca="1" ref="G471" ca="1">_FV(C471,"Industrie")</f>
        <v>Healthcare Equipment &amp; Supplies</v>
      </c>
    </row>
    <row r="472" spans="1:7" x14ac:dyDescent="0.2">
      <c r="A472">
        <v>471</v>
      </c>
      <c r="C472" t="e" vm="940">
        <v>#VALUE!</v>
      </c>
      <c r="D472" s="1" cm="1" vm="941">
        <f t="array" aca="1" ref="D472" ca="1">_xlfn.STOCKHISTORY(C472,$J$1,$J$1,0,0,1)</f>
        <v>106.28</v>
      </c>
      <c r="E472" s="1">
        <f t="shared" ca="1" si="15"/>
        <v>145.0140740740741</v>
      </c>
      <c r="F472" s="2">
        <f t="shared" ca="1" si="16"/>
        <v>0.73289438062205958</v>
      </c>
      <c r="G472" t="str" cm="1">
        <f t="array" aca="1" ref="G472" ca="1">_FV(C472,"Industrie")</f>
        <v>Investment Banking &amp; Investment Services</v>
      </c>
    </row>
    <row r="473" spans="1:7" x14ac:dyDescent="0.2">
      <c r="A473">
        <v>472</v>
      </c>
      <c r="C473" t="e" vm="942">
        <v>#VALUE!</v>
      </c>
      <c r="D473" s="1" cm="1" vm="943">
        <f t="array" aca="1" ref="D473" ca="1">_xlfn.STOCKHISTORY(C473,$J$1,$J$1,0,0,1)</f>
        <v>80.430000000000007</v>
      </c>
      <c r="E473" s="1">
        <f t="shared" ca="1" si="15"/>
        <v>110.17370370370371</v>
      </c>
      <c r="F473" s="2">
        <f t="shared" ca="1" si="16"/>
        <v>0.73002901142640075</v>
      </c>
      <c r="G473" t="str" cm="1">
        <f t="array" aca="1" ref="G473" ca="1">_FV(C473,"Industrie")</f>
        <v>Homebuilding &amp; Construction Supplies</v>
      </c>
    </row>
    <row r="474" spans="1:7" x14ac:dyDescent="0.2">
      <c r="A474">
        <v>473</v>
      </c>
      <c r="C474" t="e" vm="944">
        <v>#VALUE!</v>
      </c>
      <c r="D474" s="1" cm="1" vm="945">
        <f t="array" aca="1" ref="D474" ca="1">_xlfn.STOCKHISTORY(C474,$J$1,$J$1,0,0,1)</f>
        <v>18.34</v>
      </c>
      <c r="E474" s="1">
        <f t="shared" ca="1" si="15"/>
        <v>25.288148148148153</v>
      </c>
      <c r="F474" s="2">
        <f t="shared" ca="1" si="16"/>
        <v>0.72524092679926166</v>
      </c>
      <c r="G474" t="str" cm="1">
        <f t="array" aca="1" ref="G474" ca="1">_FV(C474,"Industrie")</f>
        <v>Software &amp; IT Services</v>
      </c>
    </row>
    <row r="475" spans="1:7" x14ac:dyDescent="0.2">
      <c r="A475">
        <v>474</v>
      </c>
      <c r="C475" t="e" vm="946">
        <v>#VALUE!</v>
      </c>
      <c r="D475" s="1" cm="1" vm="947">
        <f t="array" aca="1" ref="D475" ca="1">_xlfn.STOCKHISTORY(C475,$J$1,$J$1,0,0,1)</f>
        <v>53.9</v>
      </c>
      <c r="E475" s="1">
        <f t="shared" ca="1" si="15"/>
        <v>74.818888888888878</v>
      </c>
      <c r="F475" s="2">
        <f t="shared" ca="1" si="16"/>
        <v>0.72040631450762593</v>
      </c>
      <c r="G475" t="str" cm="1">
        <f t="array" aca="1" ref="G475" ca="1">_FV(C475,"Industrie")</f>
        <v>Professional &amp; Commercial Services</v>
      </c>
    </row>
    <row r="476" spans="1:7" x14ac:dyDescent="0.2">
      <c r="A476">
        <v>475</v>
      </c>
      <c r="C476" t="e" vm="948">
        <v>#VALUE!</v>
      </c>
      <c r="D476" s="1" cm="1" vm="949">
        <f t="array" aca="1" ref="D476" ca="1">_xlfn.STOCKHISTORY(C476,$J$1,$J$1,0,0,1)</f>
        <v>155.41999999999999</v>
      </c>
      <c r="E476" s="1">
        <f t="shared" ca="1" si="15"/>
        <v>215.78037037037032</v>
      </c>
      <c r="F476" s="2">
        <f t="shared" ca="1" si="16"/>
        <v>0.72026940973932696</v>
      </c>
      <c r="G476" t="str" cm="1">
        <f t="array" aca="1" ref="G476" ca="1">_FV(C476,"Industrie")</f>
        <v>Software &amp; IT Services</v>
      </c>
    </row>
    <row r="477" spans="1:7" x14ac:dyDescent="0.2">
      <c r="A477">
        <v>476</v>
      </c>
      <c r="C477" t="e" vm="950">
        <v>#VALUE!</v>
      </c>
      <c r="D477" s="1" cm="1" vm="951">
        <f t="array" aca="1" ref="D477" ca="1">_xlfn.STOCKHISTORY(C477,$J$1,$J$1,0,0,1)</f>
        <v>416.44</v>
      </c>
      <c r="E477" s="1">
        <f t="shared" ca="1" si="15"/>
        <v>579.38259259259257</v>
      </c>
      <c r="F477" s="2">
        <f t="shared" ca="1" si="16"/>
        <v>0.71876512225977462</v>
      </c>
      <c r="G477" t="str" cm="1">
        <f t="array" aca="1" ref="G477" ca="1">_FV(C477,"Industrie")</f>
        <v>Financial Technology (Fintech) &amp; Infrastructure</v>
      </c>
    </row>
    <row r="478" spans="1:7" x14ac:dyDescent="0.2">
      <c r="A478">
        <v>477</v>
      </c>
      <c r="C478" t="e" vm="952">
        <v>#VALUE!</v>
      </c>
      <c r="D478" s="1" cm="1" vm="953">
        <f t="array" aca="1" ref="D478" ca="1">_xlfn.STOCKHISTORY(C478,$J$1,$J$1,0,0,1)</f>
        <v>169.09</v>
      </c>
      <c r="E478" s="1">
        <f t="shared" ca="1" si="15"/>
        <v>236.57740740740738</v>
      </c>
      <c r="F478" s="2">
        <f t="shared" ca="1" si="16"/>
        <v>0.71473435207957936</v>
      </c>
      <c r="G478" t="str" cm="1">
        <f t="array" aca="1" ref="G478" ca="1">_FV(C478,"Industrie")</f>
        <v>Healthcare Providers &amp; Services</v>
      </c>
    </row>
    <row r="479" spans="1:7" x14ac:dyDescent="0.2">
      <c r="A479">
        <v>478</v>
      </c>
      <c r="C479" t="e" vm="954">
        <v>#VALUE!</v>
      </c>
      <c r="D479" s="1" cm="1" vm="955">
        <f t="array" aca="1" ref="D479" ca="1">_xlfn.STOCKHISTORY(C479,$J$1,$J$1,0,0,1)</f>
        <v>51.92</v>
      </c>
      <c r="E479" s="1">
        <f t="shared" ca="1" si="15"/>
        <v>73.858888888888899</v>
      </c>
      <c r="F479" s="2">
        <f t="shared" ca="1" si="16"/>
        <v>0.7029621049147774</v>
      </c>
      <c r="G479" t="str" cm="1">
        <f t="array" aca="1" ref="G479" ca="1">_FV(C479,"Industrie")</f>
        <v>Household Goods</v>
      </c>
    </row>
    <row r="480" spans="1:7" x14ac:dyDescent="0.2">
      <c r="A480">
        <v>479</v>
      </c>
      <c r="C480" t="e" vm="956">
        <v>#VALUE!</v>
      </c>
      <c r="D480" s="1" cm="1" vm="957">
        <f t="array" aca="1" ref="D480" ca="1">_xlfn.STOCKHISTORY(C480,$J$1,$J$1,0,0,1)</f>
        <v>146.6</v>
      </c>
      <c r="E480" s="1">
        <f t="shared" ca="1" si="15"/>
        <v>210.63370370370373</v>
      </c>
      <c r="F480" s="2">
        <f t="shared" ca="1" si="16"/>
        <v>0.6959949781171807</v>
      </c>
      <c r="G480" t="str" cm="1">
        <f t="array" aca="1" ref="G480" ca="1">_FV(C480,"Industrie")</f>
        <v>Software &amp; IT Services</v>
      </c>
    </row>
    <row r="481" spans="1:7" x14ac:dyDescent="0.2">
      <c r="A481">
        <v>480</v>
      </c>
      <c r="C481" t="e" vm="958">
        <v>#VALUE!</v>
      </c>
      <c r="D481" s="1" cm="1" vm="959">
        <f t="array" aca="1" ref="D481" ca="1">_xlfn.STOCKHISTORY(C481,$J$1,$J$1,0,0,1)</f>
        <v>139.66</v>
      </c>
      <c r="E481" s="1">
        <f t="shared" ca="1" si="15"/>
        <v>203.00185185185182</v>
      </c>
      <c r="F481" s="2">
        <f t="shared" ca="1" si="16"/>
        <v>0.68797401957654103</v>
      </c>
      <c r="G481" t="str" cm="1">
        <f t="array" aca="1" ref="G481" ca="1">_FV(C481,"Industrie")</f>
        <v>Software &amp; IT Services</v>
      </c>
    </row>
    <row r="482" spans="1:7" x14ac:dyDescent="0.2">
      <c r="A482">
        <v>481</v>
      </c>
      <c r="C482" t="e" vm="960">
        <v>#VALUE!</v>
      </c>
      <c r="D482" s="1" cm="1" vm="961">
        <f t="array" aca="1" ref="D482" ca="1">_xlfn.STOCKHISTORY(C482,$J$1,$J$1,0,0,1)</f>
        <v>381.2</v>
      </c>
      <c r="E482" s="1">
        <f t="shared" ca="1" si="15"/>
        <v>560.82111111111112</v>
      </c>
      <c r="F482" s="2">
        <f t="shared" ca="1" si="16"/>
        <v>0.67971763624368231</v>
      </c>
      <c r="G482" t="str" cm="1">
        <f t="array" aca="1" ref="G482" ca="1">_FV(C482,"Industrie")</f>
        <v>Software &amp; IT Services</v>
      </c>
    </row>
    <row r="483" spans="1:7" x14ac:dyDescent="0.2">
      <c r="A483">
        <v>482</v>
      </c>
      <c r="C483" t="e" vm="962">
        <v>#VALUE!</v>
      </c>
      <c r="D483" s="1" cm="1" vm="963">
        <f t="array" aca="1" ref="D483" ca="1">_xlfn.STOCKHISTORY(C483,$J$1,$J$1,0,0,1)</f>
        <v>99.41</v>
      </c>
      <c r="E483" s="1">
        <f t="shared" ca="1" si="15"/>
        <v>146.41725925925925</v>
      </c>
      <c r="F483" s="2">
        <f t="shared" ca="1" si="16"/>
        <v>0.67895001247070141</v>
      </c>
      <c r="G483" t="str" cm="1">
        <f t="array" aca="1" ref="G483" ca="1">_FV(C483,"Industrie")</f>
        <v>Software &amp; IT Services</v>
      </c>
    </row>
    <row r="484" spans="1:7" x14ac:dyDescent="0.2">
      <c r="A484">
        <v>483</v>
      </c>
      <c r="C484" t="e" vm="964">
        <v>#VALUE!</v>
      </c>
      <c r="D484" s="1" cm="1" vm="965">
        <f t="array" aca="1" ref="D484" ca="1">_xlfn.STOCKHISTORY(C484,$J$1,$J$1,0,0,1)</f>
        <v>67.23</v>
      </c>
      <c r="E484" s="1">
        <f t="shared" ca="1" si="15"/>
        <v>99.274444444444441</v>
      </c>
      <c r="F484" s="2">
        <f t="shared" ca="1" si="16"/>
        <v>0.677213560611996</v>
      </c>
      <c r="G484" t="str" cm="1">
        <f t="array" aca="1" ref="G484" ca="1">_FV(C484,"Industrie")</f>
        <v>Personal &amp; Household Products &amp; Services</v>
      </c>
    </row>
    <row r="485" spans="1:7" x14ac:dyDescent="0.2">
      <c r="A485">
        <v>484</v>
      </c>
      <c r="C485" t="e" vm="966">
        <v>#VALUE!</v>
      </c>
      <c r="D485" s="1" cm="1" vm="967">
        <f t="array" aca="1" ref="D485" ca="1">_xlfn.STOCKHISTORY(C485,$J$1,$J$1,0,0,1)</f>
        <v>1011.06</v>
      </c>
      <c r="E485" s="1">
        <f t="shared" ca="1" si="15"/>
        <v>1567.5185185185182</v>
      </c>
      <c r="F485" s="2">
        <f t="shared" ca="1" si="16"/>
        <v>0.64500673392717911</v>
      </c>
      <c r="G485" t="str" cm="1">
        <f t="array" aca="1" ref="G485" ca="1">_FV(C485,"Industrie")</f>
        <v>Software &amp; IT Services</v>
      </c>
    </row>
    <row r="486" spans="1:7" x14ac:dyDescent="0.2">
      <c r="A486">
        <v>485</v>
      </c>
      <c r="C486" t="e" vm="968">
        <v>#VALUE!</v>
      </c>
      <c r="D486" s="1" cm="1" vm="969">
        <f t="array" aca="1" ref="D486" ca="1">_xlfn.STOCKHISTORY(C486,$J$1,$J$1,0,0,1)</f>
        <v>161.13999999999999</v>
      </c>
      <c r="E486" s="1">
        <f t="shared" ca="1" si="15"/>
        <v>250.65333333333331</v>
      </c>
      <c r="F486" s="2">
        <f t="shared" ca="1" si="16"/>
        <v>0.64287994042236285</v>
      </c>
      <c r="G486" t="str" cm="1">
        <f t="array" aca="1" ref="G486" ca="1">_FV(C486,"Industrie")</f>
        <v>Financial Technology (Fintech) &amp; Infrastructure</v>
      </c>
    </row>
    <row r="487" spans="1:7" x14ac:dyDescent="0.2">
      <c r="A487">
        <v>486</v>
      </c>
      <c r="C487" t="e" vm="970">
        <v>#VALUE!</v>
      </c>
      <c r="D487" s="1" cm="1" vm="971">
        <f t="array" aca="1" ref="D487" ca="1">_xlfn.STOCKHISTORY(C487,$J$1,$J$1,0,0,1)</f>
        <v>39.770000000000003</v>
      </c>
      <c r="E487" s="1">
        <f t="shared" ca="1" si="15"/>
        <v>62.452962962962964</v>
      </c>
      <c r="F487" s="2">
        <f t="shared" ca="1" si="16"/>
        <v>0.63679925039881868</v>
      </c>
      <c r="G487" t="str" cm="1">
        <f t="array" aca="1" ref="G487" ca="1">_FV(C487,"Industrie")</f>
        <v>Software &amp; IT Services</v>
      </c>
    </row>
    <row r="488" spans="1:7" x14ac:dyDescent="0.2">
      <c r="A488">
        <v>487</v>
      </c>
      <c r="C488" t="e" vm="972">
        <v>#VALUE!</v>
      </c>
      <c r="D488" s="1" cm="1" vm="973">
        <f t="array" aca="1" ref="D488" ca="1">_xlfn.STOCKHISTORY(C488,$J$1,$J$1,0,0,1)</f>
        <v>124.18</v>
      </c>
      <c r="E488" s="1">
        <f t="shared" ca="1" si="15"/>
        <v>196.35870370370375</v>
      </c>
      <c r="F488" s="2">
        <f t="shared" ca="1" si="16"/>
        <v>0.63241403440604249</v>
      </c>
      <c r="G488" t="str" cm="1">
        <f t="array" aca="1" ref="G488" ca="1">_FV(C488,"Industrie")</f>
        <v>Software &amp; IT Services</v>
      </c>
    </row>
    <row r="489" spans="1:7" x14ac:dyDescent="0.2">
      <c r="A489">
        <v>488</v>
      </c>
      <c r="C489" t="e" vm="974">
        <v>#VALUE!</v>
      </c>
      <c r="D489" s="1" cm="1" vm="975">
        <f t="array" aca="1" ref="D489" ca="1">_xlfn.STOCKHISTORY(C489,$J$1,$J$1,0,0,1)</f>
        <v>66.02</v>
      </c>
      <c r="E489" s="1">
        <f t="shared" ca="1" si="15"/>
        <v>109.23333333333331</v>
      </c>
      <c r="F489" s="2">
        <f t="shared" ca="1" si="16"/>
        <v>0.6043942630454685</v>
      </c>
      <c r="G489" t="str" cm="1">
        <f t="array" aca="1" ref="G489" ca="1">_FV(C489,"Industrie")</f>
        <v>Financial Technology (Fintech) &amp; Infrastructure</v>
      </c>
    </row>
    <row r="490" spans="1:7" x14ac:dyDescent="0.2">
      <c r="A490">
        <v>489</v>
      </c>
      <c r="C490" t="e" vm="976">
        <v>#VALUE!</v>
      </c>
      <c r="D490" s="1" cm="1" vm="977">
        <f t="array" aca="1" ref="D490" ca="1">_xlfn.STOCKHISTORY(C490,$J$1,$J$1,0,0,1)</f>
        <v>0.19500000000000001</v>
      </c>
      <c r="E490" s="1">
        <f t="shared" ca="1" si="15"/>
        <v>0.7075555555555556</v>
      </c>
      <c r="F490" s="2">
        <f t="shared" ca="1" si="16"/>
        <v>0.2755967336683417</v>
      </c>
      <c r="G490" t="str" cm="1">
        <f t="array" aca="1" ref="G490" ca="1">_FV(C490,"Industrie")</f>
        <v>Software &amp; IT Services</v>
      </c>
    </row>
    <row r="491" spans="1:7" x14ac:dyDescent="0.2">
      <c r="A491">
        <v>490</v>
      </c>
      <c r="C491" t="e" vm="61">
        <v>#VALUE!</v>
      </c>
    </row>
  </sheetData>
  <autoFilter ref="C1:F1" xr:uid="{C3BD2C0F-EF58-6845-B51F-A573CFF17182}">
    <sortState xmlns:xlrd2="http://schemas.microsoft.com/office/spreadsheetml/2017/richdata2" ref="C2:F490">
      <sortCondition descending="1" ref="F1:F490"/>
    </sortState>
  </autoFilter>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S&amp;P500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Eckhard Scharmer</dc:creator>
  <cp:lastModifiedBy>Eckhard Scharmer</cp:lastModifiedBy>
  <dcterms:created xsi:type="dcterms:W3CDTF">2025-11-16T16:07:15Z</dcterms:created>
  <dcterms:modified xsi:type="dcterms:W3CDTF">2026-04-02T08:21:47Z</dcterms:modified>
</cp:coreProperties>
</file>